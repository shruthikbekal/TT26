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38f2973726b8dd/Acer/TTC/MTT 2020 Odd sem/"/>
    </mc:Choice>
  </mc:AlternateContent>
  <xr:revisionPtr revIDLastSave="147" documentId="11_7008620E033A5328478D85E4B1A71A89CDA03CAA" xr6:coauthVersionLast="47" xr6:coauthVersionMax="47" xr10:uidLastSave="{0EE0B3E2-2FBC-4EC7-B79D-7BF99D26919E}"/>
  <bookViews>
    <workbookView xWindow="-110" yWindow="-110" windowWidth="19420" windowHeight="10300" tabRatio="827" xr2:uid="{00000000-000D-0000-FFFF-FFFF00000000}"/>
  </bookViews>
  <sheets>
    <sheet name="Mon" sheetId="2" r:id="rId1"/>
    <sheet name="Tue" sheetId="5" r:id="rId2"/>
    <sheet name="Wed" sheetId="6" r:id="rId3"/>
    <sheet name="Thur" sheetId="7" r:id="rId4"/>
    <sheet name="Fri" sheetId="8" r:id="rId5"/>
    <sheet name="Sat" sheetId="9" r:id="rId6"/>
    <sheet name="Reports" sheetId="4" r:id="rId7"/>
    <sheet name="MTT" sheetId="10" r:id="rId8"/>
    <sheet name="ITT" sheetId="11" r:id="rId9"/>
  </sheets>
  <externalReferences>
    <externalReference r:id="rId10"/>
  </externalReferences>
  <definedNames>
    <definedName name="_xlnm._FilterDatabase" localSheetId="6" hidden="1">Reports!$A$3:$AD$62</definedName>
    <definedName name="Print" localSheetId="1">Tue!$A$3:$P$52</definedName>
    <definedName name="_xlnm.Print_Titles" localSheetId="4">Fri!$A$3:$Q$52</definedName>
    <definedName name="_xlnm.Print_Titles" localSheetId="0">Mon!$A$3:$P$52</definedName>
    <definedName name="_xlnm.Print_Titles" localSheetId="5">Sat!$A$3:$P$52</definedName>
    <definedName name="_xlnm.Print_Titles" localSheetId="3">Thur!$A$3:$P$52</definedName>
    <definedName name="_xlnm.Print_Titles" localSheetId="2">Wed!$A$3:$P$52</definedName>
    <definedName name="SUBFRI">Fri!$A$71:$Z$107</definedName>
    <definedName name="SUBMON">Mon!$A$71:$Z$107</definedName>
    <definedName name="SUBSAT">Sat!$A$71:$Z$107</definedName>
    <definedName name="SUBTHUR">Thur!$A$71:$Z$107</definedName>
    <definedName name="SUBTUE">Tue!$A$71:$Z$107</definedName>
    <definedName name="SUBWED">Wed!$A$71:$Z$107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7" l="1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M16" i="5"/>
  <c r="M15" i="5"/>
  <c r="M14" i="5"/>
  <c r="M13" i="5"/>
  <c r="M12" i="5"/>
  <c r="M11" i="5"/>
  <c r="M10" i="5"/>
  <c r="M9" i="5"/>
  <c r="M8" i="5"/>
  <c r="M7" i="5"/>
  <c r="M6" i="5"/>
  <c r="M5" i="5"/>
  <c r="K16" i="5"/>
  <c r="K15" i="5"/>
  <c r="K14" i="5"/>
  <c r="K13" i="5"/>
  <c r="K12" i="5"/>
  <c r="K11" i="5"/>
  <c r="K10" i="5"/>
  <c r="K9" i="5"/>
  <c r="K8" i="5"/>
  <c r="K7" i="5"/>
  <c r="K6" i="5"/>
  <c r="K5" i="5"/>
  <c r="G16" i="5"/>
  <c r="G15" i="5"/>
  <c r="G14" i="5"/>
  <c r="G13" i="5"/>
  <c r="G12" i="5"/>
  <c r="G11" i="5"/>
  <c r="G10" i="5"/>
  <c r="G9" i="5"/>
  <c r="G8" i="5"/>
  <c r="G7" i="5"/>
  <c r="G6" i="5"/>
  <c r="G5" i="5"/>
  <c r="E16" i="5"/>
  <c r="E15" i="5"/>
  <c r="E14" i="5"/>
  <c r="E13" i="5"/>
  <c r="E12" i="5"/>
  <c r="E11" i="5"/>
  <c r="E10" i="5"/>
  <c r="E9" i="5"/>
  <c r="E8" i="5"/>
  <c r="E7" i="5"/>
  <c r="E6" i="5"/>
  <c r="E5" i="5"/>
  <c r="M16" i="2"/>
  <c r="K16" i="2"/>
  <c r="G16" i="2"/>
  <c r="E16" i="2"/>
  <c r="E15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M6" i="2"/>
  <c r="M5" i="2"/>
  <c r="M15" i="2"/>
  <c r="M14" i="2"/>
  <c r="M13" i="2"/>
  <c r="M12" i="2"/>
  <c r="M11" i="2"/>
  <c r="M10" i="2"/>
  <c r="M9" i="2"/>
  <c r="M8" i="2"/>
  <c r="M7" i="2"/>
  <c r="K15" i="2"/>
  <c r="K14" i="2"/>
  <c r="K13" i="2"/>
  <c r="K12" i="2"/>
  <c r="K11" i="2"/>
  <c r="K10" i="2"/>
  <c r="K9" i="2"/>
  <c r="K8" i="2"/>
  <c r="K7" i="2"/>
  <c r="K6" i="2"/>
  <c r="K5" i="2"/>
  <c r="G15" i="2"/>
  <c r="G14" i="2"/>
  <c r="G13" i="2"/>
  <c r="G12" i="2"/>
  <c r="G11" i="2"/>
  <c r="G10" i="2"/>
  <c r="G9" i="2"/>
  <c r="G8" i="2"/>
  <c r="G7" i="2"/>
  <c r="G6" i="2"/>
  <c r="G5" i="2"/>
  <c r="E14" i="2"/>
  <c r="E13" i="2"/>
  <c r="E12" i="2"/>
  <c r="E11" i="2"/>
  <c r="E10" i="2"/>
  <c r="E9" i="2"/>
  <c r="E8" i="2"/>
  <c r="E7" i="2"/>
  <c r="E6" i="2"/>
  <c r="E5" i="2"/>
  <c r="F17" i="2"/>
  <c r="AG19" i="2" l="1"/>
  <c r="AG9" i="2"/>
  <c r="BL52" i="10" l="1"/>
  <c r="BM52" i="10"/>
  <c r="BL53" i="10"/>
  <c r="BM53" i="10"/>
  <c r="BN36" i="10"/>
  <c r="BO36" i="10"/>
  <c r="BN38" i="10"/>
  <c r="BO38" i="10"/>
  <c r="BN39" i="10"/>
  <c r="BO39" i="10"/>
  <c r="BN40" i="10"/>
  <c r="BO40" i="10"/>
  <c r="BN41" i="10"/>
  <c r="BO41" i="10"/>
  <c r="BN42" i="10"/>
  <c r="BO42" i="10"/>
  <c r="BN43" i="10"/>
  <c r="BO43" i="10"/>
  <c r="BN44" i="10"/>
  <c r="BO44" i="10"/>
  <c r="BN45" i="10"/>
  <c r="BO45" i="10"/>
  <c r="BN46" i="10"/>
  <c r="BO46" i="10"/>
  <c r="BN47" i="10"/>
  <c r="BO47" i="10"/>
  <c r="BN48" i="10"/>
  <c r="BO48" i="10"/>
  <c r="BN49" i="10"/>
  <c r="BO49" i="10"/>
  <c r="BN50" i="10"/>
  <c r="BO50" i="10"/>
  <c r="BN51" i="10"/>
  <c r="BO51" i="10"/>
  <c r="BN52" i="10"/>
  <c r="BO52" i="10"/>
  <c r="BN53" i="10"/>
  <c r="BO53" i="10"/>
  <c r="BN54" i="10"/>
  <c r="BO54" i="10"/>
  <c r="BN37" i="10"/>
  <c r="BO37" i="10"/>
  <c r="BM39" i="10"/>
  <c r="BM40" i="10"/>
  <c r="BM41" i="10"/>
  <c r="BM42" i="10"/>
  <c r="BM43" i="10"/>
  <c r="BM44" i="10"/>
  <c r="BM45" i="10"/>
  <c r="BM46" i="10"/>
  <c r="BM47" i="10"/>
  <c r="BM48" i="10"/>
  <c r="BM49" i="10"/>
  <c r="BM50" i="10"/>
  <c r="BL51" i="10"/>
  <c r="BM51" i="10"/>
  <c r="BM38" i="10"/>
  <c r="BH52" i="10"/>
  <c r="BI52" i="10"/>
  <c r="BH53" i="10"/>
  <c r="BI53" i="10"/>
  <c r="A58" i="4" l="1"/>
  <c r="E58" i="4" l="1"/>
  <c r="D58" i="4"/>
  <c r="A6" i="4"/>
  <c r="W93" i="7" l="1"/>
  <c r="W93" i="5"/>
  <c r="S89" i="7"/>
  <c r="S89" i="5"/>
  <c r="G92" i="7"/>
  <c r="B79" i="5" l="1"/>
  <c r="B78" i="5"/>
  <c r="Q89" i="9" l="1"/>
  <c r="AG8" i="2" l="1"/>
  <c r="A92" i="8"/>
  <c r="D51" i="10" l="1"/>
  <c r="A5" i="10" l="1"/>
  <c r="A20" i="10"/>
  <c r="A21" i="10"/>
  <c r="A37" i="10"/>
  <c r="A38" i="10"/>
  <c r="B53" i="10"/>
  <c r="C53" i="10"/>
  <c r="D53" i="10"/>
  <c r="E53" i="10"/>
  <c r="F53" i="10"/>
  <c r="G53" i="10"/>
  <c r="H53" i="10"/>
  <c r="K53" i="10"/>
  <c r="L53" i="10"/>
  <c r="M53" i="10"/>
  <c r="N53" i="10"/>
  <c r="P53" i="10"/>
  <c r="Q53" i="10"/>
  <c r="R53" i="10"/>
  <c r="S53" i="10"/>
  <c r="V53" i="10"/>
  <c r="W53" i="10"/>
  <c r="X53" i="10"/>
  <c r="Y53" i="10"/>
  <c r="AA53" i="10"/>
  <c r="AB53" i="10"/>
  <c r="AC53" i="10"/>
  <c r="AD53" i="10"/>
  <c r="AG53" i="10"/>
  <c r="AH53" i="10"/>
  <c r="AI53" i="10"/>
  <c r="AJ53" i="10"/>
  <c r="AL53" i="10"/>
  <c r="AM53" i="10"/>
  <c r="AN53" i="10"/>
  <c r="AO53" i="10"/>
  <c r="AR53" i="10"/>
  <c r="AS53" i="10"/>
  <c r="AT53" i="10"/>
  <c r="AU53" i="10"/>
  <c r="AW53" i="10"/>
  <c r="AX53" i="10"/>
  <c r="AY53" i="10"/>
  <c r="AZ53" i="10"/>
  <c r="BC53" i="10"/>
  <c r="BD53" i="10"/>
  <c r="BE53" i="10"/>
  <c r="BF53" i="10"/>
  <c r="BJ53" i="10"/>
  <c r="BK53" i="10"/>
  <c r="B51" i="10"/>
  <c r="C51" i="10"/>
  <c r="F51" i="10"/>
  <c r="H51" i="10"/>
  <c r="L51" i="10"/>
  <c r="N51" i="10"/>
  <c r="Q51" i="10"/>
  <c r="S51" i="10"/>
  <c r="W51" i="10"/>
  <c r="Y51" i="10"/>
  <c r="AB51" i="10"/>
  <c r="AD51" i="10"/>
  <c r="AH51" i="10"/>
  <c r="AJ51" i="10"/>
  <c r="AL51" i="10"/>
  <c r="AM51" i="10"/>
  <c r="AN51" i="10"/>
  <c r="AO51" i="10"/>
  <c r="AS51" i="10"/>
  <c r="AU51" i="10"/>
  <c r="AX51" i="10"/>
  <c r="AZ51" i="10"/>
  <c r="BD51" i="10"/>
  <c r="BF51" i="10"/>
  <c r="BK51" i="10"/>
  <c r="B52" i="10"/>
  <c r="C52" i="10"/>
  <c r="D52" i="10"/>
  <c r="E52" i="10"/>
  <c r="F52" i="10"/>
  <c r="G52" i="10"/>
  <c r="H52" i="10"/>
  <c r="K52" i="10"/>
  <c r="L52" i="10"/>
  <c r="M52" i="10"/>
  <c r="N52" i="10"/>
  <c r="P52" i="10"/>
  <c r="Q52" i="10"/>
  <c r="R52" i="10"/>
  <c r="S52" i="10"/>
  <c r="V52" i="10"/>
  <c r="W52" i="10"/>
  <c r="X52" i="10"/>
  <c r="Y52" i="10"/>
  <c r="AA52" i="10"/>
  <c r="AB52" i="10"/>
  <c r="AC52" i="10"/>
  <c r="AD52" i="10"/>
  <c r="AG52" i="10"/>
  <c r="AH52" i="10"/>
  <c r="AI52" i="10"/>
  <c r="AJ52" i="10"/>
  <c r="AL52" i="10"/>
  <c r="AM52" i="10"/>
  <c r="AN52" i="10"/>
  <c r="AO52" i="10"/>
  <c r="AR52" i="10"/>
  <c r="AS52" i="10"/>
  <c r="AT52" i="10"/>
  <c r="AU52" i="10"/>
  <c r="AW52" i="10"/>
  <c r="AX52" i="10"/>
  <c r="AY52" i="10"/>
  <c r="AZ52" i="10"/>
  <c r="BC52" i="10"/>
  <c r="BD52" i="10"/>
  <c r="BE52" i="10"/>
  <c r="BF52" i="10"/>
  <c r="BJ52" i="10"/>
  <c r="BK52" i="10"/>
  <c r="B6" i="10"/>
  <c r="C6" i="10"/>
  <c r="D6" i="10"/>
  <c r="F6" i="10"/>
  <c r="H6" i="10"/>
  <c r="L6" i="10"/>
  <c r="N6" i="10"/>
  <c r="Q6" i="10"/>
  <c r="S6" i="10"/>
  <c r="W6" i="10"/>
  <c r="Y6" i="10"/>
  <c r="AB6" i="10"/>
  <c r="AD6" i="10"/>
  <c r="AH6" i="10"/>
  <c r="AJ6" i="10"/>
  <c r="AM6" i="10"/>
  <c r="AO6" i="10"/>
  <c r="AS6" i="10"/>
  <c r="AU6" i="10"/>
  <c r="AX6" i="10"/>
  <c r="AZ6" i="10"/>
  <c r="BD6" i="10"/>
  <c r="BF6" i="10"/>
  <c r="BI6" i="10"/>
  <c r="BK6" i="10"/>
  <c r="BL6" i="10"/>
  <c r="BO6" i="10"/>
  <c r="B7" i="10"/>
  <c r="C7" i="10"/>
  <c r="D7" i="10"/>
  <c r="F7" i="10"/>
  <c r="H7" i="10"/>
  <c r="L7" i="10"/>
  <c r="N7" i="10"/>
  <c r="Q7" i="10"/>
  <c r="S7" i="10"/>
  <c r="W7" i="10"/>
  <c r="Y7" i="10"/>
  <c r="AB7" i="10"/>
  <c r="AD7" i="10"/>
  <c r="AH7" i="10"/>
  <c r="AJ7" i="10"/>
  <c r="AM7" i="10"/>
  <c r="AO7" i="10"/>
  <c r="AS7" i="10"/>
  <c r="AU7" i="10"/>
  <c r="AX7" i="10"/>
  <c r="AZ7" i="10"/>
  <c r="BD7" i="10"/>
  <c r="BF7" i="10"/>
  <c r="BI7" i="10"/>
  <c r="BK7" i="10"/>
  <c r="BL7" i="10"/>
  <c r="BO7" i="10"/>
  <c r="B8" i="10"/>
  <c r="C8" i="10"/>
  <c r="D8" i="10"/>
  <c r="F8" i="10"/>
  <c r="H8" i="10"/>
  <c r="L8" i="10"/>
  <c r="N8" i="10"/>
  <c r="Q8" i="10"/>
  <c r="S8" i="10"/>
  <c r="W8" i="10"/>
  <c r="Y8" i="10"/>
  <c r="AB8" i="10"/>
  <c r="AD8" i="10"/>
  <c r="AH8" i="10"/>
  <c r="AJ8" i="10"/>
  <c r="AM8" i="10"/>
  <c r="AO8" i="10"/>
  <c r="AS8" i="10"/>
  <c r="AU8" i="10"/>
  <c r="AX8" i="10"/>
  <c r="AZ8" i="10"/>
  <c r="BD8" i="10"/>
  <c r="BF8" i="10"/>
  <c r="BI8" i="10"/>
  <c r="BK8" i="10"/>
  <c r="BL8" i="10"/>
  <c r="BO8" i="10"/>
  <c r="B9" i="10"/>
  <c r="C9" i="10"/>
  <c r="D9" i="10"/>
  <c r="F9" i="10"/>
  <c r="H9" i="10"/>
  <c r="L9" i="10"/>
  <c r="N9" i="10"/>
  <c r="Q9" i="10"/>
  <c r="S9" i="10"/>
  <c r="W9" i="10"/>
  <c r="Y9" i="10"/>
  <c r="AB9" i="10"/>
  <c r="AD9" i="10"/>
  <c r="AH9" i="10"/>
  <c r="AJ9" i="10"/>
  <c r="AM9" i="10"/>
  <c r="AO9" i="10"/>
  <c r="AS9" i="10"/>
  <c r="AU9" i="10"/>
  <c r="AX9" i="10"/>
  <c r="AZ9" i="10"/>
  <c r="BD9" i="10"/>
  <c r="BF9" i="10"/>
  <c r="BI9" i="10"/>
  <c r="BK9" i="10"/>
  <c r="BL9" i="10"/>
  <c r="BO9" i="10"/>
  <c r="B10" i="10"/>
  <c r="C10" i="10"/>
  <c r="D10" i="10"/>
  <c r="F10" i="10"/>
  <c r="H10" i="10"/>
  <c r="L10" i="10"/>
  <c r="N10" i="10"/>
  <c r="Q10" i="10"/>
  <c r="S10" i="10"/>
  <c r="W10" i="10"/>
  <c r="Y10" i="10"/>
  <c r="AB10" i="10"/>
  <c r="AD10" i="10"/>
  <c r="AH10" i="10"/>
  <c r="AJ10" i="10"/>
  <c r="AM10" i="10"/>
  <c r="AO10" i="10"/>
  <c r="AS10" i="10"/>
  <c r="AU10" i="10"/>
  <c r="AX10" i="10"/>
  <c r="AZ10" i="10"/>
  <c r="BD10" i="10"/>
  <c r="BF10" i="10"/>
  <c r="BI10" i="10"/>
  <c r="BK10" i="10"/>
  <c r="BL10" i="10"/>
  <c r="BO10" i="10"/>
  <c r="B11" i="10"/>
  <c r="C11" i="10"/>
  <c r="D11" i="10"/>
  <c r="F11" i="10"/>
  <c r="H11" i="10"/>
  <c r="L11" i="10"/>
  <c r="N11" i="10"/>
  <c r="Q11" i="10"/>
  <c r="S11" i="10"/>
  <c r="W11" i="10"/>
  <c r="Y11" i="10"/>
  <c r="AB11" i="10"/>
  <c r="AD11" i="10"/>
  <c r="AH11" i="10"/>
  <c r="AJ11" i="10"/>
  <c r="AM11" i="10"/>
  <c r="AO11" i="10"/>
  <c r="AS11" i="10"/>
  <c r="AU11" i="10"/>
  <c r="AX11" i="10"/>
  <c r="AZ11" i="10"/>
  <c r="BD11" i="10"/>
  <c r="BF11" i="10"/>
  <c r="BI11" i="10"/>
  <c r="BK11" i="10"/>
  <c r="BL11" i="10"/>
  <c r="BO11" i="10"/>
  <c r="B12" i="10"/>
  <c r="C12" i="10"/>
  <c r="D12" i="10"/>
  <c r="F12" i="10"/>
  <c r="H12" i="10"/>
  <c r="L12" i="10"/>
  <c r="N12" i="10"/>
  <c r="Q12" i="10"/>
  <c r="S12" i="10"/>
  <c r="W12" i="10"/>
  <c r="Y12" i="10"/>
  <c r="AB12" i="10"/>
  <c r="AD12" i="10"/>
  <c r="AH12" i="10"/>
  <c r="AJ12" i="10"/>
  <c r="AM12" i="10"/>
  <c r="AO12" i="10"/>
  <c r="AS12" i="10"/>
  <c r="AU12" i="10"/>
  <c r="AX12" i="10"/>
  <c r="AZ12" i="10"/>
  <c r="BD12" i="10"/>
  <c r="BF12" i="10"/>
  <c r="BI12" i="10"/>
  <c r="BK12" i="10"/>
  <c r="BL12" i="10"/>
  <c r="BO12" i="10"/>
  <c r="B13" i="10"/>
  <c r="C13" i="10"/>
  <c r="D13" i="10"/>
  <c r="F13" i="10"/>
  <c r="H13" i="10"/>
  <c r="L13" i="10"/>
  <c r="N13" i="10"/>
  <c r="Q13" i="10"/>
  <c r="S13" i="10"/>
  <c r="W13" i="10"/>
  <c r="Y13" i="10"/>
  <c r="AB13" i="10"/>
  <c r="AD13" i="10"/>
  <c r="AH13" i="10"/>
  <c r="AJ13" i="10"/>
  <c r="AM13" i="10"/>
  <c r="AO13" i="10"/>
  <c r="AS13" i="10"/>
  <c r="AU13" i="10"/>
  <c r="AX13" i="10"/>
  <c r="AZ13" i="10"/>
  <c r="BD13" i="10"/>
  <c r="BF13" i="10"/>
  <c r="BI13" i="10"/>
  <c r="BK13" i="10"/>
  <c r="BL13" i="10"/>
  <c r="BO13" i="10"/>
  <c r="B14" i="10"/>
  <c r="C14" i="10"/>
  <c r="D14" i="10"/>
  <c r="F14" i="10"/>
  <c r="H14" i="10"/>
  <c r="L14" i="10"/>
  <c r="N14" i="10"/>
  <c r="Q14" i="10"/>
  <c r="S14" i="10"/>
  <c r="W14" i="10"/>
  <c r="Y14" i="10"/>
  <c r="AB14" i="10"/>
  <c r="AD14" i="10"/>
  <c r="AH14" i="10"/>
  <c r="AJ14" i="10"/>
  <c r="AM14" i="10"/>
  <c r="AO14" i="10"/>
  <c r="AS14" i="10"/>
  <c r="AU14" i="10"/>
  <c r="AX14" i="10"/>
  <c r="AZ14" i="10"/>
  <c r="BD14" i="10"/>
  <c r="BF14" i="10"/>
  <c r="BI14" i="10"/>
  <c r="BK14" i="10"/>
  <c r="BL14" i="10"/>
  <c r="BO14" i="10"/>
  <c r="B15" i="10"/>
  <c r="C15" i="10"/>
  <c r="D15" i="10"/>
  <c r="F15" i="10"/>
  <c r="H15" i="10"/>
  <c r="L15" i="10"/>
  <c r="N15" i="10"/>
  <c r="Q15" i="10"/>
  <c r="S15" i="10"/>
  <c r="W15" i="10"/>
  <c r="Y15" i="10"/>
  <c r="AB15" i="10"/>
  <c r="AD15" i="10"/>
  <c r="AH15" i="10"/>
  <c r="AJ15" i="10"/>
  <c r="AM15" i="10"/>
  <c r="AO15" i="10"/>
  <c r="AS15" i="10"/>
  <c r="AU15" i="10"/>
  <c r="AX15" i="10"/>
  <c r="AZ15" i="10"/>
  <c r="BD15" i="10"/>
  <c r="BF15" i="10"/>
  <c r="BI15" i="10"/>
  <c r="BK15" i="10"/>
  <c r="BL15" i="10"/>
  <c r="BO15" i="10"/>
  <c r="B16" i="10"/>
  <c r="C16" i="10"/>
  <c r="D16" i="10"/>
  <c r="F16" i="10"/>
  <c r="H16" i="10"/>
  <c r="L16" i="10"/>
  <c r="N16" i="10"/>
  <c r="Q16" i="10"/>
  <c r="S16" i="10"/>
  <c r="W16" i="10"/>
  <c r="Y16" i="10"/>
  <c r="AB16" i="10"/>
  <c r="AD16" i="10"/>
  <c r="AH16" i="10"/>
  <c r="AJ16" i="10"/>
  <c r="AM16" i="10"/>
  <c r="AO16" i="10"/>
  <c r="AS16" i="10"/>
  <c r="AU16" i="10"/>
  <c r="AX16" i="10"/>
  <c r="AZ16" i="10"/>
  <c r="BD16" i="10"/>
  <c r="BF16" i="10"/>
  <c r="BI16" i="10"/>
  <c r="BK16" i="10"/>
  <c r="BL16" i="10"/>
  <c r="BO16" i="10"/>
  <c r="B17" i="10"/>
  <c r="D17" i="10"/>
  <c r="AH17" i="10"/>
  <c r="BL17" i="10"/>
  <c r="B18" i="10"/>
  <c r="C18" i="10"/>
  <c r="D18" i="10"/>
  <c r="E18" i="10"/>
  <c r="F18" i="10"/>
  <c r="G18" i="10"/>
  <c r="H18" i="10"/>
  <c r="K18" i="10"/>
  <c r="L18" i="10"/>
  <c r="M18" i="10"/>
  <c r="N18" i="10"/>
  <c r="P18" i="10"/>
  <c r="Q18" i="10"/>
  <c r="R18" i="10"/>
  <c r="S18" i="10"/>
  <c r="V18" i="10"/>
  <c r="W18" i="10"/>
  <c r="X18" i="10"/>
  <c r="Y18" i="10"/>
  <c r="AA18" i="10"/>
  <c r="AB18" i="10"/>
  <c r="AC18" i="10"/>
  <c r="AD18" i="10"/>
  <c r="AG18" i="10"/>
  <c r="AH18" i="10"/>
  <c r="AI18" i="10"/>
  <c r="AJ18" i="10"/>
  <c r="AL18" i="10"/>
  <c r="AM18" i="10"/>
  <c r="AN18" i="10"/>
  <c r="AO18" i="10"/>
  <c r="AR18" i="10"/>
  <c r="AS18" i="10"/>
  <c r="AT18" i="10"/>
  <c r="AU18" i="10"/>
  <c r="AW18" i="10"/>
  <c r="AX18" i="10"/>
  <c r="AY18" i="10"/>
  <c r="AZ18" i="10"/>
  <c r="BC18" i="10"/>
  <c r="BD18" i="10"/>
  <c r="BE18" i="10"/>
  <c r="BF18" i="10"/>
  <c r="BH18" i="10"/>
  <c r="BI18" i="10"/>
  <c r="BJ18" i="10"/>
  <c r="BK18" i="10"/>
  <c r="BL18" i="10"/>
  <c r="BN18" i="10"/>
  <c r="BO18" i="10"/>
  <c r="B19" i="10"/>
  <c r="C19" i="10"/>
  <c r="D19" i="10"/>
  <c r="E19" i="10"/>
  <c r="F19" i="10"/>
  <c r="G19" i="10"/>
  <c r="H19" i="10"/>
  <c r="K19" i="10"/>
  <c r="L19" i="10"/>
  <c r="M19" i="10"/>
  <c r="N19" i="10"/>
  <c r="P19" i="10"/>
  <c r="Q19" i="10"/>
  <c r="R19" i="10"/>
  <c r="S19" i="10"/>
  <c r="V19" i="10"/>
  <c r="W19" i="10"/>
  <c r="X19" i="10"/>
  <c r="Y19" i="10"/>
  <c r="AA19" i="10"/>
  <c r="AB19" i="10"/>
  <c r="AC19" i="10"/>
  <c r="AD19" i="10"/>
  <c r="AG19" i="10"/>
  <c r="AH19" i="10"/>
  <c r="AI19" i="10"/>
  <c r="AJ19" i="10"/>
  <c r="AL19" i="10"/>
  <c r="AM19" i="10"/>
  <c r="AN19" i="10"/>
  <c r="AO19" i="10"/>
  <c r="AR19" i="10"/>
  <c r="AS19" i="10"/>
  <c r="AT19" i="10"/>
  <c r="AU19" i="10"/>
  <c r="AW19" i="10"/>
  <c r="AX19" i="10"/>
  <c r="AY19" i="10"/>
  <c r="AZ19" i="10"/>
  <c r="BC19" i="10"/>
  <c r="BD19" i="10"/>
  <c r="BE19" i="10"/>
  <c r="BF19" i="10"/>
  <c r="BH19" i="10"/>
  <c r="BI19" i="10"/>
  <c r="BJ19" i="10"/>
  <c r="BK19" i="10"/>
  <c r="BL19" i="10"/>
  <c r="BN19" i="10"/>
  <c r="BO19" i="10"/>
  <c r="B20" i="10"/>
  <c r="C20" i="10"/>
  <c r="D20" i="10"/>
  <c r="E20" i="10"/>
  <c r="F20" i="10"/>
  <c r="G20" i="10"/>
  <c r="H20" i="10"/>
  <c r="K20" i="10"/>
  <c r="L20" i="10"/>
  <c r="M20" i="10"/>
  <c r="N20" i="10"/>
  <c r="P20" i="10"/>
  <c r="Q20" i="10"/>
  <c r="R20" i="10"/>
  <c r="S20" i="10"/>
  <c r="V20" i="10"/>
  <c r="W20" i="10"/>
  <c r="X20" i="10"/>
  <c r="Y20" i="10"/>
  <c r="AA20" i="10"/>
  <c r="AB20" i="10"/>
  <c r="AC20" i="10"/>
  <c r="AD20" i="10"/>
  <c r="AG20" i="10"/>
  <c r="AH20" i="10"/>
  <c r="AI20" i="10"/>
  <c r="AJ20" i="10"/>
  <c r="AL20" i="10"/>
  <c r="AM20" i="10"/>
  <c r="AN20" i="10"/>
  <c r="AO20" i="10"/>
  <c r="AR20" i="10"/>
  <c r="AS20" i="10"/>
  <c r="AT20" i="10"/>
  <c r="AU20" i="10"/>
  <c r="AW20" i="10"/>
  <c r="AX20" i="10"/>
  <c r="AY20" i="10"/>
  <c r="AZ20" i="10"/>
  <c r="BC20" i="10"/>
  <c r="BD20" i="10"/>
  <c r="BE20" i="10"/>
  <c r="BF20" i="10"/>
  <c r="BH20" i="10"/>
  <c r="BI20" i="10"/>
  <c r="BJ20" i="10"/>
  <c r="BK20" i="10"/>
  <c r="BL20" i="10"/>
  <c r="BN20" i="10"/>
  <c r="BO20" i="10"/>
  <c r="B21" i="10"/>
  <c r="C21" i="10"/>
  <c r="D21" i="10"/>
  <c r="F21" i="10"/>
  <c r="H21" i="10"/>
  <c r="L21" i="10"/>
  <c r="N21" i="10"/>
  <c r="Q21" i="10"/>
  <c r="S21" i="10"/>
  <c r="W21" i="10"/>
  <c r="Y21" i="10"/>
  <c r="AB21" i="10"/>
  <c r="AD21" i="10"/>
  <c r="AH21" i="10"/>
  <c r="AI21" i="10"/>
  <c r="AJ21" i="10"/>
  <c r="AM21" i="10"/>
  <c r="AO21" i="10"/>
  <c r="AS21" i="10"/>
  <c r="AU21" i="10"/>
  <c r="AX21" i="10"/>
  <c r="AZ21" i="10"/>
  <c r="BD21" i="10"/>
  <c r="BF21" i="10"/>
  <c r="BI21" i="10"/>
  <c r="BK21" i="10"/>
  <c r="BL21" i="10"/>
  <c r="BO21" i="10"/>
  <c r="B22" i="10"/>
  <c r="C22" i="10"/>
  <c r="D22" i="10"/>
  <c r="F22" i="10"/>
  <c r="H22" i="10"/>
  <c r="L22" i="10"/>
  <c r="N22" i="10"/>
  <c r="Q22" i="10"/>
  <c r="S22" i="10"/>
  <c r="W22" i="10"/>
  <c r="Y22" i="10"/>
  <c r="AB22" i="10"/>
  <c r="AD22" i="10"/>
  <c r="AH22" i="10"/>
  <c r="AI22" i="10"/>
  <c r="AJ22" i="10"/>
  <c r="AM22" i="10"/>
  <c r="AO22" i="10"/>
  <c r="AS22" i="10"/>
  <c r="AU22" i="10"/>
  <c r="AX22" i="10"/>
  <c r="AZ22" i="10"/>
  <c r="BD22" i="10"/>
  <c r="BF22" i="10"/>
  <c r="BI22" i="10"/>
  <c r="BK22" i="10"/>
  <c r="BL22" i="10"/>
  <c r="BO22" i="10"/>
  <c r="B23" i="10"/>
  <c r="C23" i="10"/>
  <c r="D23" i="10"/>
  <c r="F23" i="10"/>
  <c r="H23" i="10"/>
  <c r="L23" i="10"/>
  <c r="N23" i="10"/>
  <c r="Q23" i="10"/>
  <c r="S23" i="10"/>
  <c r="W23" i="10"/>
  <c r="Y23" i="10"/>
  <c r="AB23" i="10"/>
  <c r="AD23" i="10"/>
  <c r="AH23" i="10"/>
  <c r="AI23" i="10"/>
  <c r="AJ23" i="10"/>
  <c r="AM23" i="10"/>
  <c r="AO23" i="10"/>
  <c r="AS23" i="10"/>
  <c r="AU23" i="10"/>
  <c r="AX23" i="10"/>
  <c r="AZ23" i="10"/>
  <c r="BD23" i="10"/>
  <c r="BF23" i="10"/>
  <c r="BI23" i="10"/>
  <c r="BK23" i="10"/>
  <c r="BL23" i="10"/>
  <c r="BO23" i="10"/>
  <c r="B24" i="10"/>
  <c r="C24" i="10"/>
  <c r="D24" i="10"/>
  <c r="F24" i="10"/>
  <c r="H24" i="10"/>
  <c r="L24" i="10"/>
  <c r="N24" i="10"/>
  <c r="Q24" i="10"/>
  <c r="S24" i="10"/>
  <c r="W24" i="10"/>
  <c r="Y24" i="10"/>
  <c r="AB24" i="10"/>
  <c r="AD24" i="10"/>
  <c r="AH24" i="10"/>
  <c r="AI24" i="10"/>
  <c r="AJ24" i="10"/>
  <c r="AM24" i="10"/>
  <c r="AO24" i="10"/>
  <c r="AS24" i="10"/>
  <c r="AU24" i="10"/>
  <c r="AX24" i="10"/>
  <c r="AZ24" i="10"/>
  <c r="BD24" i="10"/>
  <c r="BF24" i="10"/>
  <c r="BI24" i="10"/>
  <c r="BK24" i="10"/>
  <c r="BL24" i="10"/>
  <c r="BO24" i="10"/>
  <c r="B25" i="10"/>
  <c r="C25" i="10"/>
  <c r="D25" i="10"/>
  <c r="F25" i="10"/>
  <c r="H25" i="10"/>
  <c r="L25" i="10"/>
  <c r="N25" i="10"/>
  <c r="Q25" i="10"/>
  <c r="S25" i="10"/>
  <c r="W25" i="10"/>
  <c r="Y25" i="10"/>
  <c r="AB25" i="10"/>
  <c r="AD25" i="10"/>
  <c r="AH25" i="10"/>
  <c r="AI25" i="10"/>
  <c r="AJ25" i="10"/>
  <c r="AM25" i="10"/>
  <c r="AO25" i="10"/>
  <c r="AS25" i="10"/>
  <c r="AU25" i="10"/>
  <c r="AX25" i="10"/>
  <c r="AZ25" i="10"/>
  <c r="BD25" i="10"/>
  <c r="BF25" i="10"/>
  <c r="BI25" i="10"/>
  <c r="BK25" i="10"/>
  <c r="BL25" i="10"/>
  <c r="BO25" i="10"/>
  <c r="B26" i="10"/>
  <c r="C26" i="10"/>
  <c r="D26" i="10"/>
  <c r="F26" i="10"/>
  <c r="H26" i="10"/>
  <c r="L26" i="10"/>
  <c r="N26" i="10"/>
  <c r="Q26" i="10"/>
  <c r="S26" i="10"/>
  <c r="W26" i="10"/>
  <c r="Y26" i="10"/>
  <c r="AB26" i="10"/>
  <c r="AD26" i="10"/>
  <c r="AH26" i="10"/>
  <c r="AI26" i="10"/>
  <c r="AJ26" i="10"/>
  <c r="AM26" i="10"/>
  <c r="AO26" i="10"/>
  <c r="AS26" i="10"/>
  <c r="AU26" i="10"/>
  <c r="AX26" i="10"/>
  <c r="AZ26" i="10"/>
  <c r="BD26" i="10"/>
  <c r="BF26" i="10"/>
  <c r="BI26" i="10"/>
  <c r="BK26" i="10"/>
  <c r="BL26" i="10"/>
  <c r="BO26" i="10"/>
  <c r="B27" i="10"/>
  <c r="C27" i="10"/>
  <c r="D27" i="10"/>
  <c r="F27" i="10"/>
  <c r="H27" i="10"/>
  <c r="L27" i="10"/>
  <c r="N27" i="10"/>
  <c r="Q27" i="10"/>
  <c r="S27" i="10"/>
  <c r="W27" i="10"/>
  <c r="Y27" i="10"/>
  <c r="AB27" i="10"/>
  <c r="AD27" i="10"/>
  <c r="AH27" i="10"/>
  <c r="AI27" i="10"/>
  <c r="AJ27" i="10"/>
  <c r="AM27" i="10"/>
  <c r="AO27" i="10"/>
  <c r="AS27" i="10"/>
  <c r="AU27" i="10"/>
  <c r="AX27" i="10"/>
  <c r="AZ27" i="10"/>
  <c r="BD27" i="10"/>
  <c r="BF27" i="10"/>
  <c r="BI27" i="10"/>
  <c r="BK27" i="10"/>
  <c r="BL27" i="10"/>
  <c r="BO27" i="10"/>
  <c r="B28" i="10"/>
  <c r="C28" i="10"/>
  <c r="D28" i="10"/>
  <c r="F28" i="10"/>
  <c r="H28" i="10"/>
  <c r="L28" i="10"/>
  <c r="N28" i="10"/>
  <c r="Q28" i="10"/>
  <c r="S28" i="10"/>
  <c r="W28" i="10"/>
  <c r="Y28" i="10"/>
  <c r="AB28" i="10"/>
  <c r="AD28" i="10"/>
  <c r="AH28" i="10"/>
  <c r="AI28" i="10"/>
  <c r="AJ28" i="10"/>
  <c r="AM28" i="10"/>
  <c r="AO28" i="10"/>
  <c r="AS28" i="10"/>
  <c r="AU28" i="10"/>
  <c r="AX28" i="10"/>
  <c r="AZ28" i="10"/>
  <c r="BD28" i="10"/>
  <c r="BF28" i="10"/>
  <c r="BI28" i="10"/>
  <c r="BK28" i="10"/>
  <c r="BL28" i="10"/>
  <c r="BO28" i="10"/>
  <c r="B29" i="10"/>
  <c r="C29" i="10"/>
  <c r="D29" i="10"/>
  <c r="F29" i="10"/>
  <c r="H29" i="10"/>
  <c r="L29" i="10"/>
  <c r="N29" i="10"/>
  <c r="Q29" i="10"/>
  <c r="S29" i="10"/>
  <c r="W29" i="10"/>
  <c r="Y29" i="10"/>
  <c r="AB29" i="10"/>
  <c r="AD29" i="10"/>
  <c r="AH29" i="10"/>
  <c r="AI29" i="10"/>
  <c r="AJ29" i="10"/>
  <c r="AM29" i="10"/>
  <c r="AO29" i="10"/>
  <c r="AS29" i="10"/>
  <c r="AU29" i="10"/>
  <c r="AX29" i="10"/>
  <c r="AZ29" i="10"/>
  <c r="BD29" i="10"/>
  <c r="BF29" i="10"/>
  <c r="BI29" i="10"/>
  <c r="BK29" i="10"/>
  <c r="BL29" i="10"/>
  <c r="BO29" i="10"/>
  <c r="B30" i="10"/>
  <c r="C30" i="10"/>
  <c r="D30" i="10"/>
  <c r="F30" i="10"/>
  <c r="H30" i="10"/>
  <c r="L30" i="10"/>
  <c r="N30" i="10"/>
  <c r="Q30" i="10"/>
  <c r="S30" i="10"/>
  <c r="W30" i="10"/>
  <c r="Y30" i="10"/>
  <c r="AB30" i="10"/>
  <c r="AD30" i="10"/>
  <c r="AH30" i="10"/>
  <c r="AI30" i="10"/>
  <c r="AJ30" i="10"/>
  <c r="AM30" i="10"/>
  <c r="AO30" i="10"/>
  <c r="AS30" i="10"/>
  <c r="AU30" i="10"/>
  <c r="AX30" i="10"/>
  <c r="AZ30" i="10"/>
  <c r="BD30" i="10"/>
  <c r="BF30" i="10"/>
  <c r="BI30" i="10"/>
  <c r="BK30" i="10"/>
  <c r="BL30" i="10"/>
  <c r="BO30" i="10"/>
  <c r="B31" i="10"/>
  <c r="C31" i="10"/>
  <c r="D31" i="10"/>
  <c r="F31" i="10"/>
  <c r="H31" i="10"/>
  <c r="L31" i="10"/>
  <c r="N31" i="10"/>
  <c r="Q31" i="10"/>
  <c r="S31" i="10"/>
  <c r="W31" i="10"/>
  <c r="Y31" i="10"/>
  <c r="AB31" i="10"/>
  <c r="AD31" i="10"/>
  <c r="AH31" i="10"/>
  <c r="AI31" i="10"/>
  <c r="AJ31" i="10"/>
  <c r="AM31" i="10"/>
  <c r="AO31" i="10"/>
  <c r="AS31" i="10"/>
  <c r="AU31" i="10"/>
  <c r="AX31" i="10"/>
  <c r="AZ31" i="10"/>
  <c r="BD31" i="10"/>
  <c r="BF31" i="10"/>
  <c r="BI31" i="10"/>
  <c r="BK31" i="10"/>
  <c r="BL31" i="10"/>
  <c r="BO31" i="10"/>
  <c r="B32" i="10"/>
  <c r="C32" i="10"/>
  <c r="D32" i="10"/>
  <c r="F32" i="10"/>
  <c r="H32" i="10"/>
  <c r="L32" i="10"/>
  <c r="N32" i="10"/>
  <c r="Q32" i="10"/>
  <c r="S32" i="10"/>
  <c r="W32" i="10"/>
  <c r="Y32" i="10"/>
  <c r="AB32" i="10"/>
  <c r="AD32" i="10"/>
  <c r="AH32" i="10"/>
  <c r="AI32" i="10"/>
  <c r="AJ32" i="10"/>
  <c r="AM32" i="10"/>
  <c r="AO32" i="10"/>
  <c r="AS32" i="10"/>
  <c r="AU32" i="10"/>
  <c r="AX32" i="10"/>
  <c r="AZ32" i="10"/>
  <c r="BD32" i="10"/>
  <c r="BF32" i="10"/>
  <c r="BI32" i="10"/>
  <c r="BK32" i="10"/>
  <c r="BL32" i="10"/>
  <c r="BO32" i="10"/>
  <c r="B33" i="10"/>
  <c r="C33" i="10"/>
  <c r="D33" i="10"/>
  <c r="F33" i="10"/>
  <c r="H33" i="10"/>
  <c r="L33" i="10"/>
  <c r="N33" i="10"/>
  <c r="Q33" i="10"/>
  <c r="S33" i="10"/>
  <c r="W33" i="10"/>
  <c r="Y33" i="10"/>
  <c r="AB33" i="10"/>
  <c r="AD33" i="10"/>
  <c r="AH33" i="10"/>
  <c r="AI33" i="10"/>
  <c r="AJ33" i="10"/>
  <c r="AM33" i="10"/>
  <c r="AO33" i="10"/>
  <c r="AS33" i="10"/>
  <c r="AU33" i="10"/>
  <c r="AX33" i="10"/>
  <c r="AZ33" i="10"/>
  <c r="BD33" i="10"/>
  <c r="BF33" i="10"/>
  <c r="BI33" i="10"/>
  <c r="BK33" i="10"/>
  <c r="BL33" i="10"/>
  <c r="BO33" i="10"/>
  <c r="B34" i="10"/>
  <c r="C34" i="10"/>
  <c r="D34" i="10"/>
  <c r="F34" i="10"/>
  <c r="H34" i="10"/>
  <c r="L34" i="10"/>
  <c r="N34" i="10"/>
  <c r="Q34" i="10"/>
  <c r="S34" i="10"/>
  <c r="W34" i="10"/>
  <c r="Y34" i="10"/>
  <c r="AB34" i="10"/>
  <c r="AD34" i="10"/>
  <c r="AH34" i="10"/>
  <c r="AI34" i="10"/>
  <c r="AJ34" i="10"/>
  <c r="AM34" i="10"/>
  <c r="AO34" i="10"/>
  <c r="AS34" i="10"/>
  <c r="AU34" i="10"/>
  <c r="AX34" i="10"/>
  <c r="AZ34" i="10"/>
  <c r="BD34" i="10"/>
  <c r="BF34" i="10"/>
  <c r="BI34" i="10"/>
  <c r="BK34" i="10"/>
  <c r="BL34" i="10"/>
  <c r="BO34" i="10"/>
  <c r="B35" i="10"/>
  <c r="C35" i="10"/>
  <c r="D35" i="10"/>
  <c r="E35" i="10"/>
  <c r="F35" i="10"/>
  <c r="G35" i="10"/>
  <c r="H35" i="10"/>
  <c r="K35" i="10"/>
  <c r="L35" i="10"/>
  <c r="M35" i="10"/>
  <c r="N35" i="10"/>
  <c r="P35" i="10"/>
  <c r="Q35" i="10"/>
  <c r="R35" i="10"/>
  <c r="S35" i="10"/>
  <c r="V35" i="10"/>
  <c r="W35" i="10"/>
  <c r="X35" i="10"/>
  <c r="Y35" i="10"/>
  <c r="AA35" i="10"/>
  <c r="AB35" i="10"/>
  <c r="AC35" i="10"/>
  <c r="AD35" i="10"/>
  <c r="AG35" i="10"/>
  <c r="AH35" i="10"/>
  <c r="AI35" i="10"/>
  <c r="AJ35" i="10"/>
  <c r="AL35" i="10"/>
  <c r="AM35" i="10"/>
  <c r="AN35" i="10"/>
  <c r="AO35" i="10"/>
  <c r="AR35" i="10"/>
  <c r="AS35" i="10"/>
  <c r="AT35" i="10"/>
  <c r="AU35" i="10"/>
  <c r="AW35" i="10"/>
  <c r="AX35" i="10"/>
  <c r="AY35" i="10"/>
  <c r="AZ35" i="10"/>
  <c r="BC35" i="10"/>
  <c r="BD35" i="10"/>
  <c r="BE35" i="10"/>
  <c r="BF35" i="10"/>
  <c r="BH35" i="10"/>
  <c r="BI35" i="10"/>
  <c r="BJ35" i="10"/>
  <c r="BK35" i="10"/>
  <c r="BL35" i="10"/>
  <c r="BN35" i="10"/>
  <c r="BO35" i="10"/>
  <c r="B36" i="10"/>
  <c r="C36" i="10"/>
  <c r="D36" i="10"/>
  <c r="E36" i="10"/>
  <c r="F36" i="10"/>
  <c r="G36" i="10"/>
  <c r="H36" i="10"/>
  <c r="K36" i="10"/>
  <c r="L36" i="10"/>
  <c r="M36" i="10"/>
  <c r="N36" i="10"/>
  <c r="P36" i="10"/>
  <c r="Q36" i="10"/>
  <c r="R36" i="10"/>
  <c r="S36" i="10"/>
  <c r="V36" i="10"/>
  <c r="W36" i="10"/>
  <c r="X36" i="10"/>
  <c r="Y36" i="10"/>
  <c r="AA36" i="10"/>
  <c r="AB36" i="10"/>
  <c r="AC36" i="10"/>
  <c r="AD36" i="10"/>
  <c r="AG36" i="10"/>
  <c r="AH36" i="10"/>
  <c r="AI36" i="10"/>
  <c r="AJ36" i="10"/>
  <c r="AL36" i="10"/>
  <c r="AM36" i="10"/>
  <c r="AN36" i="10"/>
  <c r="AO36" i="10"/>
  <c r="AR36" i="10"/>
  <c r="AS36" i="10"/>
  <c r="AT36" i="10"/>
  <c r="AU36" i="10"/>
  <c r="AW36" i="10"/>
  <c r="AX36" i="10"/>
  <c r="AY36" i="10"/>
  <c r="AZ36" i="10"/>
  <c r="BC36" i="10"/>
  <c r="BD36" i="10"/>
  <c r="BE36" i="10"/>
  <c r="BF36" i="10"/>
  <c r="BH36" i="10"/>
  <c r="BI36" i="10"/>
  <c r="BJ36" i="10"/>
  <c r="BK36" i="10"/>
  <c r="BL36" i="10"/>
  <c r="B37" i="10"/>
  <c r="C37" i="10"/>
  <c r="D37" i="10"/>
  <c r="E37" i="10"/>
  <c r="F37" i="10"/>
  <c r="G37" i="10"/>
  <c r="H37" i="10"/>
  <c r="K37" i="10"/>
  <c r="L37" i="10"/>
  <c r="M37" i="10"/>
  <c r="N37" i="10"/>
  <c r="P37" i="10"/>
  <c r="Q37" i="10"/>
  <c r="R37" i="10"/>
  <c r="S37" i="10"/>
  <c r="V37" i="10"/>
  <c r="W37" i="10"/>
  <c r="X37" i="10"/>
  <c r="Y37" i="10"/>
  <c r="AA37" i="10"/>
  <c r="AB37" i="10"/>
  <c r="AC37" i="10"/>
  <c r="AD37" i="10"/>
  <c r="AG37" i="10"/>
  <c r="AH37" i="10"/>
  <c r="AI37" i="10"/>
  <c r="AJ37" i="10"/>
  <c r="AL37" i="10"/>
  <c r="AM37" i="10"/>
  <c r="AN37" i="10"/>
  <c r="AO37" i="10"/>
  <c r="AR37" i="10"/>
  <c r="AS37" i="10"/>
  <c r="AT37" i="10"/>
  <c r="AU37" i="10"/>
  <c r="AW37" i="10"/>
  <c r="AX37" i="10"/>
  <c r="AY37" i="10"/>
  <c r="AZ37" i="10"/>
  <c r="BC37" i="10"/>
  <c r="BD37" i="10"/>
  <c r="BE37" i="10"/>
  <c r="BF37" i="10"/>
  <c r="BH37" i="10"/>
  <c r="BI37" i="10"/>
  <c r="BJ37" i="10"/>
  <c r="BK37" i="10"/>
  <c r="BL37" i="10"/>
  <c r="B38" i="10"/>
  <c r="C38" i="10"/>
  <c r="D38" i="10"/>
  <c r="F38" i="10"/>
  <c r="H38" i="10"/>
  <c r="L38" i="10"/>
  <c r="N38" i="10"/>
  <c r="Q38" i="10"/>
  <c r="S38" i="10"/>
  <c r="W38" i="10"/>
  <c r="Y38" i="10"/>
  <c r="AB38" i="10"/>
  <c r="AD38" i="10"/>
  <c r="AH38" i="10"/>
  <c r="AJ38" i="10"/>
  <c r="AL38" i="10"/>
  <c r="AM38" i="10"/>
  <c r="AN38" i="10"/>
  <c r="AO38" i="10"/>
  <c r="AS38" i="10"/>
  <c r="AU38" i="10"/>
  <c r="AX38" i="10"/>
  <c r="AZ38" i="10"/>
  <c r="BD38" i="10"/>
  <c r="BF38" i="10"/>
  <c r="BK38" i="10"/>
  <c r="B39" i="10"/>
  <c r="C39" i="10"/>
  <c r="D39" i="10"/>
  <c r="F39" i="10"/>
  <c r="H39" i="10"/>
  <c r="L39" i="10"/>
  <c r="N39" i="10"/>
  <c r="Q39" i="10"/>
  <c r="S39" i="10"/>
  <c r="W39" i="10"/>
  <c r="Y39" i="10"/>
  <c r="AB39" i="10"/>
  <c r="AD39" i="10"/>
  <c r="AH39" i="10"/>
  <c r="AJ39" i="10"/>
  <c r="AL39" i="10"/>
  <c r="AM39" i="10"/>
  <c r="AN39" i="10"/>
  <c r="AO39" i="10"/>
  <c r="AS39" i="10"/>
  <c r="AU39" i="10"/>
  <c r="AX39" i="10"/>
  <c r="AZ39" i="10"/>
  <c r="BD39" i="10"/>
  <c r="BF39" i="10"/>
  <c r="BK39" i="10"/>
  <c r="B40" i="10"/>
  <c r="C40" i="10"/>
  <c r="D40" i="10"/>
  <c r="F40" i="10"/>
  <c r="H40" i="10"/>
  <c r="L40" i="10"/>
  <c r="N40" i="10"/>
  <c r="Q40" i="10"/>
  <c r="S40" i="10"/>
  <c r="W40" i="10"/>
  <c r="Y40" i="10"/>
  <c r="AB40" i="10"/>
  <c r="AD40" i="10"/>
  <c r="AH40" i="10"/>
  <c r="AJ40" i="10"/>
  <c r="AL40" i="10"/>
  <c r="AM40" i="10"/>
  <c r="AN40" i="10"/>
  <c r="AO40" i="10"/>
  <c r="AS40" i="10"/>
  <c r="AU40" i="10"/>
  <c r="AX40" i="10"/>
  <c r="AZ40" i="10"/>
  <c r="BD40" i="10"/>
  <c r="BF40" i="10"/>
  <c r="BK40" i="10"/>
  <c r="B41" i="10"/>
  <c r="C41" i="10"/>
  <c r="D41" i="10"/>
  <c r="F41" i="10"/>
  <c r="H41" i="10"/>
  <c r="L41" i="10"/>
  <c r="N41" i="10"/>
  <c r="Q41" i="10"/>
  <c r="S41" i="10"/>
  <c r="W41" i="10"/>
  <c r="Y41" i="10"/>
  <c r="AB41" i="10"/>
  <c r="AD41" i="10"/>
  <c r="AH41" i="10"/>
  <c r="AJ41" i="10"/>
  <c r="AL41" i="10"/>
  <c r="AM41" i="10"/>
  <c r="AN41" i="10"/>
  <c r="AO41" i="10"/>
  <c r="AS41" i="10"/>
  <c r="AU41" i="10"/>
  <c r="AX41" i="10"/>
  <c r="AZ41" i="10"/>
  <c r="BD41" i="10"/>
  <c r="BF41" i="10"/>
  <c r="BK41" i="10"/>
  <c r="B42" i="10"/>
  <c r="C42" i="10"/>
  <c r="D42" i="10"/>
  <c r="F42" i="10"/>
  <c r="H42" i="10"/>
  <c r="L42" i="10"/>
  <c r="N42" i="10"/>
  <c r="Q42" i="10"/>
  <c r="S42" i="10"/>
  <c r="W42" i="10"/>
  <c r="Y42" i="10"/>
  <c r="AB42" i="10"/>
  <c r="AD42" i="10"/>
  <c r="AH42" i="10"/>
  <c r="AJ42" i="10"/>
  <c r="AL42" i="10"/>
  <c r="AM42" i="10"/>
  <c r="AN42" i="10"/>
  <c r="AO42" i="10"/>
  <c r="AS42" i="10"/>
  <c r="AU42" i="10"/>
  <c r="AX42" i="10"/>
  <c r="AZ42" i="10"/>
  <c r="BD42" i="10"/>
  <c r="BF42" i="10"/>
  <c r="BK42" i="10"/>
  <c r="B43" i="10"/>
  <c r="C43" i="10"/>
  <c r="D43" i="10"/>
  <c r="F43" i="10"/>
  <c r="H43" i="10"/>
  <c r="L43" i="10"/>
  <c r="N43" i="10"/>
  <c r="Q43" i="10"/>
  <c r="S43" i="10"/>
  <c r="W43" i="10"/>
  <c r="Y43" i="10"/>
  <c r="AB43" i="10"/>
  <c r="AD43" i="10"/>
  <c r="AH43" i="10"/>
  <c r="AJ43" i="10"/>
  <c r="AL43" i="10"/>
  <c r="AM43" i="10"/>
  <c r="AN43" i="10"/>
  <c r="AO43" i="10"/>
  <c r="AS43" i="10"/>
  <c r="AU43" i="10"/>
  <c r="AX43" i="10"/>
  <c r="AZ43" i="10"/>
  <c r="BD43" i="10"/>
  <c r="BF43" i="10"/>
  <c r="BK43" i="10"/>
  <c r="B44" i="10"/>
  <c r="C44" i="10"/>
  <c r="D44" i="10"/>
  <c r="F44" i="10"/>
  <c r="H44" i="10"/>
  <c r="L44" i="10"/>
  <c r="N44" i="10"/>
  <c r="Q44" i="10"/>
  <c r="S44" i="10"/>
  <c r="W44" i="10"/>
  <c r="Y44" i="10"/>
  <c r="AB44" i="10"/>
  <c r="AD44" i="10"/>
  <c r="AH44" i="10"/>
  <c r="AJ44" i="10"/>
  <c r="AL44" i="10"/>
  <c r="AM44" i="10"/>
  <c r="AN44" i="10"/>
  <c r="AO44" i="10"/>
  <c r="AS44" i="10"/>
  <c r="AU44" i="10"/>
  <c r="AX44" i="10"/>
  <c r="AZ44" i="10"/>
  <c r="BD44" i="10"/>
  <c r="BF44" i="10"/>
  <c r="BK44" i="10"/>
  <c r="B45" i="10"/>
  <c r="C45" i="10"/>
  <c r="D45" i="10"/>
  <c r="F45" i="10"/>
  <c r="H45" i="10"/>
  <c r="L45" i="10"/>
  <c r="N45" i="10"/>
  <c r="Q45" i="10"/>
  <c r="S45" i="10"/>
  <c r="W45" i="10"/>
  <c r="Y45" i="10"/>
  <c r="AB45" i="10"/>
  <c r="AD45" i="10"/>
  <c r="AH45" i="10"/>
  <c r="AJ45" i="10"/>
  <c r="AL45" i="10"/>
  <c r="AM45" i="10"/>
  <c r="AN45" i="10"/>
  <c r="AO45" i="10"/>
  <c r="AS45" i="10"/>
  <c r="AU45" i="10"/>
  <c r="AX45" i="10"/>
  <c r="AZ45" i="10"/>
  <c r="BD45" i="10"/>
  <c r="BF45" i="10"/>
  <c r="BK45" i="10"/>
  <c r="B46" i="10"/>
  <c r="C46" i="10"/>
  <c r="D46" i="10"/>
  <c r="F46" i="10"/>
  <c r="H46" i="10"/>
  <c r="L46" i="10"/>
  <c r="N46" i="10"/>
  <c r="Q46" i="10"/>
  <c r="S46" i="10"/>
  <c r="W46" i="10"/>
  <c r="Y46" i="10"/>
  <c r="AB46" i="10"/>
  <c r="AD46" i="10"/>
  <c r="AH46" i="10"/>
  <c r="AJ46" i="10"/>
  <c r="AL46" i="10"/>
  <c r="AM46" i="10"/>
  <c r="AN46" i="10"/>
  <c r="AO46" i="10"/>
  <c r="AS46" i="10"/>
  <c r="AU46" i="10"/>
  <c r="AX46" i="10"/>
  <c r="AZ46" i="10"/>
  <c r="BD46" i="10"/>
  <c r="BF46" i="10"/>
  <c r="BK46" i="10"/>
  <c r="B47" i="10"/>
  <c r="C47" i="10"/>
  <c r="D47" i="10"/>
  <c r="F47" i="10"/>
  <c r="H47" i="10"/>
  <c r="L47" i="10"/>
  <c r="N47" i="10"/>
  <c r="Q47" i="10"/>
  <c r="S47" i="10"/>
  <c r="W47" i="10"/>
  <c r="Y47" i="10"/>
  <c r="AB47" i="10"/>
  <c r="AD47" i="10"/>
  <c r="AH47" i="10"/>
  <c r="AJ47" i="10"/>
  <c r="AL47" i="10"/>
  <c r="AM47" i="10"/>
  <c r="AN47" i="10"/>
  <c r="AO47" i="10"/>
  <c r="AS47" i="10"/>
  <c r="AU47" i="10"/>
  <c r="AX47" i="10"/>
  <c r="AZ47" i="10"/>
  <c r="BD47" i="10"/>
  <c r="BF47" i="10"/>
  <c r="BK47" i="10"/>
  <c r="B48" i="10"/>
  <c r="C48" i="10"/>
  <c r="D48" i="10"/>
  <c r="F48" i="10"/>
  <c r="H48" i="10"/>
  <c r="L48" i="10"/>
  <c r="N48" i="10"/>
  <c r="Q48" i="10"/>
  <c r="S48" i="10"/>
  <c r="W48" i="10"/>
  <c r="Y48" i="10"/>
  <c r="AB48" i="10"/>
  <c r="AD48" i="10"/>
  <c r="AH48" i="10"/>
  <c r="AJ48" i="10"/>
  <c r="AL48" i="10"/>
  <c r="AM48" i="10"/>
  <c r="AN48" i="10"/>
  <c r="AO48" i="10"/>
  <c r="AS48" i="10"/>
  <c r="AU48" i="10"/>
  <c r="AX48" i="10"/>
  <c r="AZ48" i="10"/>
  <c r="BD48" i="10"/>
  <c r="BF48" i="10"/>
  <c r="BK48" i="10"/>
  <c r="B49" i="10"/>
  <c r="C49" i="10"/>
  <c r="D49" i="10"/>
  <c r="F49" i="10"/>
  <c r="H49" i="10"/>
  <c r="L49" i="10"/>
  <c r="N49" i="10"/>
  <c r="Q49" i="10"/>
  <c r="S49" i="10"/>
  <c r="W49" i="10"/>
  <c r="Y49" i="10"/>
  <c r="AB49" i="10"/>
  <c r="AD49" i="10"/>
  <c r="AH49" i="10"/>
  <c r="AJ49" i="10"/>
  <c r="AL49" i="10"/>
  <c r="AM49" i="10"/>
  <c r="AN49" i="10"/>
  <c r="AO49" i="10"/>
  <c r="AS49" i="10"/>
  <c r="AU49" i="10"/>
  <c r="AX49" i="10"/>
  <c r="AZ49" i="10"/>
  <c r="BD49" i="10"/>
  <c r="BF49" i="10"/>
  <c r="BK49" i="10"/>
  <c r="B50" i="10"/>
  <c r="C50" i="10"/>
  <c r="D50" i="10"/>
  <c r="F50" i="10"/>
  <c r="H50" i="10"/>
  <c r="L50" i="10"/>
  <c r="N50" i="10"/>
  <c r="Q50" i="10"/>
  <c r="S50" i="10"/>
  <c r="W50" i="10"/>
  <c r="Y50" i="10"/>
  <c r="AB50" i="10"/>
  <c r="AD50" i="10"/>
  <c r="AH50" i="10"/>
  <c r="AJ50" i="10"/>
  <c r="AL50" i="10"/>
  <c r="AM50" i="10"/>
  <c r="AN50" i="10"/>
  <c r="AO50" i="10"/>
  <c r="AS50" i="10"/>
  <c r="AU50" i="10"/>
  <c r="AX50" i="10"/>
  <c r="AZ50" i="10"/>
  <c r="BD50" i="10"/>
  <c r="BF50" i="10"/>
  <c r="BK50" i="10"/>
  <c r="C5" i="10"/>
  <c r="D5" i="10"/>
  <c r="F5" i="10"/>
  <c r="H5" i="10"/>
  <c r="L5" i="10"/>
  <c r="N5" i="10"/>
  <c r="Q5" i="10"/>
  <c r="S5" i="10"/>
  <c r="W5" i="10"/>
  <c r="Y5" i="10"/>
  <c r="AB5" i="10"/>
  <c r="AD5" i="10"/>
  <c r="AH5" i="10"/>
  <c r="AJ5" i="10"/>
  <c r="AM5" i="10"/>
  <c r="AO5" i="10"/>
  <c r="AS5" i="10"/>
  <c r="AU5" i="10"/>
  <c r="AX5" i="10"/>
  <c r="AZ5" i="10"/>
  <c r="BD5" i="10"/>
  <c r="BF5" i="10"/>
  <c r="BI5" i="10"/>
  <c r="BK5" i="10"/>
  <c r="BL5" i="10"/>
  <c r="BO5" i="10"/>
  <c r="A57" i="4"/>
  <c r="E57" i="4" s="1"/>
  <c r="D57" i="4"/>
  <c r="X58" i="2"/>
  <c r="AK58" i="2"/>
  <c r="AL58" i="2"/>
  <c r="AM58" i="2"/>
  <c r="AN58" i="2"/>
  <c r="X59" i="2"/>
  <c r="AK59" i="2"/>
  <c r="AL59" i="2"/>
  <c r="AM59" i="2"/>
  <c r="AN59" i="2"/>
  <c r="X60" i="2"/>
  <c r="AK60" i="2"/>
  <c r="AL60" i="2"/>
  <c r="AM60" i="2"/>
  <c r="AN60" i="2"/>
  <c r="X61" i="2"/>
  <c r="AK61" i="2"/>
  <c r="AL61" i="2"/>
  <c r="AM61" i="2"/>
  <c r="AN61" i="2"/>
  <c r="X62" i="2"/>
  <c r="AK62" i="2"/>
  <c r="AL62" i="2"/>
  <c r="AM62" i="2"/>
  <c r="AN62" i="2"/>
  <c r="X57" i="2"/>
  <c r="AL57" i="2"/>
  <c r="AM57" i="2"/>
  <c r="AN57" i="2"/>
  <c r="AK5" i="2" l="1"/>
  <c r="AL5" i="2"/>
  <c r="AM5" i="2"/>
  <c r="AN5" i="2"/>
  <c r="AK6" i="2"/>
  <c r="AL6" i="2"/>
  <c r="AM6" i="2"/>
  <c r="AN6" i="2"/>
  <c r="AK7" i="2"/>
  <c r="AL7" i="2"/>
  <c r="AM7" i="2"/>
  <c r="AN7" i="2"/>
  <c r="AK8" i="2"/>
  <c r="AL8" i="2"/>
  <c r="AM8" i="2"/>
  <c r="AN8" i="2"/>
  <c r="AK9" i="2"/>
  <c r="AL9" i="2"/>
  <c r="AM9" i="2"/>
  <c r="AN9" i="2"/>
  <c r="AK10" i="2"/>
  <c r="AL10" i="2"/>
  <c r="AM10" i="2"/>
  <c r="AN10" i="2"/>
  <c r="AK11" i="2"/>
  <c r="AL11" i="2"/>
  <c r="AM11" i="2"/>
  <c r="AN11" i="2"/>
  <c r="AK12" i="2"/>
  <c r="AL12" i="2"/>
  <c r="AM12" i="2"/>
  <c r="AN12" i="2"/>
  <c r="AK13" i="2"/>
  <c r="AL13" i="2"/>
  <c r="AM13" i="2"/>
  <c r="AN13" i="2"/>
  <c r="AK14" i="2"/>
  <c r="AL14" i="2"/>
  <c r="AM14" i="2"/>
  <c r="AN14" i="2"/>
  <c r="AK15" i="2"/>
  <c r="AL15" i="2"/>
  <c r="AM15" i="2"/>
  <c r="AN15" i="2"/>
  <c r="AK16" i="2"/>
  <c r="AL16" i="2"/>
  <c r="AM16" i="2"/>
  <c r="AN16" i="2"/>
  <c r="AK17" i="2"/>
  <c r="AL17" i="2"/>
  <c r="AM17" i="2"/>
  <c r="AN17" i="2"/>
  <c r="AK18" i="2"/>
  <c r="AL18" i="2"/>
  <c r="AM18" i="2"/>
  <c r="AN18" i="2"/>
  <c r="AK19" i="2"/>
  <c r="AL19" i="2"/>
  <c r="AM19" i="2"/>
  <c r="AN19" i="2"/>
  <c r="AK20" i="2"/>
  <c r="AL20" i="2"/>
  <c r="AM20" i="2"/>
  <c r="AN20" i="2"/>
  <c r="AK21" i="2"/>
  <c r="AL21" i="2"/>
  <c r="AM21" i="2"/>
  <c r="AN21" i="2"/>
  <c r="AK22" i="2"/>
  <c r="AL22" i="2"/>
  <c r="AM22" i="2"/>
  <c r="AN22" i="2"/>
  <c r="AK23" i="2"/>
  <c r="AL23" i="2"/>
  <c r="AM23" i="2"/>
  <c r="AN23" i="2"/>
  <c r="AK24" i="2"/>
  <c r="AL24" i="2"/>
  <c r="AM24" i="2"/>
  <c r="AN24" i="2"/>
  <c r="AK25" i="2"/>
  <c r="AL25" i="2"/>
  <c r="AM25" i="2"/>
  <c r="AN25" i="2"/>
  <c r="AK26" i="2"/>
  <c r="AL26" i="2"/>
  <c r="AM26" i="2"/>
  <c r="AN26" i="2"/>
  <c r="AK27" i="2"/>
  <c r="AL27" i="2"/>
  <c r="AM27" i="2"/>
  <c r="AN27" i="2"/>
  <c r="AK28" i="2"/>
  <c r="AL28" i="2"/>
  <c r="AM28" i="2"/>
  <c r="AN28" i="2"/>
  <c r="AK29" i="2"/>
  <c r="AL29" i="2"/>
  <c r="AM29" i="2"/>
  <c r="AN29" i="2"/>
  <c r="AL30" i="2"/>
  <c r="AM30" i="2"/>
  <c r="AN30" i="2"/>
  <c r="AL31" i="2"/>
  <c r="AM31" i="2"/>
  <c r="AN31" i="2"/>
  <c r="AK32" i="2"/>
  <c r="AL32" i="2"/>
  <c r="AM32" i="2"/>
  <c r="AN32" i="2"/>
  <c r="AK33" i="2"/>
  <c r="AL33" i="2"/>
  <c r="AM33" i="2"/>
  <c r="AN33" i="2"/>
  <c r="AK34" i="2"/>
  <c r="AL34" i="2"/>
  <c r="AM34" i="2"/>
  <c r="AN34" i="2"/>
  <c r="AK35" i="2"/>
  <c r="AL35" i="2"/>
  <c r="AM35" i="2"/>
  <c r="AK36" i="2"/>
  <c r="AL36" i="2"/>
  <c r="AM36" i="2"/>
  <c r="AN36" i="2"/>
  <c r="AK37" i="2"/>
  <c r="AL37" i="2"/>
  <c r="AM37" i="2"/>
  <c r="AN37" i="2"/>
  <c r="AL38" i="2"/>
  <c r="AM38" i="2"/>
  <c r="AN38" i="2"/>
  <c r="AK39" i="2"/>
  <c r="AL39" i="2"/>
  <c r="AM39" i="2"/>
  <c r="AN39" i="2"/>
  <c r="AK40" i="2"/>
  <c r="AL40" i="2"/>
  <c r="AM40" i="2"/>
  <c r="AK41" i="2"/>
  <c r="AL41" i="2"/>
  <c r="AM41" i="2"/>
  <c r="AN41" i="2"/>
  <c r="AK42" i="2"/>
  <c r="AL42" i="2"/>
  <c r="AM42" i="2"/>
  <c r="AN42" i="2"/>
  <c r="AK43" i="2"/>
  <c r="AL43" i="2"/>
  <c r="AM43" i="2"/>
  <c r="AN43" i="2"/>
  <c r="AK44" i="2"/>
  <c r="AL44" i="2"/>
  <c r="AM44" i="2"/>
  <c r="AN44" i="2"/>
  <c r="AK45" i="2"/>
  <c r="AL45" i="2"/>
  <c r="AM45" i="2"/>
  <c r="AN45" i="2"/>
  <c r="AK46" i="2"/>
  <c r="AL46" i="2"/>
  <c r="AM46" i="2"/>
  <c r="AN46" i="2"/>
  <c r="AK47" i="2"/>
  <c r="AL47" i="2"/>
  <c r="AM47" i="2"/>
  <c r="AN47" i="2"/>
  <c r="AK48" i="2"/>
  <c r="AL48" i="2"/>
  <c r="AM48" i="2"/>
  <c r="AN48" i="2"/>
  <c r="AK49" i="2"/>
  <c r="AL49" i="2"/>
  <c r="AM49" i="2"/>
  <c r="AN49" i="2"/>
  <c r="AK50" i="2"/>
  <c r="AL50" i="2"/>
  <c r="AM50" i="2"/>
  <c r="AN50" i="2"/>
  <c r="AK51" i="2"/>
  <c r="AL51" i="2"/>
  <c r="AM51" i="2"/>
  <c r="AN51" i="2"/>
  <c r="AK52" i="2"/>
  <c r="AL52" i="2"/>
  <c r="AM52" i="2"/>
  <c r="AN52" i="2"/>
  <c r="AK53" i="2"/>
  <c r="AL53" i="2"/>
  <c r="AM53" i="2"/>
  <c r="AN53" i="2"/>
  <c r="AK54" i="2"/>
  <c r="AL54" i="2"/>
  <c r="AM54" i="2"/>
  <c r="AN54" i="2"/>
  <c r="AK55" i="2"/>
  <c r="AL55" i="2"/>
  <c r="AM55" i="2"/>
  <c r="AN55" i="2"/>
  <c r="AK56" i="2"/>
  <c r="AL56" i="2"/>
  <c r="AM56" i="2"/>
  <c r="AN56" i="2"/>
  <c r="AN4" i="2"/>
  <c r="AM4" i="2"/>
  <c r="AL4" i="2"/>
  <c r="AK4" i="2"/>
  <c r="AG5" i="2"/>
  <c r="AH5" i="2"/>
  <c r="AI5" i="2"/>
  <c r="AJ5" i="2"/>
  <c r="AH6" i="2"/>
  <c r="AG7" i="2"/>
  <c r="AH7" i="2"/>
  <c r="AI7" i="2"/>
  <c r="AJ7" i="2"/>
  <c r="AH8" i="2"/>
  <c r="AH9" i="2"/>
  <c r="AG10" i="2"/>
  <c r="AH10" i="2"/>
  <c r="AI10" i="2"/>
  <c r="AJ10" i="2"/>
  <c r="AG11" i="2"/>
  <c r="AH11" i="2"/>
  <c r="AI11" i="2"/>
  <c r="AJ11" i="2"/>
  <c r="AG13" i="2"/>
  <c r="AH13" i="2"/>
  <c r="AI13" i="2"/>
  <c r="AJ13" i="2"/>
  <c r="AG14" i="2"/>
  <c r="AH14" i="2"/>
  <c r="AI14" i="2"/>
  <c r="AJ14" i="2"/>
  <c r="AG15" i="2"/>
  <c r="AJ15" i="2"/>
  <c r="AG16" i="2"/>
  <c r="AH16" i="2"/>
  <c r="AI16" i="2"/>
  <c r="AJ16" i="2"/>
  <c r="AG17" i="2"/>
  <c r="AH17" i="2"/>
  <c r="AI17" i="2"/>
  <c r="AJ17" i="2"/>
  <c r="AG18" i="2"/>
  <c r="AH18" i="2"/>
  <c r="AI18" i="2"/>
  <c r="AJ18" i="2"/>
  <c r="AG21" i="2"/>
  <c r="AH21" i="2"/>
  <c r="AI21" i="2"/>
  <c r="AJ21" i="2"/>
  <c r="AG26" i="2"/>
  <c r="AH26" i="2"/>
  <c r="AI26" i="2"/>
  <c r="AJ26" i="2"/>
  <c r="AG27" i="2"/>
  <c r="AG29" i="2"/>
  <c r="AH29" i="2"/>
  <c r="AI29" i="2"/>
  <c r="AJ29" i="2"/>
  <c r="AG30" i="2"/>
  <c r="AH30" i="2"/>
  <c r="AI30" i="2"/>
  <c r="AJ30" i="2"/>
  <c r="AG31" i="2"/>
  <c r="AH31" i="2"/>
  <c r="AI31" i="2"/>
  <c r="AJ31" i="2"/>
  <c r="AG32" i="2"/>
  <c r="AG33" i="2"/>
  <c r="AH33" i="2"/>
  <c r="AI33" i="2"/>
  <c r="AJ33" i="2"/>
  <c r="AG35" i="2"/>
  <c r="AH35" i="2"/>
  <c r="AI35" i="2"/>
  <c r="AJ35" i="2"/>
  <c r="AG38" i="2"/>
  <c r="F38" i="11" s="1"/>
  <c r="AH38" i="2"/>
  <c r="G38" i="11" s="1"/>
  <c r="AI38" i="2"/>
  <c r="AJ38" i="2"/>
  <c r="AG39" i="2"/>
  <c r="F39" i="11" s="1"/>
  <c r="AH39" i="2"/>
  <c r="G39" i="11" s="1"/>
  <c r="AI39" i="2"/>
  <c r="AJ39" i="2"/>
  <c r="AG40" i="2"/>
  <c r="F40" i="11" s="1"/>
  <c r="AH40" i="2"/>
  <c r="G40" i="11" s="1"/>
  <c r="AI40" i="2"/>
  <c r="AJ40" i="2"/>
  <c r="AG42" i="2"/>
  <c r="F42" i="11" s="1"/>
  <c r="AH42" i="2"/>
  <c r="G42" i="11" s="1"/>
  <c r="AI42" i="2"/>
  <c r="AJ42" i="2"/>
  <c r="AG43" i="2"/>
  <c r="F43" i="11" s="1"/>
  <c r="AH43" i="2"/>
  <c r="G43" i="11" s="1"/>
  <c r="AI43" i="2"/>
  <c r="AJ43" i="2"/>
  <c r="AG46" i="2"/>
  <c r="AH46" i="2"/>
  <c r="AI46" i="2"/>
  <c r="AJ46" i="2"/>
  <c r="AG47" i="2"/>
  <c r="AH47" i="2"/>
  <c r="AI47" i="2"/>
  <c r="AJ47" i="2"/>
  <c r="AG48" i="2"/>
  <c r="AH48" i="2"/>
  <c r="AI48" i="2"/>
  <c r="AJ48" i="2"/>
  <c r="AG51" i="2"/>
  <c r="AH51" i="2"/>
  <c r="AI51" i="2"/>
  <c r="AJ51" i="2"/>
  <c r="AH53" i="2"/>
  <c r="AI53" i="2"/>
  <c r="AJ53" i="2"/>
  <c r="AG54" i="2"/>
  <c r="AH54" i="2"/>
  <c r="AI54" i="2"/>
  <c r="AJ54" i="2"/>
  <c r="AG55" i="2"/>
  <c r="AH55" i="2"/>
  <c r="AI55" i="2"/>
  <c r="AJ55" i="2"/>
  <c r="AG56" i="2"/>
  <c r="AJ56" i="2"/>
  <c r="AJ4" i="2"/>
  <c r="AI4" i="2"/>
  <c r="AH4" i="2"/>
  <c r="AG4" i="2"/>
  <c r="M95" i="8"/>
  <c r="N95" i="8"/>
  <c r="W95" i="8"/>
  <c r="X95" i="8"/>
  <c r="W95" i="7"/>
  <c r="X95" i="7"/>
  <c r="M95" i="7"/>
  <c r="N95" i="7"/>
  <c r="W95" i="6"/>
  <c r="X95" i="6"/>
  <c r="M95" i="6"/>
  <c r="N95" i="6"/>
  <c r="W95" i="5"/>
  <c r="X95" i="5"/>
  <c r="M95" i="5"/>
  <c r="N95" i="5"/>
  <c r="M95" i="9"/>
  <c r="N95" i="9"/>
  <c r="W95" i="9"/>
  <c r="X95" i="9"/>
  <c r="E32" i="10" l="1"/>
  <c r="AG24" i="2"/>
  <c r="AG6" i="2"/>
  <c r="M51" i="10"/>
  <c r="K51" i="10"/>
  <c r="G51" i="10"/>
  <c r="E51" i="10"/>
  <c r="U60" i="6" l="1"/>
  <c r="U61" i="6"/>
  <c r="U62" i="6"/>
  <c r="U60" i="5"/>
  <c r="U61" i="5"/>
  <c r="AL61" i="5" s="1"/>
  <c r="U62" i="5"/>
  <c r="AN62" i="5" s="1"/>
  <c r="AM62" i="5" l="1"/>
  <c r="AL62" i="5"/>
  <c r="AN62" i="6"/>
  <c r="AJ62" i="6"/>
  <c r="AL60" i="5"/>
  <c r="AN60" i="6"/>
  <c r="AN60" i="5"/>
  <c r="AL60" i="6"/>
  <c r="AM60" i="5"/>
  <c r="AM62" i="6"/>
  <c r="AL62" i="6"/>
  <c r="AK60" i="5"/>
  <c r="AK60" i="6"/>
  <c r="AJ60" i="6"/>
  <c r="AL61" i="6"/>
  <c r="AK61" i="6"/>
  <c r="AK62" i="6"/>
  <c r="AN61" i="6"/>
  <c r="AJ61" i="6"/>
  <c r="AM60" i="6"/>
  <c r="AM61" i="6"/>
  <c r="AK61" i="5"/>
  <c r="AK62" i="5"/>
  <c r="AN61" i="5"/>
  <c r="AM61" i="5"/>
  <c r="A7" i="4"/>
  <c r="AB79" i="8" l="1"/>
  <c r="AA79" i="8"/>
  <c r="AB78" i="8"/>
  <c r="AA78" i="8"/>
  <c r="AB77" i="8"/>
  <c r="AA77" i="8"/>
  <c r="AB76" i="8"/>
  <c r="AA76" i="8"/>
  <c r="AB75" i="8"/>
  <c r="AA75" i="8"/>
  <c r="AB74" i="8"/>
  <c r="AA74" i="8"/>
  <c r="AB79" i="7"/>
  <c r="AA79" i="7"/>
  <c r="AB78" i="7"/>
  <c r="AA78" i="7"/>
  <c r="AB77" i="7"/>
  <c r="AA77" i="7"/>
  <c r="AB76" i="7"/>
  <c r="AA76" i="7"/>
  <c r="AB75" i="7"/>
  <c r="AA75" i="7"/>
  <c r="AB74" i="7"/>
  <c r="AA74" i="7"/>
  <c r="AB79" i="6"/>
  <c r="AA79" i="6"/>
  <c r="AB78" i="6"/>
  <c r="AA78" i="6"/>
  <c r="AB77" i="6"/>
  <c r="AA77" i="6"/>
  <c r="AB76" i="6"/>
  <c r="AA76" i="6"/>
  <c r="AB75" i="6"/>
  <c r="AA75" i="6"/>
  <c r="AB74" i="6"/>
  <c r="AA74" i="6"/>
  <c r="AB79" i="5"/>
  <c r="AA79" i="5"/>
  <c r="AB78" i="5"/>
  <c r="AA78" i="5"/>
  <c r="AB77" i="5"/>
  <c r="AA77" i="5"/>
  <c r="AB76" i="5"/>
  <c r="AA76" i="5"/>
  <c r="AB75" i="5"/>
  <c r="AA75" i="5"/>
  <c r="AB74" i="5"/>
  <c r="AA74" i="5"/>
  <c r="X51" i="10" l="1"/>
  <c r="V51" i="10"/>
  <c r="P51" i="10"/>
  <c r="AW51" i="10"/>
  <c r="BC51" i="10"/>
  <c r="AB80" i="9"/>
  <c r="AA80" i="9"/>
  <c r="AB79" i="9"/>
  <c r="AA79" i="9"/>
  <c r="AB78" i="9"/>
  <c r="AA78" i="9"/>
  <c r="AB77" i="9"/>
  <c r="AA77" i="9"/>
  <c r="AB76" i="9"/>
  <c r="AA76" i="9"/>
  <c r="AB75" i="9"/>
  <c r="AA75" i="9"/>
  <c r="AB74" i="9"/>
  <c r="AA74" i="9"/>
  <c r="AB94" i="9"/>
  <c r="AA94" i="9"/>
  <c r="AB93" i="9"/>
  <c r="AA93" i="9"/>
  <c r="AB92" i="9"/>
  <c r="AA92" i="9"/>
  <c r="AB91" i="9"/>
  <c r="AA91" i="9"/>
  <c r="AB90" i="9"/>
  <c r="AA90" i="9"/>
  <c r="AB89" i="9"/>
  <c r="AA89" i="9"/>
  <c r="AB88" i="9"/>
  <c r="AA88" i="9"/>
  <c r="AB94" i="8"/>
  <c r="AA94" i="8"/>
  <c r="AB93" i="8"/>
  <c r="AA93" i="8"/>
  <c r="AB92" i="8"/>
  <c r="AA92" i="8"/>
  <c r="AB91" i="8"/>
  <c r="AA91" i="8"/>
  <c r="AB90" i="8"/>
  <c r="AA90" i="8"/>
  <c r="AB89" i="8"/>
  <c r="AA89" i="8"/>
  <c r="AB88" i="8"/>
  <c r="AA88" i="8"/>
  <c r="AB94" i="7"/>
  <c r="AA94" i="7"/>
  <c r="AB93" i="7"/>
  <c r="AA93" i="7"/>
  <c r="AB92" i="7"/>
  <c r="AA92" i="7"/>
  <c r="AB91" i="7"/>
  <c r="AA91" i="7"/>
  <c r="AB90" i="7"/>
  <c r="AA90" i="7"/>
  <c r="AB89" i="7"/>
  <c r="AA89" i="7"/>
  <c r="AB88" i="7"/>
  <c r="AA88" i="7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94" i="5"/>
  <c r="AA94" i="5"/>
  <c r="AB93" i="5"/>
  <c r="AA93" i="5"/>
  <c r="AB92" i="5"/>
  <c r="AA92" i="5"/>
  <c r="AB91" i="5"/>
  <c r="AA91" i="5"/>
  <c r="AB90" i="5"/>
  <c r="AA90" i="5"/>
  <c r="AB89" i="5"/>
  <c r="AA89" i="5"/>
  <c r="AB88" i="5"/>
  <c r="AA88" i="5"/>
  <c r="BE51" i="10" l="1"/>
  <c r="AY51" i="10"/>
  <c r="AT51" i="10"/>
  <c r="AR51" i="10"/>
  <c r="AI51" i="10"/>
  <c r="AA51" i="10"/>
  <c r="AC51" i="10"/>
  <c r="AG51" i="10"/>
  <c r="R51" i="10"/>
  <c r="P74" i="5"/>
  <c r="BJ51" i="10" l="1"/>
  <c r="A9" i="4"/>
  <c r="L17" i="9" l="1"/>
  <c r="H17" i="9"/>
  <c r="F17" i="9"/>
  <c r="N17" i="8"/>
  <c r="L17" i="8"/>
  <c r="H17" i="8"/>
  <c r="F17" i="8"/>
  <c r="N17" i="2"/>
  <c r="L17" i="2"/>
  <c r="H17" i="2"/>
  <c r="N17" i="6"/>
  <c r="K17" i="6"/>
  <c r="H17" i="6"/>
  <c r="F17" i="6"/>
  <c r="N17" i="5"/>
  <c r="L17" i="5"/>
  <c r="H17" i="5"/>
  <c r="F17" i="5"/>
  <c r="N17" i="7"/>
  <c r="L17" i="7"/>
  <c r="H17" i="7"/>
  <c r="F17" i="7"/>
  <c r="S17" i="10" l="1"/>
  <c r="W17" i="10"/>
  <c r="Y17" i="10"/>
  <c r="AB17" i="10"/>
  <c r="AD17" i="10"/>
  <c r="AG17" i="10"/>
  <c r="G5" i="10"/>
  <c r="K5" i="10"/>
  <c r="M5" i="10"/>
  <c r="E6" i="10"/>
  <c r="G6" i="10"/>
  <c r="E8" i="10"/>
  <c r="G8" i="10"/>
  <c r="K8" i="10"/>
  <c r="M8" i="10"/>
  <c r="E9" i="10"/>
  <c r="G9" i="10"/>
  <c r="K9" i="10"/>
  <c r="M9" i="10"/>
  <c r="E10" i="10"/>
  <c r="G10" i="10"/>
  <c r="G11" i="10"/>
  <c r="K11" i="10"/>
  <c r="E12" i="10"/>
  <c r="G12" i="10"/>
  <c r="K12" i="10"/>
  <c r="M12" i="10"/>
  <c r="G13" i="10"/>
  <c r="K13" i="10"/>
  <c r="M13" i="10"/>
  <c r="E14" i="10"/>
  <c r="M14" i="10"/>
  <c r="E15" i="10"/>
  <c r="M15" i="10"/>
  <c r="E16" i="10"/>
  <c r="G16" i="10"/>
  <c r="K16" i="10"/>
  <c r="M16" i="10"/>
  <c r="M11" i="10"/>
  <c r="E11" i="10"/>
  <c r="K15" i="10"/>
  <c r="G15" i="10"/>
  <c r="G14" i="10"/>
  <c r="K14" i="10"/>
  <c r="M10" i="10"/>
  <c r="K10" i="10"/>
  <c r="E7" i="10"/>
  <c r="G7" i="10"/>
  <c r="K7" i="10"/>
  <c r="M7" i="10"/>
  <c r="M6" i="10"/>
  <c r="K6" i="10"/>
  <c r="E5" i="10"/>
  <c r="M17" i="2"/>
  <c r="N17" i="10"/>
  <c r="AF58" i="2"/>
  <c r="AF62" i="2"/>
  <c r="AF59" i="2"/>
  <c r="AF57" i="2"/>
  <c r="AF61" i="2"/>
  <c r="AF60" i="2"/>
  <c r="M17" i="8"/>
  <c r="BF17" i="10"/>
  <c r="M17" i="7"/>
  <c r="AU17" i="10"/>
  <c r="M17" i="6"/>
  <c r="AJ17" i="10"/>
  <c r="E17" i="7"/>
  <c r="AM17" i="10"/>
  <c r="AC5" i="2"/>
  <c r="E13" i="10"/>
  <c r="F17" i="10"/>
  <c r="AC57" i="2"/>
  <c r="E17" i="8"/>
  <c r="AX17" i="10"/>
  <c r="E17" i="9"/>
  <c r="BI17" i="10"/>
  <c r="E17" i="5"/>
  <c r="Q17" i="10"/>
  <c r="G17" i="2"/>
  <c r="H17" i="10"/>
  <c r="AD57" i="2"/>
  <c r="G17" i="8"/>
  <c r="AZ17" i="10"/>
  <c r="G17" i="9"/>
  <c r="BK17" i="10"/>
  <c r="G17" i="7"/>
  <c r="AO17" i="10"/>
  <c r="K17" i="7"/>
  <c r="AS17" i="10"/>
  <c r="K17" i="2"/>
  <c r="AE61" i="2" s="1"/>
  <c r="L17" i="10"/>
  <c r="AE59" i="2"/>
  <c r="AE57" i="2"/>
  <c r="K17" i="8"/>
  <c r="BD17" i="10"/>
  <c r="K17" i="9"/>
  <c r="BO17" i="10"/>
  <c r="E17" i="2"/>
  <c r="AC4" i="2"/>
  <c r="E17" i="6"/>
  <c r="G17" i="5"/>
  <c r="AD61" i="5"/>
  <c r="AD60" i="5"/>
  <c r="AD62" i="5"/>
  <c r="G17" i="6"/>
  <c r="AD61" i="6"/>
  <c r="AD60" i="6"/>
  <c r="AD62" i="6"/>
  <c r="M17" i="5"/>
  <c r="K17" i="5"/>
  <c r="B48" i="9"/>
  <c r="B47" i="9"/>
  <c r="B46" i="9"/>
  <c r="B45" i="9"/>
  <c r="B44" i="9"/>
  <c r="B43" i="9"/>
  <c r="B42" i="9"/>
  <c r="B41" i="9"/>
  <c r="B40" i="9"/>
  <c r="B39" i="9"/>
  <c r="B38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16" i="9"/>
  <c r="B15" i="9"/>
  <c r="B14" i="9"/>
  <c r="B13" i="9"/>
  <c r="B12" i="9"/>
  <c r="B11" i="9"/>
  <c r="B10" i="9"/>
  <c r="B9" i="9"/>
  <c r="B8" i="9"/>
  <c r="B7" i="9"/>
  <c r="B6" i="9"/>
  <c r="B5" i="9"/>
  <c r="B48" i="8"/>
  <c r="B47" i="8"/>
  <c r="B46" i="8"/>
  <c r="B45" i="8"/>
  <c r="B44" i="8"/>
  <c r="B43" i="8"/>
  <c r="B42" i="8"/>
  <c r="B41" i="8"/>
  <c r="B40" i="8"/>
  <c r="B39" i="8"/>
  <c r="B38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16" i="8"/>
  <c r="B15" i="8"/>
  <c r="B14" i="8"/>
  <c r="B13" i="8"/>
  <c r="B12" i="8"/>
  <c r="B11" i="8"/>
  <c r="B10" i="8"/>
  <c r="B9" i="8"/>
  <c r="B8" i="8"/>
  <c r="B7" i="8"/>
  <c r="B6" i="8"/>
  <c r="B5" i="8"/>
  <c r="B48" i="7"/>
  <c r="B47" i="7"/>
  <c r="B46" i="7"/>
  <c r="B45" i="7"/>
  <c r="B44" i="7"/>
  <c r="B43" i="7"/>
  <c r="B42" i="7"/>
  <c r="B41" i="7"/>
  <c r="B40" i="7"/>
  <c r="B39" i="7"/>
  <c r="B38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16" i="7"/>
  <c r="B15" i="7"/>
  <c r="B14" i="7"/>
  <c r="B13" i="7"/>
  <c r="B12" i="7"/>
  <c r="B11" i="7"/>
  <c r="B10" i="7"/>
  <c r="B9" i="7"/>
  <c r="B8" i="7"/>
  <c r="B7" i="7"/>
  <c r="B6" i="7"/>
  <c r="B5" i="7"/>
  <c r="B48" i="6"/>
  <c r="B47" i="6"/>
  <c r="B46" i="6"/>
  <c r="B45" i="6"/>
  <c r="B44" i="6"/>
  <c r="B43" i="6"/>
  <c r="B42" i="6"/>
  <c r="B41" i="6"/>
  <c r="B40" i="6"/>
  <c r="B39" i="6"/>
  <c r="B38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16" i="6"/>
  <c r="B15" i="6"/>
  <c r="B14" i="6"/>
  <c r="B13" i="6"/>
  <c r="B12" i="6"/>
  <c r="B11" i="6"/>
  <c r="B10" i="6"/>
  <c r="B9" i="6"/>
  <c r="B8" i="6"/>
  <c r="B7" i="6"/>
  <c r="B6" i="6"/>
  <c r="B5" i="6"/>
  <c r="B39" i="5"/>
  <c r="B40" i="5"/>
  <c r="B41" i="5"/>
  <c r="B42" i="5"/>
  <c r="B43" i="5"/>
  <c r="B44" i="5"/>
  <c r="B45" i="5"/>
  <c r="B46" i="5"/>
  <c r="B47" i="5"/>
  <c r="B48" i="5"/>
  <c r="B38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K34" i="9"/>
  <c r="G34" i="9"/>
  <c r="E34" i="9"/>
  <c r="M34" i="8"/>
  <c r="K34" i="8"/>
  <c r="G34" i="8"/>
  <c r="E34" i="8"/>
  <c r="M34" i="7"/>
  <c r="K34" i="7"/>
  <c r="G34" i="7"/>
  <c r="B21" i="5"/>
  <c r="B16" i="5"/>
  <c r="B6" i="5"/>
  <c r="B7" i="5"/>
  <c r="B8" i="5"/>
  <c r="B9" i="5"/>
  <c r="B10" i="5"/>
  <c r="B11" i="5"/>
  <c r="B12" i="5"/>
  <c r="B13" i="5"/>
  <c r="B14" i="5"/>
  <c r="B15" i="5"/>
  <c r="B5" i="5"/>
  <c r="E50" i="10"/>
  <c r="G38" i="10"/>
  <c r="K38" i="10"/>
  <c r="M38" i="10"/>
  <c r="E39" i="10"/>
  <c r="G39" i="10"/>
  <c r="K39" i="10"/>
  <c r="G40" i="10"/>
  <c r="K40" i="10"/>
  <c r="M40" i="10"/>
  <c r="G41" i="10"/>
  <c r="K41" i="10"/>
  <c r="M41" i="10"/>
  <c r="G42" i="10"/>
  <c r="K42" i="10"/>
  <c r="M42" i="10"/>
  <c r="E43" i="10"/>
  <c r="G43" i="10"/>
  <c r="K43" i="10"/>
  <c r="M43" i="10"/>
  <c r="E44" i="10"/>
  <c r="G44" i="10"/>
  <c r="K44" i="10"/>
  <c r="E45" i="10"/>
  <c r="G45" i="10"/>
  <c r="K45" i="10"/>
  <c r="M45" i="10"/>
  <c r="E46" i="10"/>
  <c r="G46" i="10"/>
  <c r="K46" i="10"/>
  <c r="M46" i="10"/>
  <c r="E47" i="10"/>
  <c r="G47" i="10"/>
  <c r="K47" i="10"/>
  <c r="M47" i="10"/>
  <c r="E48" i="10"/>
  <c r="G48" i="10"/>
  <c r="K48" i="10"/>
  <c r="M48" i="10"/>
  <c r="E49" i="10"/>
  <c r="G49" i="10"/>
  <c r="K49" i="10"/>
  <c r="M49" i="10"/>
  <c r="G50" i="10"/>
  <c r="K50" i="10"/>
  <c r="M50" i="10"/>
  <c r="AE60" i="2" l="1"/>
  <c r="X34" i="10"/>
  <c r="V34" i="10"/>
  <c r="R34" i="10"/>
  <c r="P34" i="10"/>
  <c r="AA34" i="10"/>
  <c r="AC34" i="10"/>
  <c r="AG34" i="10"/>
  <c r="AL34" i="10"/>
  <c r="AN34" i="10"/>
  <c r="AR34" i="10"/>
  <c r="AT34" i="10"/>
  <c r="AW34" i="10"/>
  <c r="AY34" i="10"/>
  <c r="BC34" i="10"/>
  <c r="BE34" i="10"/>
  <c r="BH34" i="10"/>
  <c r="BJ34" i="10"/>
  <c r="BN34" i="10"/>
  <c r="V17" i="10"/>
  <c r="X17" i="10"/>
  <c r="AC17" i="10"/>
  <c r="R17" i="10"/>
  <c r="AA17" i="10"/>
  <c r="E17" i="10"/>
  <c r="BN17" i="10"/>
  <c r="BC17" i="10"/>
  <c r="K17" i="10"/>
  <c r="AR17" i="10"/>
  <c r="AN17" i="10"/>
  <c r="BJ17" i="10"/>
  <c r="AY17" i="10"/>
  <c r="G17" i="10"/>
  <c r="P17" i="10"/>
  <c r="BH17" i="10"/>
  <c r="AW17" i="10"/>
  <c r="AL17" i="10"/>
  <c r="AI17" i="10"/>
  <c r="AT17" i="10"/>
  <c r="BE17" i="10"/>
  <c r="M17" i="10"/>
  <c r="AJ19" i="2"/>
  <c r="AI12" i="2"/>
  <c r="AE62" i="2"/>
  <c r="AE58" i="2"/>
  <c r="AJ12" i="2"/>
  <c r="AD59" i="2"/>
  <c r="AN40" i="2"/>
  <c r="M44" i="10"/>
  <c r="AC62" i="2"/>
  <c r="AC59" i="2"/>
  <c r="AD62" i="2"/>
  <c r="AD61" i="2"/>
  <c r="AC58" i="2"/>
  <c r="AG50" i="2"/>
  <c r="E34" i="10"/>
  <c r="G34" i="10"/>
  <c r="AD58" i="2"/>
  <c r="AD60" i="2"/>
  <c r="AC60" i="2"/>
  <c r="AJ41" i="2"/>
  <c r="M34" i="10"/>
  <c r="AK38" i="2"/>
  <c r="E38" i="10"/>
  <c r="K34" i="10"/>
  <c r="AC61" i="2"/>
  <c r="E42" i="10"/>
  <c r="AK30" i="2"/>
  <c r="M39" i="10"/>
  <c r="AN35" i="2"/>
  <c r="E40" i="10"/>
  <c r="AK57" i="2"/>
  <c r="AK31" i="2"/>
  <c r="E41" i="10"/>
  <c r="B75" i="7"/>
  <c r="B76" i="7"/>
  <c r="B77" i="7"/>
  <c r="B78" i="7"/>
  <c r="B79" i="7"/>
  <c r="B75" i="9"/>
  <c r="B76" i="9"/>
  <c r="B77" i="9"/>
  <c r="B78" i="9"/>
  <c r="B79" i="9"/>
  <c r="B75" i="8"/>
  <c r="B76" i="8"/>
  <c r="B77" i="8"/>
  <c r="B78" i="8"/>
  <c r="B79" i="8"/>
  <c r="B75" i="6"/>
  <c r="B76" i="6"/>
  <c r="B77" i="6"/>
  <c r="B78" i="6"/>
  <c r="B79" i="6"/>
  <c r="AC9" i="2"/>
  <c r="AD9" i="2"/>
  <c r="AE9" i="2"/>
  <c r="AF9" i="2"/>
  <c r="B75" i="5"/>
  <c r="B76" i="5"/>
  <c r="B77" i="5"/>
  <c r="B57" i="11" l="1"/>
  <c r="C57" i="11"/>
  <c r="D57" i="11"/>
  <c r="E57" i="11"/>
  <c r="J57" i="11"/>
  <c r="K57" i="11"/>
  <c r="L57" i="11"/>
  <c r="M57" i="11"/>
  <c r="B58" i="11"/>
  <c r="C58" i="11"/>
  <c r="D58" i="11"/>
  <c r="E58" i="11"/>
  <c r="J58" i="11"/>
  <c r="K58" i="11"/>
  <c r="L58" i="11"/>
  <c r="M58" i="11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F92" i="9"/>
  <c r="E92" i="9"/>
  <c r="D92" i="9"/>
  <c r="C92" i="9"/>
  <c r="B92" i="9"/>
  <c r="A92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Z89" i="9"/>
  <c r="Y89" i="9"/>
  <c r="X89" i="9"/>
  <c r="W89" i="9"/>
  <c r="V89" i="9"/>
  <c r="U89" i="9"/>
  <c r="T89" i="9"/>
  <c r="R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A79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A78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A77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A76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A75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Z101" i="8"/>
  <c r="Y101" i="8"/>
  <c r="X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Z79" i="8"/>
  <c r="Y79" i="8"/>
  <c r="X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Z78" i="8"/>
  <c r="Y78" i="8"/>
  <c r="X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A106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105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104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H103" i="7"/>
  <c r="G103" i="7"/>
  <c r="F103" i="7"/>
  <c r="E103" i="7"/>
  <c r="D103" i="7"/>
  <c r="C103" i="7"/>
  <c r="B103" i="7"/>
  <c r="A103" i="7"/>
  <c r="Z102" i="7"/>
  <c r="Y102" i="7"/>
  <c r="X102" i="7"/>
  <c r="W102" i="7"/>
  <c r="V102" i="7"/>
  <c r="U102" i="7"/>
  <c r="T102" i="7"/>
  <c r="S102" i="7"/>
  <c r="R102" i="7"/>
  <c r="Q102" i="7"/>
  <c r="P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A102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A101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100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94" i="7"/>
  <c r="Z93" i="7"/>
  <c r="Y93" i="7"/>
  <c r="X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93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F92" i="7"/>
  <c r="E92" i="7"/>
  <c r="D92" i="7"/>
  <c r="C92" i="7"/>
  <c r="B92" i="7"/>
  <c r="A92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91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90" i="7"/>
  <c r="Z89" i="7"/>
  <c r="Y89" i="7"/>
  <c r="X89" i="7"/>
  <c r="W89" i="7"/>
  <c r="V89" i="7"/>
  <c r="U89" i="7"/>
  <c r="T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89" i="7"/>
  <c r="Z88" i="7"/>
  <c r="Y88" i="7"/>
  <c r="X88" i="7"/>
  <c r="W88" i="7"/>
  <c r="M32" i="7" s="1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88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Z78" i="7"/>
  <c r="Y78" i="7"/>
  <c r="X78" i="7"/>
  <c r="V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74" i="7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A106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104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94" i="6"/>
  <c r="Z93" i="6"/>
  <c r="Y93" i="6"/>
  <c r="X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93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A92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A91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90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89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88" i="6"/>
  <c r="Z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A79" i="6"/>
  <c r="Z78" i="6"/>
  <c r="Y78" i="6"/>
  <c r="X78" i="6"/>
  <c r="W78" i="6"/>
  <c r="V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A78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A77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A76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A75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Z102" i="5"/>
  <c r="Y102" i="5"/>
  <c r="X102" i="5"/>
  <c r="W102" i="5"/>
  <c r="V102" i="5"/>
  <c r="U102" i="5"/>
  <c r="T102" i="5"/>
  <c r="S102" i="5"/>
  <c r="R102" i="5"/>
  <c r="Q102" i="5"/>
  <c r="P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94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Z93" i="5"/>
  <c r="Y93" i="5"/>
  <c r="X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F92" i="5"/>
  <c r="E92" i="5"/>
  <c r="D92" i="5"/>
  <c r="C92" i="5"/>
  <c r="B92" i="5"/>
  <c r="A92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Z89" i="5"/>
  <c r="Y89" i="5"/>
  <c r="X89" i="5"/>
  <c r="W89" i="5"/>
  <c r="V89" i="5"/>
  <c r="U89" i="5"/>
  <c r="T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A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X79" i="5"/>
  <c r="Z79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Q74" i="5"/>
  <c r="R74" i="5"/>
  <c r="S74" i="5"/>
  <c r="T74" i="5"/>
  <c r="U74" i="5"/>
  <c r="V74" i="5"/>
  <c r="W74" i="5"/>
  <c r="X74" i="5"/>
  <c r="Y74" i="5"/>
  <c r="Z74" i="5"/>
  <c r="A74" i="5"/>
  <c r="I3" i="9"/>
  <c r="I3" i="8"/>
  <c r="I3" i="7"/>
  <c r="I3" i="6"/>
  <c r="I3" i="5"/>
  <c r="U59" i="9"/>
  <c r="X59" i="9"/>
  <c r="U59" i="8"/>
  <c r="X59" i="8"/>
  <c r="X59" i="7"/>
  <c r="U59" i="7"/>
  <c r="U59" i="6"/>
  <c r="U59" i="5"/>
  <c r="F24" i="11"/>
  <c r="H26" i="11"/>
  <c r="F27" i="11"/>
  <c r="F29" i="11"/>
  <c r="G29" i="11"/>
  <c r="H29" i="11"/>
  <c r="I29" i="11"/>
  <c r="G30" i="11"/>
  <c r="F31" i="11"/>
  <c r="G31" i="11"/>
  <c r="H31" i="11"/>
  <c r="I31" i="11"/>
  <c r="F32" i="11"/>
  <c r="F33" i="11"/>
  <c r="G33" i="11"/>
  <c r="H33" i="11"/>
  <c r="I33" i="11"/>
  <c r="F35" i="11"/>
  <c r="G35" i="11"/>
  <c r="H35" i="11"/>
  <c r="I35" i="11"/>
  <c r="H38" i="11"/>
  <c r="I38" i="11"/>
  <c r="H39" i="11"/>
  <c r="I39" i="11"/>
  <c r="H40" i="11"/>
  <c r="I40" i="11"/>
  <c r="I41" i="11"/>
  <c r="I42" i="11"/>
  <c r="H43" i="11"/>
  <c r="I43" i="11"/>
  <c r="F46" i="11"/>
  <c r="G46" i="11"/>
  <c r="H46" i="11"/>
  <c r="I46" i="11"/>
  <c r="F47" i="11"/>
  <c r="G47" i="11"/>
  <c r="H47" i="11"/>
  <c r="I47" i="11"/>
  <c r="I48" i="11"/>
  <c r="F51" i="11"/>
  <c r="G51" i="11"/>
  <c r="H51" i="11"/>
  <c r="I51" i="11"/>
  <c r="H53" i="11"/>
  <c r="H54" i="11"/>
  <c r="F55" i="11"/>
  <c r="I55" i="11"/>
  <c r="J4" i="11"/>
  <c r="D9" i="11"/>
  <c r="M4" i="11"/>
  <c r="L4" i="11"/>
  <c r="K4" i="11"/>
  <c r="M5" i="11"/>
  <c r="M6" i="11"/>
  <c r="M7" i="11"/>
  <c r="M9" i="11"/>
  <c r="M10" i="11"/>
  <c r="M11" i="11"/>
  <c r="M12" i="11"/>
  <c r="M14" i="11"/>
  <c r="M15" i="11"/>
  <c r="M16" i="11"/>
  <c r="M17" i="11"/>
  <c r="M18" i="11"/>
  <c r="M19" i="11"/>
  <c r="M21" i="11"/>
  <c r="M23" i="11"/>
  <c r="M25" i="11"/>
  <c r="M26" i="11"/>
  <c r="M28" i="11"/>
  <c r="M30" i="11"/>
  <c r="M33" i="11"/>
  <c r="M35" i="11"/>
  <c r="M36" i="11"/>
  <c r="M38" i="11"/>
  <c r="M39" i="11"/>
  <c r="M40" i="11"/>
  <c r="M42" i="11"/>
  <c r="M43" i="11"/>
  <c r="M44" i="11"/>
  <c r="M45" i="11"/>
  <c r="M47" i="11"/>
  <c r="M48" i="11"/>
  <c r="M51" i="11"/>
  <c r="M52" i="11"/>
  <c r="M53" i="11"/>
  <c r="M54" i="11"/>
  <c r="M55" i="11"/>
  <c r="M56" i="11"/>
  <c r="L5" i="11"/>
  <c r="L6" i="11"/>
  <c r="L7" i="11"/>
  <c r="L9" i="11"/>
  <c r="L10" i="11"/>
  <c r="L11" i="11"/>
  <c r="L12" i="11"/>
  <c r="L14" i="11"/>
  <c r="L15" i="11"/>
  <c r="L16" i="11"/>
  <c r="L17" i="11"/>
  <c r="L18" i="11"/>
  <c r="L19" i="11"/>
  <c r="L21" i="11"/>
  <c r="L22" i="11"/>
  <c r="L23" i="11"/>
  <c r="L25" i="11"/>
  <c r="L26" i="11"/>
  <c r="L28" i="11"/>
  <c r="L30" i="11"/>
  <c r="L33" i="11"/>
  <c r="L35" i="11"/>
  <c r="L36" i="11"/>
  <c r="L38" i="11"/>
  <c r="L39" i="11"/>
  <c r="L42" i="11"/>
  <c r="L43" i="11"/>
  <c r="L44" i="11"/>
  <c r="L45" i="11"/>
  <c r="L47" i="11"/>
  <c r="L48" i="11"/>
  <c r="L50" i="11"/>
  <c r="L51" i="11"/>
  <c r="L52" i="11"/>
  <c r="L53" i="11"/>
  <c r="L54" i="11"/>
  <c r="L55" i="11"/>
  <c r="L56" i="11"/>
  <c r="K12" i="11"/>
  <c r="K14" i="11"/>
  <c r="K15" i="11"/>
  <c r="K16" i="11"/>
  <c r="K17" i="11"/>
  <c r="K19" i="11"/>
  <c r="K21" i="11"/>
  <c r="K23" i="11"/>
  <c r="K25" i="11"/>
  <c r="K26" i="11"/>
  <c r="K28" i="11"/>
  <c r="K30" i="11"/>
  <c r="K32" i="11"/>
  <c r="K33" i="11"/>
  <c r="K35" i="11"/>
  <c r="K36" i="11"/>
  <c r="K38" i="11"/>
  <c r="K39" i="11"/>
  <c r="K42" i="11"/>
  <c r="K43" i="11"/>
  <c r="K44" i="11"/>
  <c r="K45" i="11"/>
  <c r="K47" i="11"/>
  <c r="K48" i="11"/>
  <c r="K49" i="11"/>
  <c r="K51" i="11"/>
  <c r="K52" i="11"/>
  <c r="K53" i="11"/>
  <c r="K54" i="11"/>
  <c r="K55" i="11"/>
  <c r="K56" i="11"/>
  <c r="K5" i="11"/>
  <c r="K6" i="11"/>
  <c r="K7" i="11"/>
  <c r="K9" i="11"/>
  <c r="K11" i="11"/>
  <c r="J5" i="11"/>
  <c r="J6" i="11"/>
  <c r="J7" i="11"/>
  <c r="J9" i="11"/>
  <c r="J11" i="11"/>
  <c r="J12" i="11"/>
  <c r="J14" i="11"/>
  <c r="J15" i="11"/>
  <c r="J16" i="11"/>
  <c r="J17" i="11"/>
  <c r="J19" i="11"/>
  <c r="J21" i="11"/>
  <c r="J23" i="11"/>
  <c r="J25" i="11"/>
  <c r="J26" i="11"/>
  <c r="J28" i="11"/>
  <c r="J30" i="11"/>
  <c r="J31" i="11"/>
  <c r="J33" i="11"/>
  <c r="J35" i="11"/>
  <c r="J36" i="11"/>
  <c r="J38" i="11"/>
  <c r="J41" i="11"/>
  <c r="J42" i="11"/>
  <c r="J43" i="11"/>
  <c r="J44" i="11"/>
  <c r="J45" i="11"/>
  <c r="J47" i="11"/>
  <c r="J48" i="11"/>
  <c r="J51" i="11"/>
  <c r="J52" i="11"/>
  <c r="J53" i="11"/>
  <c r="J54" i="11"/>
  <c r="J55" i="11"/>
  <c r="J56" i="11"/>
  <c r="BN4" i="10"/>
  <c r="BO4" i="10"/>
  <c r="BL4" i="10"/>
  <c r="BM4" i="10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4" i="11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A5" i="4"/>
  <c r="D5" i="4" s="1"/>
  <c r="A8" i="4"/>
  <c r="E8" i="4" s="1"/>
  <c r="A10" i="4"/>
  <c r="E10" i="4" s="1"/>
  <c r="A11" i="4"/>
  <c r="E11" i="4" s="1"/>
  <c r="A12" i="4"/>
  <c r="E12" i="4" s="1"/>
  <c r="A13" i="4"/>
  <c r="D13" i="4" s="1"/>
  <c r="A14" i="4"/>
  <c r="E14" i="4" s="1"/>
  <c r="A15" i="4"/>
  <c r="D15" i="4" s="1"/>
  <c r="A16" i="4"/>
  <c r="D16" i="4" s="1"/>
  <c r="A17" i="4"/>
  <c r="D17" i="4" s="1"/>
  <c r="A18" i="4"/>
  <c r="E18" i="4" s="1"/>
  <c r="A19" i="4"/>
  <c r="D19" i="4" s="1"/>
  <c r="A20" i="4"/>
  <c r="E20" i="4" s="1"/>
  <c r="A21" i="4"/>
  <c r="E21" i="4" s="1"/>
  <c r="A22" i="4"/>
  <c r="A23" i="4"/>
  <c r="E23" i="4" s="1"/>
  <c r="A24" i="4"/>
  <c r="A25" i="4"/>
  <c r="D25" i="4" s="1"/>
  <c r="A26" i="4"/>
  <c r="E26" i="4" s="1"/>
  <c r="A27" i="4"/>
  <c r="A28" i="4"/>
  <c r="A29" i="4"/>
  <c r="D29" i="4" s="1"/>
  <c r="A30" i="4"/>
  <c r="E30" i="4" s="1"/>
  <c r="A31" i="4"/>
  <c r="A32" i="4"/>
  <c r="A33" i="4"/>
  <c r="E33" i="4" s="1"/>
  <c r="A34" i="4"/>
  <c r="E34" i="4" s="1"/>
  <c r="A35" i="4"/>
  <c r="A36" i="4"/>
  <c r="A37" i="4"/>
  <c r="D37" i="4" s="1"/>
  <c r="A38" i="4"/>
  <c r="E38" i="4" s="1"/>
  <c r="A39" i="4"/>
  <c r="A40" i="4"/>
  <c r="A41" i="4"/>
  <c r="A42" i="4"/>
  <c r="E42" i="4" s="1"/>
  <c r="A43" i="4"/>
  <c r="A44" i="4"/>
  <c r="A45" i="4"/>
  <c r="D45" i="4" s="1"/>
  <c r="A46" i="4"/>
  <c r="E46" i="4" s="1"/>
  <c r="A47" i="4"/>
  <c r="A48" i="4"/>
  <c r="A49" i="4"/>
  <c r="D49" i="4" s="1"/>
  <c r="A50" i="4"/>
  <c r="E50" i="4" s="1"/>
  <c r="A51" i="4"/>
  <c r="A52" i="4"/>
  <c r="A53" i="4"/>
  <c r="E53" i="4" s="1"/>
  <c r="A54" i="4"/>
  <c r="E54" i="4" s="1"/>
  <c r="A55" i="4"/>
  <c r="A56" i="4"/>
  <c r="A4" i="4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4" i="9"/>
  <c r="X4" i="8"/>
  <c r="X4" i="7"/>
  <c r="X4" i="6"/>
  <c r="X4" i="5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4" i="2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" i="6"/>
  <c r="U6" i="6"/>
  <c r="U7" i="6"/>
  <c r="U8" i="6"/>
  <c r="U9" i="6"/>
  <c r="U10" i="6"/>
  <c r="U11" i="6"/>
  <c r="AC11" i="6" s="1"/>
  <c r="Z11" i="11" s="1"/>
  <c r="U12" i="6"/>
  <c r="U13" i="6"/>
  <c r="AC13" i="6" s="1"/>
  <c r="Z13" i="11" s="1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" i="7"/>
  <c r="U6" i="7"/>
  <c r="U7" i="7"/>
  <c r="AD7" i="7" s="1"/>
  <c r="AM7" i="11" s="1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" i="9"/>
  <c r="U6" i="9"/>
  <c r="AE6" i="9" s="1"/>
  <c r="BL6" i="11" s="1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AB26" i="9" s="1"/>
  <c r="U27" i="9"/>
  <c r="U28" i="9"/>
  <c r="U29" i="9"/>
  <c r="U30" i="9"/>
  <c r="U31" i="9"/>
  <c r="U32" i="9"/>
  <c r="U33" i="9"/>
  <c r="AB33" i="9" s="1"/>
  <c r="U34" i="9"/>
  <c r="U35" i="9"/>
  <c r="U36" i="9"/>
  <c r="U37" i="9"/>
  <c r="U38" i="9"/>
  <c r="U39" i="9"/>
  <c r="U40" i="9"/>
  <c r="U41" i="9"/>
  <c r="U42" i="9"/>
  <c r="U43" i="9"/>
  <c r="AB43" i="9" s="1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4" i="9"/>
  <c r="AE4" i="9" s="1"/>
  <c r="BL4" i="11" s="1"/>
  <c r="U4" i="8"/>
  <c r="U4" i="7"/>
  <c r="U4" i="6"/>
  <c r="AD4" i="6" s="1"/>
  <c r="AA4" i="11" s="1"/>
  <c r="U4" i="5"/>
  <c r="O5" i="7"/>
  <c r="AF15" i="2"/>
  <c r="E15" i="11" s="1"/>
  <c r="AE7" i="2"/>
  <c r="D7" i="11" s="1"/>
  <c r="AD16" i="2"/>
  <c r="C16" i="11" s="1"/>
  <c r="AC51" i="2"/>
  <c r="B51" i="11" s="1"/>
  <c r="AF43" i="2"/>
  <c r="E43" i="11" s="1"/>
  <c r="AE42" i="2"/>
  <c r="D42" i="11" s="1"/>
  <c r="AD23" i="2"/>
  <c r="C23" i="11" s="1"/>
  <c r="AC26" i="2"/>
  <c r="B26" i="11" s="1"/>
  <c r="AF51" i="2"/>
  <c r="E51" i="11" s="1"/>
  <c r="AE17" i="2"/>
  <c r="D17" i="11" s="1"/>
  <c r="AD44" i="2"/>
  <c r="C44" i="11" s="1"/>
  <c r="AC43" i="2"/>
  <c r="B43" i="11" s="1"/>
  <c r="AF14" i="2"/>
  <c r="E14" i="11" s="1"/>
  <c r="AE44" i="2"/>
  <c r="D44" i="11" s="1"/>
  <c r="AD42" i="2"/>
  <c r="C42" i="11" s="1"/>
  <c r="AC21" i="2"/>
  <c r="B21" i="11" s="1"/>
  <c r="AF23" i="2"/>
  <c r="E23" i="11" s="1"/>
  <c r="AE13" i="2"/>
  <c r="D13" i="11" s="1"/>
  <c r="AD12" i="2"/>
  <c r="C12" i="11" s="1"/>
  <c r="AC17" i="2"/>
  <c r="B17" i="11" s="1"/>
  <c r="AF44" i="2"/>
  <c r="E44" i="11" s="1"/>
  <c r="AE4" i="2"/>
  <c r="D4" i="11" s="1"/>
  <c r="AD26" i="2"/>
  <c r="C26" i="11" s="1"/>
  <c r="AC16" i="2"/>
  <c r="B16" i="11" s="1"/>
  <c r="AF18" i="2"/>
  <c r="E18" i="11" s="1"/>
  <c r="AE35" i="2"/>
  <c r="D35" i="11" s="1"/>
  <c r="B9" i="11"/>
  <c r="AF42" i="2"/>
  <c r="E42" i="11" s="1"/>
  <c r="AE11" i="2"/>
  <c r="D11" i="11" s="1"/>
  <c r="C9" i="11"/>
  <c r="AC53" i="2"/>
  <c r="B53" i="11" s="1"/>
  <c r="AF45" i="2"/>
  <c r="E45" i="11" s="1"/>
  <c r="AE43" i="2"/>
  <c r="D43" i="11" s="1"/>
  <c r="AD51" i="2"/>
  <c r="C51" i="11" s="1"/>
  <c r="AC35" i="2"/>
  <c r="B35" i="11" s="1"/>
  <c r="AF35" i="2"/>
  <c r="E35" i="11" s="1"/>
  <c r="AE5" i="2"/>
  <c r="D5" i="11" s="1"/>
  <c r="AD19" i="2"/>
  <c r="C19" i="11" s="1"/>
  <c r="AC14" i="2"/>
  <c r="B14" i="11" s="1"/>
  <c r="E9" i="11"/>
  <c r="AE34" i="2"/>
  <c r="D34" i="11" s="1"/>
  <c r="AD53" i="2"/>
  <c r="C53" i="11" s="1"/>
  <c r="AC54" i="2"/>
  <c r="B54" i="11" s="1"/>
  <c r="AF17" i="2"/>
  <c r="E17" i="11" s="1"/>
  <c r="AE14" i="2"/>
  <c r="D14" i="11" s="1"/>
  <c r="AD10" i="2"/>
  <c r="C10" i="11" s="1"/>
  <c r="B5" i="11"/>
  <c r="AC8" i="2"/>
  <c r="B8" i="11" s="1"/>
  <c r="AC6" i="2"/>
  <c r="B6" i="11" s="1"/>
  <c r="AC10" i="2"/>
  <c r="B10" i="11" s="1"/>
  <c r="AC11" i="2"/>
  <c r="B11" i="11" s="1"/>
  <c r="AC15" i="2"/>
  <c r="B15" i="11" s="1"/>
  <c r="AC7" i="2"/>
  <c r="B7" i="11" s="1"/>
  <c r="AC18" i="2"/>
  <c r="B18" i="11" s="1"/>
  <c r="AC13" i="2"/>
  <c r="B13" i="11" s="1"/>
  <c r="AC25" i="2"/>
  <c r="B25" i="11" s="1"/>
  <c r="AC29" i="2"/>
  <c r="B29" i="11" s="1"/>
  <c r="AC33" i="2"/>
  <c r="B33" i="11" s="1"/>
  <c r="AC37" i="2"/>
  <c r="B37" i="11" s="1"/>
  <c r="AC41" i="2"/>
  <c r="B41" i="11" s="1"/>
  <c r="AC45" i="2"/>
  <c r="B45" i="11" s="1"/>
  <c r="AC49" i="2"/>
  <c r="B49" i="11" s="1"/>
  <c r="AC46" i="2"/>
  <c r="B46" i="11" s="1"/>
  <c r="B4" i="11"/>
  <c r="AC20" i="2"/>
  <c r="B20" i="11" s="1"/>
  <c r="AC24" i="2"/>
  <c r="B24" i="11" s="1"/>
  <c r="AC28" i="2"/>
  <c r="B28" i="11" s="1"/>
  <c r="AC32" i="2"/>
  <c r="B32" i="11" s="1"/>
  <c r="AC36" i="2"/>
  <c r="B36" i="11" s="1"/>
  <c r="AC40" i="2"/>
  <c r="B40" i="11" s="1"/>
  <c r="AC44" i="2"/>
  <c r="B44" i="11" s="1"/>
  <c r="AC48" i="2"/>
  <c r="B48" i="11" s="1"/>
  <c r="AC52" i="2"/>
  <c r="B52" i="11" s="1"/>
  <c r="AC56" i="2"/>
  <c r="B56" i="11" s="1"/>
  <c r="AC22" i="2"/>
  <c r="B22" i="11" s="1"/>
  <c r="AC30" i="2"/>
  <c r="B30" i="11" s="1"/>
  <c r="AC34" i="2"/>
  <c r="B34" i="11" s="1"/>
  <c r="AC38" i="2"/>
  <c r="B38" i="11" s="1"/>
  <c r="AC42" i="2"/>
  <c r="B42" i="11" s="1"/>
  <c r="AC19" i="2"/>
  <c r="B19" i="11" s="1"/>
  <c r="AC23" i="2"/>
  <c r="B23" i="11" s="1"/>
  <c r="AC27" i="2"/>
  <c r="B27" i="11" s="1"/>
  <c r="AC31" i="2"/>
  <c r="B31" i="11" s="1"/>
  <c r="AC39" i="2"/>
  <c r="B39" i="11" s="1"/>
  <c r="AC47" i="2"/>
  <c r="B47" i="11" s="1"/>
  <c r="AC55" i="2"/>
  <c r="B55" i="11" s="1"/>
  <c r="AC12" i="2"/>
  <c r="B12" i="11" s="1"/>
  <c r="AC50" i="2"/>
  <c r="B50" i="11" s="1"/>
  <c r="AF6" i="2"/>
  <c r="E6" i="11" s="1"/>
  <c r="AF10" i="2"/>
  <c r="E10" i="11" s="1"/>
  <c r="AF7" i="2"/>
  <c r="E7" i="11" s="1"/>
  <c r="AF4" i="2"/>
  <c r="E4" i="11" s="1"/>
  <c r="AF8" i="2"/>
  <c r="E8" i="11" s="1"/>
  <c r="AF5" i="2"/>
  <c r="E5" i="11" s="1"/>
  <c r="AF13" i="2"/>
  <c r="E13" i="11" s="1"/>
  <c r="AF12" i="2"/>
  <c r="E12" i="11" s="1"/>
  <c r="AF16" i="2"/>
  <c r="E16" i="11" s="1"/>
  <c r="AF19" i="2"/>
  <c r="E19" i="11" s="1"/>
  <c r="AF27" i="2"/>
  <c r="E27" i="11" s="1"/>
  <c r="AF31" i="2"/>
  <c r="E31" i="11" s="1"/>
  <c r="AF39" i="2"/>
  <c r="E39" i="11" s="1"/>
  <c r="AF47" i="2"/>
  <c r="E47" i="11" s="1"/>
  <c r="AF55" i="2"/>
  <c r="E55" i="11" s="1"/>
  <c r="AF24" i="2"/>
  <c r="E24" i="11" s="1"/>
  <c r="AF28" i="2"/>
  <c r="E28" i="11" s="1"/>
  <c r="AF48" i="2"/>
  <c r="E48" i="11" s="1"/>
  <c r="AF52" i="2"/>
  <c r="E52" i="11" s="1"/>
  <c r="AF56" i="2"/>
  <c r="E56" i="11" s="1"/>
  <c r="AF22" i="2"/>
  <c r="E22" i="11" s="1"/>
  <c r="AF26" i="2"/>
  <c r="E26" i="11" s="1"/>
  <c r="AF30" i="2"/>
  <c r="E30" i="11" s="1"/>
  <c r="AF34" i="2"/>
  <c r="E34" i="11" s="1"/>
  <c r="AF38" i="2"/>
  <c r="E38" i="11" s="1"/>
  <c r="AF46" i="2"/>
  <c r="E46" i="11" s="1"/>
  <c r="AF50" i="2"/>
  <c r="E50" i="11" s="1"/>
  <c r="AF54" i="2"/>
  <c r="E54" i="11" s="1"/>
  <c r="AF11" i="2"/>
  <c r="E11" i="11" s="1"/>
  <c r="AF21" i="2"/>
  <c r="E21" i="11" s="1"/>
  <c r="AF25" i="2"/>
  <c r="E25" i="11" s="1"/>
  <c r="AF29" i="2"/>
  <c r="E29" i="11" s="1"/>
  <c r="AF33" i="2"/>
  <c r="E33" i="11" s="1"/>
  <c r="AF37" i="2"/>
  <c r="E37" i="11" s="1"/>
  <c r="AF41" i="2"/>
  <c r="E41" i="11" s="1"/>
  <c r="AF49" i="2"/>
  <c r="E49" i="11" s="1"/>
  <c r="AF53" i="2"/>
  <c r="E53" i="11" s="1"/>
  <c r="AF20" i="2"/>
  <c r="E20" i="11" s="1"/>
  <c r="AF32" i="2"/>
  <c r="E32" i="11" s="1"/>
  <c r="AF36" i="2"/>
  <c r="E36" i="11" s="1"/>
  <c r="AF40" i="2"/>
  <c r="E40" i="11" s="1"/>
  <c r="AE26" i="5"/>
  <c r="P26" i="11" s="1"/>
  <c r="AD55" i="2"/>
  <c r="C55" i="11" s="1"/>
  <c r="AD5" i="2"/>
  <c r="C5" i="11" s="1"/>
  <c r="AD6" i="2"/>
  <c r="C6" i="11" s="1"/>
  <c r="AD7" i="2"/>
  <c r="C7" i="11" s="1"/>
  <c r="AD8" i="2"/>
  <c r="C8" i="11" s="1"/>
  <c r="AD4" i="2"/>
  <c r="C4" i="11" s="1"/>
  <c r="AD11" i="2"/>
  <c r="C11" i="11" s="1"/>
  <c r="AD15" i="2"/>
  <c r="C15" i="11" s="1"/>
  <c r="AD18" i="2"/>
  <c r="C18" i="11" s="1"/>
  <c r="AD22" i="2"/>
  <c r="C22" i="11" s="1"/>
  <c r="AD30" i="2"/>
  <c r="C30" i="11" s="1"/>
  <c r="AD34" i="2"/>
  <c r="C34" i="11" s="1"/>
  <c r="AD38" i="2"/>
  <c r="C38" i="11" s="1"/>
  <c r="AD46" i="2"/>
  <c r="C46" i="11" s="1"/>
  <c r="AD50" i="2"/>
  <c r="C50" i="11" s="1"/>
  <c r="AD54" i="2"/>
  <c r="C54" i="11" s="1"/>
  <c r="AD17" i="2"/>
  <c r="C17" i="11" s="1"/>
  <c r="AD31" i="2"/>
  <c r="C31" i="11" s="1"/>
  <c r="AD35" i="2"/>
  <c r="C35" i="11" s="1"/>
  <c r="AD39" i="2"/>
  <c r="C39" i="11" s="1"/>
  <c r="AD43" i="2"/>
  <c r="C43" i="11" s="1"/>
  <c r="AD13" i="2"/>
  <c r="C13" i="11" s="1"/>
  <c r="AD21" i="2"/>
  <c r="C21" i="11" s="1"/>
  <c r="AD25" i="2"/>
  <c r="C25" i="11" s="1"/>
  <c r="AD29" i="2"/>
  <c r="C29" i="11" s="1"/>
  <c r="AD33" i="2"/>
  <c r="C33" i="11" s="1"/>
  <c r="AD37" i="2"/>
  <c r="C37" i="11" s="1"/>
  <c r="AD41" i="2"/>
  <c r="C41" i="11" s="1"/>
  <c r="AD45" i="2"/>
  <c r="C45" i="11" s="1"/>
  <c r="AD49" i="2"/>
  <c r="C49" i="11" s="1"/>
  <c r="AD47" i="2"/>
  <c r="C47" i="11" s="1"/>
  <c r="AD14" i="2"/>
  <c r="C14" i="11" s="1"/>
  <c r="AD20" i="2"/>
  <c r="C20" i="11" s="1"/>
  <c r="AD24" i="2"/>
  <c r="C24" i="11" s="1"/>
  <c r="AD28" i="2"/>
  <c r="C28" i="11" s="1"/>
  <c r="AD32" i="2"/>
  <c r="C32" i="11" s="1"/>
  <c r="AD36" i="2"/>
  <c r="C36" i="11" s="1"/>
  <c r="AD40" i="2"/>
  <c r="C40" i="11" s="1"/>
  <c r="AD48" i="2"/>
  <c r="C48" i="11" s="1"/>
  <c r="AD52" i="2"/>
  <c r="C52" i="11" s="1"/>
  <c r="AD56" i="2"/>
  <c r="C56" i="11" s="1"/>
  <c r="AD27" i="2"/>
  <c r="C27" i="11" s="1"/>
  <c r="AE6" i="2"/>
  <c r="D6" i="11" s="1"/>
  <c r="AE10" i="2"/>
  <c r="D10" i="11" s="1"/>
  <c r="AE18" i="2"/>
  <c r="D18" i="11" s="1"/>
  <c r="AE22" i="2"/>
  <c r="D22" i="11" s="1"/>
  <c r="AE26" i="2"/>
  <c r="D26" i="11" s="1"/>
  <c r="AE30" i="2"/>
  <c r="D30" i="11" s="1"/>
  <c r="AE38" i="2"/>
  <c r="D38" i="11" s="1"/>
  <c r="AE46" i="2"/>
  <c r="D46" i="11" s="1"/>
  <c r="AE16" i="2"/>
  <c r="D16" i="11" s="1"/>
  <c r="AE21" i="2"/>
  <c r="D21" i="11" s="1"/>
  <c r="AE27" i="2"/>
  <c r="D27" i="11" s="1"/>
  <c r="AE32" i="2"/>
  <c r="D32" i="11" s="1"/>
  <c r="AE37" i="2"/>
  <c r="D37" i="11" s="1"/>
  <c r="AE48" i="2"/>
  <c r="D48" i="11" s="1"/>
  <c r="AE52" i="2"/>
  <c r="D52" i="11" s="1"/>
  <c r="AE56" i="2"/>
  <c r="D56" i="11" s="1"/>
  <c r="AE12" i="2"/>
  <c r="D12" i="11" s="1"/>
  <c r="AE23" i="2"/>
  <c r="D23" i="11" s="1"/>
  <c r="AE28" i="2"/>
  <c r="D28" i="11" s="1"/>
  <c r="AE33" i="2"/>
  <c r="D33" i="11" s="1"/>
  <c r="AE39" i="2"/>
  <c r="D39" i="11" s="1"/>
  <c r="AE49" i="2"/>
  <c r="D49" i="11" s="1"/>
  <c r="AE53" i="2"/>
  <c r="D53" i="11" s="1"/>
  <c r="AE8" i="2"/>
  <c r="D8" i="11" s="1"/>
  <c r="AE24" i="2"/>
  <c r="D24" i="11" s="1"/>
  <c r="AE45" i="2"/>
  <c r="D45" i="11" s="1"/>
  <c r="AE54" i="2"/>
  <c r="D54" i="11" s="1"/>
  <c r="AE15" i="2"/>
  <c r="D15" i="11" s="1"/>
  <c r="AE25" i="2"/>
  <c r="D25" i="11" s="1"/>
  <c r="AE36" i="2"/>
  <c r="D36" i="11" s="1"/>
  <c r="AE47" i="2"/>
  <c r="D47" i="11" s="1"/>
  <c r="AE55" i="2"/>
  <c r="D55" i="11" s="1"/>
  <c r="AE31" i="2"/>
  <c r="D31" i="11" s="1"/>
  <c r="AE41" i="2"/>
  <c r="D41" i="11" s="1"/>
  <c r="AE19" i="2"/>
  <c r="D19" i="11" s="1"/>
  <c r="AE29" i="2"/>
  <c r="D29" i="11" s="1"/>
  <c r="AE40" i="2"/>
  <c r="D40" i="11" s="1"/>
  <c r="AE50" i="2"/>
  <c r="D50" i="11" s="1"/>
  <c r="AE20" i="2"/>
  <c r="D20" i="11" s="1"/>
  <c r="AE51" i="2"/>
  <c r="D51" i="11" s="1"/>
  <c r="AC12" i="6"/>
  <c r="Z12" i="11" s="1"/>
  <c r="M24" i="11"/>
  <c r="L41" i="11"/>
  <c r="L20" i="11"/>
  <c r="L8" i="11"/>
  <c r="K37" i="11"/>
  <c r="K34" i="11"/>
  <c r="K20" i="11"/>
  <c r="J8" i="11"/>
  <c r="J29" i="11"/>
  <c r="J10" i="11"/>
  <c r="O16" i="9"/>
  <c r="O17" i="9"/>
  <c r="O18" i="9"/>
  <c r="O18" i="8"/>
  <c r="O17" i="8"/>
  <c r="O16" i="8"/>
  <c r="O18" i="6"/>
  <c r="O18" i="2"/>
  <c r="O18" i="5"/>
  <c r="O17" i="6"/>
  <c r="O18" i="7"/>
  <c r="O16" i="7"/>
  <c r="O17" i="7"/>
  <c r="O16" i="6"/>
  <c r="O16" i="5"/>
  <c r="O17" i="5"/>
  <c r="O10" i="2"/>
  <c r="O17" i="2"/>
  <c r="O16" i="2"/>
  <c r="M22" i="11"/>
  <c r="J22" i="11"/>
  <c r="J49" i="11"/>
  <c r="M41" i="11"/>
  <c r="M29" i="11"/>
  <c r="K29" i="11"/>
  <c r="J40" i="11"/>
  <c r="L40" i="11"/>
  <c r="D7" i="4"/>
  <c r="E7" i="4"/>
  <c r="D9" i="4"/>
  <c r="E9" i="4"/>
  <c r="D12" i="4"/>
  <c r="E19" i="4"/>
  <c r="D20" i="4"/>
  <c r="G26" i="11"/>
  <c r="I5" i="11"/>
  <c r="I10" i="11"/>
  <c r="I11" i="11"/>
  <c r="I13" i="11"/>
  <c r="I14" i="11"/>
  <c r="I16" i="11"/>
  <c r="I17" i="11"/>
  <c r="I4" i="11"/>
  <c r="H5" i="11"/>
  <c r="H10" i="11"/>
  <c r="H14" i="11"/>
  <c r="H16" i="11"/>
  <c r="H4" i="11"/>
  <c r="G5" i="11"/>
  <c r="G6" i="11"/>
  <c r="G9" i="11"/>
  <c r="G10" i="11"/>
  <c r="G13" i="11"/>
  <c r="G14" i="11"/>
  <c r="G16" i="11"/>
  <c r="G17" i="11"/>
  <c r="G4" i="11"/>
  <c r="BP5" i="10"/>
  <c r="BP6" i="10"/>
  <c r="BP7" i="10"/>
  <c r="BP8" i="10"/>
  <c r="BP9" i="10"/>
  <c r="BP10" i="10"/>
  <c r="BP11" i="10"/>
  <c r="BP12" i="10"/>
  <c r="BP13" i="10"/>
  <c r="BP14" i="10"/>
  <c r="BP15" i="10"/>
  <c r="BP16" i="10"/>
  <c r="BP17" i="10"/>
  <c r="BP18" i="10"/>
  <c r="BP19" i="10"/>
  <c r="BP20" i="10"/>
  <c r="BP21" i="10"/>
  <c r="BP22" i="10"/>
  <c r="BP23" i="10"/>
  <c r="BP24" i="10"/>
  <c r="BP25" i="10"/>
  <c r="BP26" i="10"/>
  <c r="BP27" i="10"/>
  <c r="BP28" i="10"/>
  <c r="BP29" i="10"/>
  <c r="BP30" i="10"/>
  <c r="BP31" i="10"/>
  <c r="BP32" i="10"/>
  <c r="BP33" i="10"/>
  <c r="BP34" i="10"/>
  <c r="BP35" i="10"/>
  <c r="BP49" i="10"/>
  <c r="BP50" i="10"/>
  <c r="BI4" i="10"/>
  <c r="BJ4" i="10"/>
  <c r="BK4" i="10"/>
  <c r="BP4" i="10"/>
  <c r="BH4" i="10"/>
  <c r="AX4" i="10"/>
  <c r="AY4" i="10"/>
  <c r="AZ4" i="10"/>
  <c r="BA4" i="10"/>
  <c r="BB4" i="10"/>
  <c r="BC4" i="10"/>
  <c r="BD4" i="10"/>
  <c r="BE4" i="10"/>
  <c r="BF4" i="10"/>
  <c r="AW4" i="10"/>
  <c r="AM4" i="10"/>
  <c r="AN4" i="10"/>
  <c r="AO4" i="10"/>
  <c r="AP4" i="10"/>
  <c r="AQ4" i="10"/>
  <c r="AR4" i="10"/>
  <c r="AS4" i="10"/>
  <c r="AT4" i="10"/>
  <c r="AU4" i="10"/>
  <c r="AL4" i="10"/>
  <c r="AJ4" i="10"/>
  <c r="AH4" i="10"/>
  <c r="AI4" i="10"/>
  <c r="AB4" i="10"/>
  <c r="AC4" i="10"/>
  <c r="AD4" i="10"/>
  <c r="AE4" i="10"/>
  <c r="AF4" i="10"/>
  <c r="AG4" i="10"/>
  <c r="AA4" i="10"/>
  <c r="Q4" i="10"/>
  <c r="R4" i="10"/>
  <c r="S4" i="10"/>
  <c r="T4" i="10"/>
  <c r="U4" i="10"/>
  <c r="P4" i="10"/>
  <c r="A4" i="10"/>
  <c r="B4" i="10"/>
  <c r="C4" i="10"/>
  <c r="D4" i="10"/>
  <c r="E4" i="10"/>
  <c r="G4" i="10"/>
  <c r="H4" i="10"/>
  <c r="I4" i="10"/>
  <c r="J4" i="10"/>
  <c r="K4" i="10"/>
  <c r="L4" i="10"/>
  <c r="M4" i="10"/>
  <c r="N4" i="10"/>
  <c r="B5" i="10"/>
  <c r="F5" i="11"/>
  <c r="F6" i="11"/>
  <c r="F9" i="11"/>
  <c r="F10" i="11"/>
  <c r="F13" i="11"/>
  <c r="F14" i="11"/>
  <c r="F16" i="11"/>
  <c r="F17" i="11"/>
  <c r="BP48" i="10"/>
  <c r="BP47" i="10"/>
  <c r="BP46" i="10"/>
  <c r="BP45" i="10"/>
  <c r="BP44" i="10"/>
  <c r="BP43" i="10"/>
  <c r="BP42" i="10"/>
  <c r="BP41" i="10"/>
  <c r="BP40" i="10"/>
  <c r="BP39" i="10"/>
  <c r="BP38" i="10"/>
  <c r="BP37" i="10"/>
  <c r="BP36" i="10"/>
  <c r="O15" i="9"/>
  <c r="O14" i="9"/>
  <c r="O13" i="9"/>
  <c r="O12" i="9"/>
  <c r="O11" i="9"/>
  <c r="O9" i="9"/>
  <c r="O8" i="9"/>
  <c r="O7" i="9"/>
  <c r="O6" i="9"/>
  <c r="O5" i="9"/>
  <c r="O15" i="8"/>
  <c r="O14" i="8"/>
  <c r="O13" i="8"/>
  <c r="O12" i="8"/>
  <c r="O11" i="8"/>
  <c r="O9" i="8"/>
  <c r="O8" i="8"/>
  <c r="O7" i="8"/>
  <c r="O6" i="8"/>
  <c r="O5" i="8"/>
  <c r="AB17" i="9"/>
  <c r="AB7" i="9"/>
  <c r="AB23" i="9"/>
  <c r="O15" i="7"/>
  <c r="O14" i="7"/>
  <c r="O13" i="7"/>
  <c r="O12" i="7"/>
  <c r="O11" i="7"/>
  <c r="O9" i="7"/>
  <c r="O8" i="7"/>
  <c r="O7" i="7"/>
  <c r="O6" i="7"/>
  <c r="O15" i="6"/>
  <c r="O14" i="6"/>
  <c r="O13" i="6"/>
  <c r="O12" i="6"/>
  <c r="O11" i="6"/>
  <c r="O9" i="6"/>
  <c r="O8" i="6"/>
  <c r="O7" i="6"/>
  <c r="O6" i="6"/>
  <c r="O5" i="6"/>
  <c r="O15" i="5"/>
  <c r="O14" i="5"/>
  <c r="O13" i="5"/>
  <c r="O12" i="5"/>
  <c r="O11" i="5"/>
  <c r="O9" i="5"/>
  <c r="O8" i="5"/>
  <c r="O7" i="5"/>
  <c r="O6" i="5"/>
  <c r="O5" i="5"/>
  <c r="O12" i="2"/>
  <c r="O13" i="2"/>
  <c r="O14" i="2"/>
  <c r="O15" i="2"/>
  <c r="O11" i="2"/>
  <c r="O6" i="2"/>
  <c r="O7" i="2"/>
  <c r="O8" i="2"/>
  <c r="O9" i="2"/>
  <c r="O5" i="2"/>
  <c r="M27" i="11"/>
  <c r="M31" i="11"/>
  <c r="M32" i="11"/>
  <c r="M34" i="11"/>
  <c r="L49" i="11"/>
  <c r="L31" i="11"/>
  <c r="L13" i="11"/>
  <c r="L34" i="11"/>
  <c r="K41" i="11"/>
  <c r="K22" i="11"/>
  <c r="K24" i="11"/>
  <c r="K10" i="11"/>
  <c r="J13" i="11"/>
  <c r="J20" i="11"/>
  <c r="J37" i="11"/>
  <c r="J24" i="11"/>
  <c r="I54" i="11"/>
  <c r="I30" i="11"/>
  <c r="H55" i="11"/>
  <c r="H30" i="11"/>
  <c r="H11" i="11"/>
  <c r="H48" i="11"/>
  <c r="G53" i="11"/>
  <c r="G55" i="11"/>
  <c r="G54" i="11"/>
  <c r="G48" i="11"/>
  <c r="F54" i="11"/>
  <c r="E31" i="10"/>
  <c r="F48" i="11"/>
  <c r="F30" i="11"/>
  <c r="F26" i="11"/>
  <c r="I26" i="11"/>
  <c r="I15" i="11"/>
  <c r="I53" i="11"/>
  <c r="J34" i="11"/>
  <c r="J50" i="11"/>
  <c r="I56" i="11"/>
  <c r="M49" i="11"/>
  <c r="L29" i="11"/>
  <c r="K27" i="11"/>
  <c r="K13" i="11"/>
  <c r="L27" i="11"/>
  <c r="J27" i="11"/>
  <c r="J32" i="11"/>
  <c r="L37" i="11"/>
  <c r="L32" i="11"/>
  <c r="K50" i="11"/>
  <c r="M50" i="11"/>
  <c r="J39" i="11"/>
  <c r="M37" i="11"/>
  <c r="J46" i="11"/>
  <c r="L46" i="11"/>
  <c r="M13" i="11"/>
  <c r="M20" i="11"/>
  <c r="K46" i="11"/>
  <c r="M46" i="11"/>
  <c r="F56" i="11"/>
  <c r="G7" i="11"/>
  <c r="M8" i="11"/>
  <c r="L24" i="11"/>
  <c r="K8" i="11"/>
  <c r="K31" i="11"/>
  <c r="F11" i="11"/>
  <c r="F4" i="11"/>
  <c r="F15" i="11"/>
  <c r="I18" i="11"/>
  <c r="G8" i="11"/>
  <c r="I21" i="11"/>
  <c r="G11" i="11"/>
  <c r="H13" i="11"/>
  <c r="I7" i="11"/>
  <c r="I19" i="11"/>
  <c r="H7" i="11"/>
  <c r="H18" i="11"/>
  <c r="F18" i="11"/>
  <c r="G18" i="11"/>
  <c r="I12" i="11"/>
  <c r="H17" i="11"/>
  <c r="G21" i="11"/>
  <c r="F7" i="11"/>
  <c r="F21" i="11"/>
  <c r="H21" i="11"/>
  <c r="M23" i="8" l="1"/>
  <c r="E27" i="8"/>
  <c r="D8" i="4"/>
  <c r="E5" i="4"/>
  <c r="M33" i="8"/>
  <c r="AF7" i="7"/>
  <c r="AO7" i="11" s="1"/>
  <c r="E22" i="10"/>
  <c r="AG53" i="2"/>
  <c r="F53" i="11" s="1"/>
  <c r="E29" i="10"/>
  <c r="E33" i="10"/>
  <c r="G22" i="10"/>
  <c r="G23" i="10"/>
  <c r="G24" i="10"/>
  <c r="G26" i="10"/>
  <c r="G32" i="10"/>
  <c r="G33" i="10"/>
  <c r="K22" i="10"/>
  <c r="AI52" i="2"/>
  <c r="H52" i="11" s="1"/>
  <c r="K24" i="10"/>
  <c r="K26" i="10"/>
  <c r="K30" i="10"/>
  <c r="K33" i="10"/>
  <c r="M23" i="10"/>
  <c r="M28" i="10"/>
  <c r="AJ9" i="2"/>
  <c r="I9" i="11" s="1"/>
  <c r="E23" i="10"/>
  <c r="AG26" i="10"/>
  <c r="AL24" i="10"/>
  <c r="AL26" i="10"/>
  <c r="AT32" i="10"/>
  <c r="AA27" i="10"/>
  <c r="BE23" i="10"/>
  <c r="AW27" i="10"/>
  <c r="BE33" i="10"/>
  <c r="K25" i="10"/>
  <c r="AI15" i="2"/>
  <c r="H15" i="11" s="1"/>
  <c r="G25" i="10"/>
  <c r="V59" i="2"/>
  <c r="AH19" i="2"/>
  <c r="G19" i="11" s="1"/>
  <c r="K21" i="10"/>
  <c r="AI19" i="2"/>
  <c r="H19" i="11" s="1"/>
  <c r="AH41" i="2"/>
  <c r="G41" i="11" s="1"/>
  <c r="G32" i="8"/>
  <c r="E22" i="8"/>
  <c r="G24" i="8"/>
  <c r="E21" i="10"/>
  <c r="V58" i="2"/>
  <c r="H58" i="4" s="1"/>
  <c r="K25" i="8"/>
  <c r="M27" i="10"/>
  <c r="AJ20" i="2"/>
  <c r="I20" i="11" s="1"/>
  <c r="K28" i="8"/>
  <c r="M32" i="8"/>
  <c r="AG25" i="2"/>
  <c r="F25" i="11" s="1"/>
  <c r="K32" i="10"/>
  <c r="AI24" i="2"/>
  <c r="H24" i="11" s="1"/>
  <c r="G30" i="10"/>
  <c r="AH22" i="2"/>
  <c r="G22" i="11" s="1"/>
  <c r="E30" i="10"/>
  <c r="AG28" i="2"/>
  <c r="F28" i="11" s="1"/>
  <c r="AI22" i="2"/>
  <c r="H22" i="11" s="1"/>
  <c r="AI25" i="2"/>
  <c r="H25" i="11" s="1"/>
  <c r="G28" i="10"/>
  <c r="AH34" i="2"/>
  <c r="G34" i="11" s="1"/>
  <c r="AH44" i="2"/>
  <c r="G44" i="11" s="1"/>
  <c r="AH20" i="2"/>
  <c r="G20" i="11" s="1"/>
  <c r="K29" i="10"/>
  <c r="AI27" i="2"/>
  <c r="H27" i="11" s="1"/>
  <c r="G29" i="10"/>
  <c r="AH27" i="2"/>
  <c r="G27" i="11" s="1"/>
  <c r="E26" i="10"/>
  <c r="AG12" i="2"/>
  <c r="F12" i="11" s="1"/>
  <c r="M24" i="10"/>
  <c r="AJ24" i="2"/>
  <c r="I24" i="11" s="1"/>
  <c r="G21" i="10"/>
  <c r="AH32" i="2"/>
  <c r="G32" i="11" s="1"/>
  <c r="AK38" i="6"/>
  <c r="AN58" i="6"/>
  <c r="AL18" i="8"/>
  <c r="BG18" i="11" s="1"/>
  <c r="AL30" i="9"/>
  <c r="BS30" i="11" s="1"/>
  <c r="D41" i="4"/>
  <c r="AC41" i="4"/>
  <c r="AN39" i="5"/>
  <c r="Y39" i="11" s="1"/>
  <c r="AL10" i="9"/>
  <c r="BS10" i="11" s="1"/>
  <c r="E15" i="4"/>
  <c r="G28" i="8"/>
  <c r="K27" i="8"/>
  <c r="K26" i="8"/>
  <c r="M25" i="8"/>
  <c r="G22" i="8"/>
  <c r="AH50" i="8" s="1"/>
  <c r="K21" i="8"/>
  <c r="K31" i="10"/>
  <c r="AI9" i="2"/>
  <c r="H9" i="11" s="1"/>
  <c r="M33" i="10"/>
  <c r="AJ34" i="2"/>
  <c r="I34" i="11" s="1"/>
  <c r="M26" i="10"/>
  <c r="AJ37" i="2"/>
  <c r="I37" i="11" s="1"/>
  <c r="M28" i="8"/>
  <c r="M27" i="8"/>
  <c r="M29" i="10"/>
  <c r="AJ44" i="2"/>
  <c r="I44" i="11" s="1"/>
  <c r="M22" i="10"/>
  <c r="AJ50" i="2"/>
  <c r="I50" i="11" s="1"/>
  <c r="M30" i="10"/>
  <c r="AJ36" i="2"/>
  <c r="I36" i="11" s="1"/>
  <c r="E25" i="10"/>
  <c r="AG22" i="2"/>
  <c r="F22" i="11" s="1"/>
  <c r="M31" i="10"/>
  <c r="AJ27" i="2"/>
  <c r="I27" i="11" s="1"/>
  <c r="M21" i="10"/>
  <c r="AJ32" i="2"/>
  <c r="I32" i="11" s="1"/>
  <c r="AI56" i="2"/>
  <c r="H56" i="11" s="1"/>
  <c r="AI44" i="2"/>
  <c r="H44" i="11" s="1"/>
  <c r="E27" i="10"/>
  <c r="AG45" i="2"/>
  <c r="F45" i="11" s="1"/>
  <c r="AI6" i="2"/>
  <c r="H6" i="11" s="1"/>
  <c r="AI8" i="2"/>
  <c r="H8" i="11" s="1"/>
  <c r="K27" i="10"/>
  <c r="AI62" i="2"/>
  <c r="AI59" i="2"/>
  <c r="AI60" i="2"/>
  <c r="AI61" i="2"/>
  <c r="G31" i="10"/>
  <c r="AH59" i="2"/>
  <c r="AH62" i="2"/>
  <c r="AH58" i="2"/>
  <c r="G58" i="11" s="1"/>
  <c r="AH61" i="2"/>
  <c r="AH60" i="2"/>
  <c r="M32" i="10"/>
  <c r="AJ6" i="2"/>
  <c r="I6" i="11" s="1"/>
  <c r="K28" i="10"/>
  <c r="AI20" i="2"/>
  <c r="H20" i="11" s="1"/>
  <c r="E28" i="10"/>
  <c r="AG41" i="2"/>
  <c r="F41" i="11" s="1"/>
  <c r="E49" i="4"/>
  <c r="M25" i="10"/>
  <c r="AJ58" i="2"/>
  <c r="I58" i="11" s="1"/>
  <c r="G25" i="8"/>
  <c r="E33" i="8"/>
  <c r="AG57" i="2"/>
  <c r="F57" i="11" s="1"/>
  <c r="E24" i="10"/>
  <c r="AH45" i="2"/>
  <c r="G45" i="11" s="1"/>
  <c r="G27" i="10"/>
  <c r="E29" i="4"/>
  <c r="D10" i="4"/>
  <c r="E13" i="4"/>
  <c r="K23" i="10"/>
  <c r="AI58" i="2"/>
  <c r="H58" i="11" s="1"/>
  <c r="AJ57" i="2"/>
  <c r="I57" i="11" s="1"/>
  <c r="AJ59" i="2"/>
  <c r="AJ60" i="2"/>
  <c r="AJ61" i="2"/>
  <c r="AJ62" i="2"/>
  <c r="AI57" i="2"/>
  <c r="H57" i="11" s="1"/>
  <c r="AH23" i="2"/>
  <c r="G23" i="11" s="1"/>
  <c r="AH57" i="2"/>
  <c r="G57" i="11" s="1"/>
  <c r="AG61" i="2"/>
  <c r="AG59" i="2"/>
  <c r="AG58" i="2"/>
  <c r="F58" i="11" s="1"/>
  <c r="AG62" i="2"/>
  <c r="AG60" i="2"/>
  <c r="Y61" i="2"/>
  <c r="Y58" i="2"/>
  <c r="Y62" i="2"/>
  <c r="Y60" i="2"/>
  <c r="Y59" i="2"/>
  <c r="Y57" i="2"/>
  <c r="V57" i="2"/>
  <c r="H57" i="4" s="1"/>
  <c r="Z60" i="2"/>
  <c r="Z61" i="2"/>
  <c r="Z59" i="2"/>
  <c r="Z57" i="2"/>
  <c r="Z58" i="2"/>
  <c r="Z62" i="2"/>
  <c r="AB58" i="2"/>
  <c r="AB62" i="2"/>
  <c r="AB61" i="2"/>
  <c r="AB59" i="2"/>
  <c r="AB57" i="2"/>
  <c r="AB60" i="2"/>
  <c r="AA59" i="2"/>
  <c r="AA57" i="2"/>
  <c r="AA58" i="2"/>
  <c r="AA60" i="2"/>
  <c r="AA61" i="2"/>
  <c r="AA62" i="2"/>
  <c r="G27" i="8"/>
  <c r="E25" i="8"/>
  <c r="AH56" i="2"/>
  <c r="G56" i="11" s="1"/>
  <c r="AN56" i="9"/>
  <c r="AJ56" i="9"/>
  <c r="AK56" i="9"/>
  <c r="BR56" i="11" s="1"/>
  <c r="AG56" i="9"/>
  <c r="BN56" i="11" s="1"/>
  <c r="AM56" i="9"/>
  <c r="AL56" i="9"/>
  <c r="BS56" i="11" s="1"/>
  <c r="AI56" i="9"/>
  <c r="AN48" i="9"/>
  <c r="AJ48" i="9"/>
  <c r="AK48" i="9"/>
  <c r="BR48" i="11" s="1"/>
  <c r="AH48" i="9"/>
  <c r="BO48" i="11" s="1"/>
  <c r="AM48" i="9"/>
  <c r="AI48" i="9"/>
  <c r="BP48" i="11" s="1"/>
  <c r="AG48" i="9"/>
  <c r="BN48" i="11" s="1"/>
  <c r="AN40" i="9"/>
  <c r="AJ40" i="9"/>
  <c r="BQ40" i="11" s="1"/>
  <c r="AK40" i="9"/>
  <c r="BR40" i="11" s="1"/>
  <c r="AH40" i="9"/>
  <c r="BO40" i="11" s="1"/>
  <c r="AL40" i="9"/>
  <c r="BS40" i="11" s="1"/>
  <c r="AI40" i="9"/>
  <c r="BP40" i="11" s="1"/>
  <c r="AG40" i="9"/>
  <c r="BN40" i="11" s="1"/>
  <c r="AM40" i="9"/>
  <c r="AN32" i="9"/>
  <c r="AJ32" i="9"/>
  <c r="BQ32" i="11" s="1"/>
  <c r="AK32" i="9"/>
  <c r="BR32" i="11" s="1"/>
  <c r="AM32" i="9"/>
  <c r="AL32" i="9"/>
  <c r="BS32" i="11" s="1"/>
  <c r="AN24" i="9"/>
  <c r="AJ24" i="9"/>
  <c r="BQ24" i="11" s="1"/>
  <c r="AK24" i="9"/>
  <c r="BR24" i="11" s="1"/>
  <c r="AM24" i="9"/>
  <c r="AL24" i="9"/>
  <c r="BS24" i="11" s="1"/>
  <c r="AI24" i="9"/>
  <c r="BP24" i="11" s="1"/>
  <c r="AN20" i="9"/>
  <c r="AJ20" i="9"/>
  <c r="AK20" i="9"/>
  <c r="BR20" i="11" s="1"/>
  <c r="AL20" i="9"/>
  <c r="BS20" i="11" s="1"/>
  <c r="AH20" i="9"/>
  <c r="BO20" i="11" s="1"/>
  <c r="AG20" i="9"/>
  <c r="BN20" i="11" s="1"/>
  <c r="AM20" i="9"/>
  <c r="BT20" i="11" s="1"/>
  <c r="AM12" i="9"/>
  <c r="BT12" i="11" s="1"/>
  <c r="AI12" i="9"/>
  <c r="BP12" i="11" s="1"/>
  <c r="AK12" i="9"/>
  <c r="BR12" i="11" s="1"/>
  <c r="AJ12" i="9"/>
  <c r="AN12" i="9"/>
  <c r="AL58" i="8"/>
  <c r="BG58" i="11" s="1"/>
  <c r="AK58" i="8"/>
  <c r="BF58" i="11" s="1"/>
  <c r="AN50" i="8"/>
  <c r="BI50" i="11" s="1"/>
  <c r="AM50" i="8"/>
  <c r="BH50" i="11" s="1"/>
  <c r="AG50" i="8"/>
  <c r="AL50" i="8"/>
  <c r="BG50" i="11" s="1"/>
  <c r="AK50" i="8"/>
  <c r="BF50" i="11" s="1"/>
  <c r="AJ38" i="8"/>
  <c r="BE38" i="11" s="1"/>
  <c r="AH38" i="8"/>
  <c r="BC38" i="11" s="1"/>
  <c r="AI38" i="8"/>
  <c r="BD38" i="11" s="1"/>
  <c r="AG38" i="8"/>
  <c r="BB38" i="11" s="1"/>
  <c r="AL38" i="8"/>
  <c r="BG38" i="11" s="1"/>
  <c r="AN26" i="8"/>
  <c r="BI26" i="11" s="1"/>
  <c r="AJ26" i="8"/>
  <c r="AM26" i="8"/>
  <c r="BH26" i="11" s="1"/>
  <c r="AH26" i="8"/>
  <c r="BC26" i="11" s="1"/>
  <c r="AI26" i="8"/>
  <c r="BD26" i="11" s="1"/>
  <c r="AG26" i="8"/>
  <c r="BB26" i="11" s="1"/>
  <c r="AK26" i="8"/>
  <c r="BF26" i="11" s="1"/>
  <c r="AL14" i="8"/>
  <c r="BG14" i="11" s="1"/>
  <c r="AH14" i="8"/>
  <c r="BC14" i="11" s="1"/>
  <c r="AM14" i="8"/>
  <c r="BH14" i="11" s="1"/>
  <c r="AG14" i="8"/>
  <c r="BB14" i="11" s="1"/>
  <c r="AN14" i="8"/>
  <c r="BI14" i="11" s="1"/>
  <c r="AJ14" i="8"/>
  <c r="BE14" i="11" s="1"/>
  <c r="AI14" i="8"/>
  <c r="BD14" i="11" s="1"/>
  <c r="AL56" i="7"/>
  <c r="AM56" i="7"/>
  <c r="AV56" i="11" s="1"/>
  <c r="AG56" i="7"/>
  <c r="AP56" i="11" s="1"/>
  <c r="AK56" i="7"/>
  <c r="AT56" i="11" s="1"/>
  <c r="AI56" i="7"/>
  <c r="AR56" i="11" s="1"/>
  <c r="AN56" i="7"/>
  <c r="AW56" i="11" s="1"/>
  <c r="AL48" i="7"/>
  <c r="AU48" i="11" s="1"/>
  <c r="AH48" i="7"/>
  <c r="AQ48" i="11" s="1"/>
  <c r="AM48" i="7"/>
  <c r="AV48" i="11" s="1"/>
  <c r="AG48" i="7"/>
  <c r="AP48" i="11" s="1"/>
  <c r="AN48" i="7"/>
  <c r="AW48" i="11" s="1"/>
  <c r="AK48" i="7"/>
  <c r="AJ48" i="7"/>
  <c r="AS48" i="11" s="1"/>
  <c r="AI48" i="7"/>
  <c r="AR48" i="11" s="1"/>
  <c r="AL40" i="7"/>
  <c r="AU40" i="11" s="1"/>
  <c r="AH40" i="7"/>
  <c r="AQ40" i="11" s="1"/>
  <c r="AG40" i="7"/>
  <c r="AP40" i="11" s="1"/>
  <c r="AN40" i="7"/>
  <c r="AW40" i="11" s="1"/>
  <c r="AK40" i="7"/>
  <c r="AT40" i="11" s="1"/>
  <c r="AJ40" i="7"/>
  <c r="AS40" i="11" s="1"/>
  <c r="AI40" i="7"/>
  <c r="AR40" i="11" s="1"/>
  <c r="AL32" i="7"/>
  <c r="AU32" i="11" s="1"/>
  <c r="AH32" i="7"/>
  <c r="AM32" i="7"/>
  <c r="AV32" i="11" s="1"/>
  <c r="AG32" i="7"/>
  <c r="AP32" i="11" s="1"/>
  <c r="AN32" i="7"/>
  <c r="AW32" i="11" s="1"/>
  <c r="AK32" i="7"/>
  <c r="AT32" i="11" s="1"/>
  <c r="AL24" i="7"/>
  <c r="AU24" i="11" s="1"/>
  <c r="AM24" i="7"/>
  <c r="AV24" i="11" s="1"/>
  <c r="AK24" i="7"/>
  <c r="AT24" i="11" s="1"/>
  <c r="AN24" i="7"/>
  <c r="AW24" i="11" s="1"/>
  <c r="AL16" i="7"/>
  <c r="AU16" i="11" s="1"/>
  <c r="AH16" i="7"/>
  <c r="AQ16" i="11" s="1"/>
  <c r="AM16" i="7"/>
  <c r="AV16" i="11" s="1"/>
  <c r="AG16" i="7"/>
  <c r="AP16" i="11" s="1"/>
  <c r="AK16" i="7"/>
  <c r="AT16" i="11" s="1"/>
  <c r="AN16" i="7"/>
  <c r="AW16" i="11" s="1"/>
  <c r="AJ16" i="7"/>
  <c r="AS16" i="11" s="1"/>
  <c r="AI16" i="7"/>
  <c r="AR16" i="11" s="1"/>
  <c r="AL12" i="7"/>
  <c r="AU12" i="11" s="1"/>
  <c r="AM12" i="7"/>
  <c r="AV12" i="11" s="1"/>
  <c r="AN12" i="7"/>
  <c r="AW12" i="11" s="1"/>
  <c r="AK12" i="7"/>
  <c r="AT12" i="11" s="1"/>
  <c r="AL58" i="6"/>
  <c r="AI58" i="11" s="1"/>
  <c r="AM58" i="6"/>
  <c r="AJ58" i="11" s="1"/>
  <c r="AJ58" i="6"/>
  <c r="AG58" i="11" s="1"/>
  <c r="AL50" i="6"/>
  <c r="AI50" i="11" s="1"/>
  <c r="AM50" i="6"/>
  <c r="AJ50" i="11" s="1"/>
  <c r="AG50" i="6"/>
  <c r="AD50" i="11" s="1"/>
  <c r="AJ50" i="6"/>
  <c r="AG50" i="11" s="1"/>
  <c r="AK50" i="6"/>
  <c r="AH50" i="11" s="1"/>
  <c r="AN50" i="6"/>
  <c r="AK50" i="11" s="1"/>
  <c r="AL42" i="6"/>
  <c r="AI42" i="11" s="1"/>
  <c r="AH42" i="6"/>
  <c r="AM42" i="6"/>
  <c r="AJ42" i="11" s="1"/>
  <c r="AG42" i="6"/>
  <c r="AD42" i="11" s="1"/>
  <c r="AJ42" i="6"/>
  <c r="AG42" i="11" s="1"/>
  <c r="AI42" i="6"/>
  <c r="AN42" i="6"/>
  <c r="AK42" i="11" s="1"/>
  <c r="AK42" i="6"/>
  <c r="AH42" i="11" s="1"/>
  <c r="AL38" i="6"/>
  <c r="AI38" i="11" s="1"/>
  <c r="AH38" i="6"/>
  <c r="AE38" i="11" s="1"/>
  <c r="AG38" i="6"/>
  <c r="AD38" i="11" s="1"/>
  <c r="AJ38" i="6"/>
  <c r="AG38" i="11" s="1"/>
  <c r="AI38" i="6"/>
  <c r="AF38" i="11" s="1"/>
  <c r="AH30" i="6"/>
  <c r="AE30" i="11" s="1"/>
  <c r="AM30" i="6"/>
  <c r="AJ30" i="11" s="1"/>
  <c r="AG30" i="6"/>
  <c r="AD30" i="11" s="1"/>
  <c r="AJ30" i="6"/>
  <c r="AI30" i="6"/>
  <c r="AF30" i="11" s="1"/>
  <c r="AK30" i="6"/>
  <c r="AH30" i="11" s="1"/>
  <c r="AC26" i="6"/>
  <c r="Z26" i="11" s="1"/>
  <c r="AL26" i="6"/>
  <c r="AI26" i="11" s="1"/>
  <c r="AH26" i="6"/>
  <c r="AE26" i="11" s="1"/>
  <c r="AM26" i="6"/>
  <c r="AJ26" i="11" s="1"/>
  <c r="AG26" i="6"/>
  <c r="AD26" i="11" s="1"/>
  <c r="AJ26" i="6"/>
  <c r="AK26" i="6"/>
  <c r="AH26" i="11" s="1"/>
  <c r="AI26" i="6"/>
  <c r="AF26" i="11" s="1"/>
  <c r="AN18" i="6"/>
  <c r="AK18" i="11" s="1"/>
  <c r="AJ18" i="6"/>
  <c r="AG18" i="11" s="1"/>
  <c r="AM18" i="6"/>
  <c r="AJ18" i="11" s="1"/>
  <c r="AH18" i="6"/>
  <c r="AE18" i="11" s="1"/>
  <c r="AK18" i="6"/>
  <c r="AH18" i="11" s="1"/>
  <c r="AI18" i="6"/>
  <c r="AF18" i="11" s="1"/>
  <c r="AG18" i="6"/>
  <c r="AD18" i="11" s="1"/>
  <c r="AN14" i="6"/>
  <c r="AJ14" i="6"/>
  <c r="AG14" i="11" s="1"/>
  <c r="AM14" i="6"/>
  <c r="AJ14" i="11" s="1"/>
  <c r="AH14" i="6"/>
  <c r="AE14" i="11" s="1"/>
  <c r="AG14" i="6"/>
  <c r="AD14" i="11" s="1"/>
  <c r="AL14" i="6"/>
  <c r="AI14" i="11" s="1"/>
  <c r="AK14" i="6"/>
  <c r="AH14" i="11" s="1"/>
  <c r="AI14" i="6"/>
  <c r="AF14" i="11" s="1"/>
  <c r="AJ6" i="6"/>
  <c r="AM6" i="6"/>
  <c r="AJ6" i="11" s="1"/>
  <c r="AK6" i="6"/>
  <c r="AH6" i="11" s="1"/>
  <c r="AI6" i="6"/>
  <c r="AF6" i="11" s="1"/>
  <c r="AL52" i="5"/>
  <c r="W52" i="11" s="1"/>
  <c r="AM52" i="5"/>
  <c r="X52" i="11" s="1"/>
  <c r="AN52" i="5"/>
  <c r="Y52" i="11" s="1"/>
  <c r="AG40" i="5"/>
  <c r="R40" i="11" s="1"/>
  <c r="AJ40" i="5"/>
  <c r="U40" i="11" s="1"/>
  <c r="AL40" i="5"/>
  <c r="W40" i="11" s="1"/>
  <c r="AM40" i="5"/>
  <c r="X40" i="11" s="1"/>
  <c r="AN40" i="5"/>
  <c r="Y40" i="11" s="1"/>
  <c r="AH40" i="5"/>
  <c r="S40" i="11" s="1"/>
  <c r="AI40" i="5"/>
  <c r="T40" i="11" s="1"/>
  <c r="AG32" i="5"/>
  <c r="AK32" i="5"/>
  <c r="V32" i="11" s="1"/>
  <c r="AJ32" i="5"/>
  <c r="U32" i="11" s="1"/>
  <c r="AL32" i="5"/>
  <c r="W32" i="11" s="1"/>
  <c r="AM32" i="5"/>
  <c r="X32" i="11" s="1"/>
  <c r="AN32" i="5"/>
  <c r="Y32" i="11" s="1"/>
  <c r="AI32" i="5"/>
  <c r="T32" i="11" s="1"/>
  <c r="AK28" i="5"/>
  <c r="V28" i="11" s="1"/>
  <c r="AL28" i="5"/>
  <c r="W28" i="11" s="1"/>
  <c r="AM28" i="5"/>
  <c r="X28" i="11" s="1"/>
  <c r="AN28" i="5"/>
  <c r="AG20" i="5"/>
  <c r="R20" i="11" s="1"/>
  <c r="AK20" i="5"/>
  <c r="V20" i="11" s="1"/>
  <c r="AJ20" i="5"/>
  <c r="U20" i="11" s="1"/>
  <c r="AL20" i="5"/>
  <c r="W20" i="11" s="1"/>
  <c r="AH20" i="5"/>
  <c r="S20" i="11" s="1"/>
  <c r="AM20" i="5"/>
  <c r="X20" i="11" s="1"/>
  <c r="AN20" i="5"/>
  <c r="Y20" i="11" s="1"/>
  <c r="AD12" i="5"/>
  <c r="O12" i="11" s="1"/>
  <c r="AK12" i="5"/>
  <c r="V12" i="11" s="1"/>
  <c r="AL12" i="5"/>
  <c r="W12" i="11" s="1"/>
  <c r="AM12" i="5"/>
  <c r="X12" i="11" s="1"/>
  <c r="AN12" i="5"/>
  <c r="Y12" i="11" s="1"/>
  <c r="AG44" i="2"/>
  <c r="F44" i="11" s="1"/>
  <c r="AH52" i="2"/>
  <c r="G52" i="11" s="1"/>
  <c r="AJ45" i="2"/>
  <c r="I45" i="11" s="1"/>
  <c r="E45" i="4"/>
  <c r="E37" i="4"/>
  <c r="D21" i="4"/>
  <c r="E17" i="4"/>
  <c r="AN4" i="5"/>
  <c r="Y4" i="11" s="1"/>
  <c r="AJ4" i="5"/>
  <c r="U4" i="11" s="1"/>
  <c r="AK4" i="5"/>
  <c r="V4" i="11" s="1"/>
  <c r="AI4" i="5"/>
  <c r="T4" i="11" s="1"/>
  <c r="AH4" i="5"/>
  <c r="S4" i="11" s="1"/>
  <c r="AG4" i="5"/>
  <c r="R4" i="11" s="1"/>
  <c r="AM4" i="5"/>
  <c r="X4" i="11" s="1"/>
  <c r="AL4" i="5"/>
  <c r="W4" i="11" s="1"/>
  <c r="AM4" i="9"/>
  <c r="AI4" i="9"/>
  <c r="BP4" i="11" s="1"/>
  <c r="AK4" i="9"/>
  <c r="BR4" i="11" s="1"/>
  <c r="AJ4" i="9"/>
  <c r="BQ4" i="11" s="1"/>
  <c r="AH4" i="9"/>
  <c r="BO4" i="11" s="1"/>
  <c r="AN4" i="9"/>
  <c r="BU4" i="11" s="1"/>
  <c r="AL4" i="9"/>
  <c r="BS4" i="11" s="1"/>
  <c r="AG4" i="9"/>
  <c r="BN4" i="11" s="1"/>
  <c r="AN55" i="9"/>
  <c r="AJ55" i="9"/>
  <c r="BQ55" i="11" s="1"/>
  <c r="AM55" i="9"/>
  <c r="BT55" i="11" s="1"/>
  <c r="AH55" i="9"/>
  <c r="BO55" i="11" s="1"/>
  <c r="AI55" i="9"/>
  <c r="BP55" i="11" s="1"/>
  <c r="AK55" i="9"/>
  <c r="BR55" i="11" s="1"/>
  <c r="AG55" i="9"/>
  <c r="BN55" i="11" s="1"/>
  <c r="AN51" i="9"/>
  <c r="AJ51" i="9"/>
  <c r="AM51" i="9"/>
  <c r="BT51" i="11" s="1"/>
  <c r="AH51" i="9"/>
  <c r="AL51" i="9"/>
  <c r="BS51" i="11" s="1"/>
  <c r="AI51" i="9"/>
  <c r="BP51" i="11" s="1"/>
  <c r="AG51" i="9"/>
  <c r="BN51" i="11" s="1"/>
  <c r="AK51" i="9"/>
  <c r="BR51" i="11" s="1"/>
  <c r="AB47" i="9"/>
  <c r="AN47" i="9"/>
  <c r="BU47" i="11" s="1"/>
  <c r="AJ47" i="9"/>
  <c r="AM47" i="9"/>
  <c r="AH47" i="9"/>
  <c r="BO47" i="11" s="1"/>
  <c r="AI47" i="9"/>
  <c r="AL47" i="9"/>
  <c r="BS47" i="11" s="1"/>
  <c r="AK47" i="9"/>
  <c r="BR47" i="11" s="1"/>
  <c r="AG47" i="9"/>
  <c r="AN43" i="9"/>
  <c r="BU43" i="11" s="1"/>
  <c r="AJ43" i="9"/>
  <c r="BQ43" i="11" s="1"/>
  <c r="AM43" i="9"/>
  <c r="AH43" i="9"/>
  <c r="BO43" i="11" s="1"/>
  <c r="AL43" i="9"/>
  <c r="BS43" i="11" s="1"/>
  <c r="AG43" i="9"/>
  <c r="BN43" i="11" s="1"/>
  <c r="AK43" i="9"/>
  <c r="BR43" i="11" s="1"/>
  <c r="AI43" i="9"/>
  <c r="BP43" i="11" s="1"/>
  <c r="AC39" i="9"/>
  <c r="BJ39" i="11" s="1"/>
  <c r="AN39" i="9"/>
  <c r="BU39" i="11" s="1"/>
  <c r="AJ39" i="9"/>
  <c r="BQ39" i="11" s="1"/>
  <c r="AM39" i="9"/>
  <c r="AH39" i="9"/>
  <c r="BO39" i="11" s="1"/>
  <c r="AI39" i="9"/>
  <c r="BP39" i="11" s="1"/>
  <c r="AK39" i="9"/>
  <c r="BR39" i="11" s="1"/>
  <c r="AG39" i="9"/>
  <c r="AL39" i="9"/>
  <c r="BS39" i="11" s="1"/>
  <c r="AN35" i="9"/>
  <c r="BU35" i="11" s="1"/>
  <c r="AJ35" i="9"/>
  <c r="AM35" i="9"/>
  <c r="AH35" i="9"/>
  <c r="BO35" i="11" s="1"/>
  <c r="AL35" i="9"/>
  <c r="AK35" i="9"/>
  <c r="BR35" i="11" s="1"/>
  <c r="AI35" i="9"/>
  <c r="BP35" i="11" s="1"/>
  <c r="AG35" i="9"/>
  <c r="BN35" i="11" s="1"/>
  <c r="AN31" i="9"/>
  <c r="AJ31" i="9"/>
  <c r="BQ31" i="11" s="1"/>
  <c r="AM31" i="9"/>
  <c r="AH31" i="9"/>
  <c r="BO31" i="11" s="1"/>
  <c r="AI31" i="9"/>
  <c r="BP31" i="11" s="1"/>
  <c r="AG31" i="9"/>
  <c r="BN31" i="11" s="1"/>
  <c r="AK31" i="9"/>
  <c r="BR31" i="11" s="1"/>
  <c r="AN27" i="9"/>
  <c r="BU27" i="11" s="1"/>
  <c r="AJ27" i="9"/>
  <c r="BQ27" i="11" s="1"/>
  <c r="AM27" i="9"/>
  <c r="BT27" i="11" s="1"/>
  <c r="AL27" i="9"/>
  <c r="BS27" i="11" s="1"/>
  <c r="AK27" i="9"/>
  <c r="BR27" i="11" s="1"/>
  <c r="AG27" i="9"/>
  <c r="BN27" i="11" s="1"/>
  <c r="AN23" i="9"/>
  <c r="AJ23" i="9"/>
  <c r="BQ23" i="11" s="1"/>
  <c r="AM23" i="9"/>
  <c r="AL23" i="9"/>
  <c r="BS23" i="11" s="1"/>
  <c r="AK23" i="9"/>
  <c r="BR23" i="11" s="1"/>
  <c r="AB19" i="9"/>
  <c r="AN19" i="9"/>
  <c r="AJ19" i="9"/>
  <c r="AM19" i="9"/>
  <c r="BT19" i="11" s="1"/>
  <c r="AH19" i="9"/>
  <c r="BO19" i="11" s="1"/>
  <c r="AL19" i="9"/>
  <c r="BS19" i="11" s="1"/>
  <c r="AG19" i="9"/>
  <c r="BN19" i="11" s="1"/>
  <c r="AK19" i="9"/>
  <c r="BR19" i="11" s="1"/>
  <c r="AM15" i="9"/>
  <c r="BT15" i="11" s="1"/>
  <c r="AN15" i="9"/>
  <c r="AG15" i="9"/>
  <c r="BN15" i="11" s="1"/>
  <c r="AL15" i="9"/>
  <c r="BS15" i="11" s="1"/>
  <c r="AK15" i="9"/>
  <c r="BR15" i="11" s="1"/>
  <c r="AJ15" i="9"/>
  <c r="AM11" i="9"/>
  <c r="AI11" i="9"/>
  <c r="BP11" i="11" s="1"/>
  <c r="AN11" i="9"/>
  <c r="AH11" i="9"/>
  <c r="BO11" i="11" s="1"/>
  <c r="AK11" i="9"/>
  <c r="BR11" i="11" s="1"/>
  <c r="AJ11" i="9"/>
  <c r="BQ11" i="11" s="1"/>
  <c r="AL11" i="9"/>
  <c r="BS11" i="11" s="1"/>
  <c r="AG11" i="9"/>
  <c r="BN11" i="11" s="1"/>
  <c r="AE7" i="9"/>
  <c r="BL7" i="11" s="1"/>
  <c r="AM7" i="9"/>
  <c r="BT7" i="11" s="1"/>
  <c r="AI7" i="9"/>
  <c r="BP7" i="11" s="1"/>
  <c r="AN7" i="9"/>
  <c r="AH7" i="9"/>
  <c r="BO7" i="11" s="1"/>
  <c r="AG7" i="9"/>
  <c r="BN7" i="11" s="1"/>
  <c r="AL7" i="9"/>
  <c r="BS7" i="11" s="1"/>
  <c r="AK7" i="9"/>
  <c r="BR7" i="11" s="1"/>
  <c r="AJ7" i="9"/>
  <c r="BQ7" i="11" s="1"/>
  <c r="AK57" i="8"/>
  <c r="BF57" i="11" s="1"/>
  <c r="AL57" i="8"/>
  <c r="BG57" i="11" s="1"/>
  <c r="AN57" i="8"/>
  <c r="BI57" i="11" s="1"/>
  <c r="AM57" i="8"/>
  <c r="BH57" i="11" s="1"/>
  <c r="AN53" i="8"/>
  <c r="BI53" i="11" s="1"/>
  <c r="AK53" i="8"/>
  <c r="BF53" i="11" s="1"/>
  <c r="AM53" i="8"/>
  <c r="BH53" i="11" s="1"/>
  <c r="AG53" i="8"/>
  <c r="BB53" i="11" s="1"/>
  <c r="AL53" i="8"/>
  <c r="BG53" i="11" s="1"/>
  <c r="AN49" i="8"/>
  <c r="BI49" i="11" s="1"/>
  <c r="AK49" i="8"/>
  <c r="BF49" i="11" s="1"/>
  <c r="AM49" i="8"/>
  <c r="BH49" i="11" s="1"/>
  <c r="AL49" i="8"/>
  <c r="BG49" i="11" s="1"/>
  <c r="AN45" i="8"/>
  <c r="BI45" i="11" s="1"/>
  <c r="AJ45" i="8"/>
  <c r="BE45" i="11" s="1"/>
  <c r="AK45" i="8"/>
  <c r="BF45" i="11" s="1"/>
  <c r="AL45" i="8"/>
  <c r="BG45" i="11" s="1"/>
  <c r="AM45" i="8"/>
  <c r="BH45" i="11" s="1"/>
  <c r="AN41" i="8"/>
  <c r="AK41" i="8"/>
  <c r="BF41" i="11" s="1"/>
  <c r="AM41" i="8"/>
  <c r="BH41" i="11" s="1"/>
  <c r="AL41" i="8"/>
  <c r="BG41" i="11" s="1"/>
  <c r="AN37" i="8"/>
  <c r="BI37" i="11" s="1"/>
  <c r="AJ37" i="8"/>
  <c r="BE37" i="11" s="1"/>
  <c r="AK37" i="8"/>
  <c r="BF37" i="11" s="1"/>
  <c r="AL37" i="8"/>
  <c r="BG37" i="11" s="1"/>
  <c r="AM37" i="8"/>
  <c r="BH37" i="11" s="1"/>
  <c r="AN33" i="8"/>
  <c r="BI33" i="11" s="1"/>
  <c r="AJ33" i="8"/>
  <c r="BE33" i="11" s="1"/>
  <c r="AK33" i="8"/>
  <c r="BF33" i="11" s="1"/>
  <c r="AH33" i="8"/>
  <c r="BC33" i="11" s="1"/>
  <c r="AL33" i="8"/>
  <c r="BG33" i="11" s="1"/>
  <c r="AI33" i="8"/>
  <c r="BD33" i="11" s="1"/>
  <c r="AM33" i="8"/>
  <c r="BH33" i="11" s="1"/>
  <c r="AG33" i="8"/>
  <c r="BB33" i="11" s="1"/>
  <c r="AN29" i="8"/>
  <c r="BI29" i="11" s="1"/>
  <c r="AJ29" i="8"/>
  <c r="AK29" i="8"/>
  <c r="BF29" i="11" s="1"/>
  <c r="AL29" i="8"/>
  <c r="BG29" i="11" s="1"/>
  <c r="AG29" i="8"/>
  <c r="BB29" i="11" s="1"/>
  <c r="AM29" i="8"/>
  <c r="BH29" i="11" s="1"/>
  <c r="AI29" i="8"/>
  <c r="AH29" i="8"/>
  <c r="BC29" i="11" s="1"/>
  <c r="AC25" i="8"/>
  <c r="AX25" i="11" s="1"/>
  <c r="AN25" i="8"/>
  <c r="BI25" i="11" s="1"/>
  <c r="AK25" i="8"/>
  <c r="BF25" i="11" s="1"/>
  <c r="AM25" i="8"/>
  <c r="BH25" i="11" s="1"/>
  <c r="AL25" i="8"/>
  <c r="BG25" i="11" s="1"/>
  <c r="AG25" i="8"/>
  <c r="AN21" i="8"/>
  <c r="BI21" i="11" s="1"/>
  <c r="AJ21" i="8"/>
  <c r="BE21" i="11" s="1"/>
  <c r="AK21" i="8"/>
  <c r="AM21" i="8"/>
  <c r="BH21" i="11" s="1"/>
  <c r="AG21" i="8"/>
  <c r="BB21" i="11" s="1"/>
  <c r="AL21" i="8"/>
  <c r="BG21" i="11" s="1"/>
  <c r="AI21" i="8"/>
  <c r="BD21" i="11" s="1"/>
  <c r="AH21" i="8"/>
  <c r="BC21" i="11" s="1"/>
  <c r="AC17" i="8"/>
  <c r="AX17" i="11" s="1"/>
  <c r="AL17" i="8"/>
  <c r="BG17" i="11" s="1"/>
  <c r="AH17" i="8"/>
  <c r="BC17" i="11" s="1"/>
  <c r="AJ17" i="8"/>
  <c r="BE17" i="11" s="1"/>
  <c r="AN17" i="8"/>
  <c r="BI17" i="11" s="1"/>
  <c r="AI17" i="8"/>
  <c r="BD17" i="11" s="1"/>
  <c r="AM17" i="8"/>
  <c r="BH17" i="11" s="1"/>
  <c r="AK17" i="8"/>
  <c r="BF17" i="11" s="1"/>
  <c r="AG17" i="8"/>
  <c r="BB17" i="11" s="1"/>
  <c r="AD13" i="8"/>
  <c r="AY13" i="11" s="1"/>
  <c r="AL13" i="8"/>
  <c r="BG13" i="11" s="1"/>
  <c r="AH13" i="8"/>
  <c r="BC13" i="11" s="1"/>
  <c r="AJ13" i="8"/>
  <c r="BE13" i="11" s="1"/>
  <c r="AN13" i="8"/>
  <c r="BI13" i="11" s="1"/>
  <c r="AI13" i="8"/>
  <c r="BD13" i="11" s="1"/>
  <c r="AM13" i="8"/>
  <c r="AK13" i="8"/>
  <c r="BF13" i="11" s="1"/>
  <c r="AG13" i="8"/>
  <c r="BB13" i="11" s="1"/>
  <c r="AL9" i="8"/>
  <c r="BG9" i="11" s="1"/>
  <c r="AN9" i="8"/>
  <c r="BI9" i="11" s="1"/>
  <c r="AI9" i="8"/>
  <c r="BD9" i="11" s="1"/>
  <c r="AM9" i="8"/>
  <c r="BH9" i="11" s="1"/>
  <c r="AK9" i="8"/>
  <c r="BF9" i="11" s="1"/>
  <c r="AL5" i="8"/>
  <c r="BG5" i="11" s="1"/>
  <c r="AH5" i="8"/>
  <c r="BC5" i="11" s="1"/>
  <c r="AJ5" i="8"/>
  <c r="BE5" i="11" s="1"/>
  <c r="AN5" i="8"/>
  <c r="BI5" i="11" s="1"/>
  <c r="AI5" i="8"/>
  <c r="BD5" i="11" s="1"/>
  <c r="AM5" i="8"/>
  <c r="BH5" i="11" s="1"/>
  <c r="AK5" i="8"/>
  <c r="BF5" i="11" s="1"/>
  <c r="AG5" i="8"/>
  <c r="AL55" i="7"/>
  <c r="AU55" i="11" s="1"/>
  <c r="AH55" i="7"/>
  <c r="AQ55" i="11" s="1"/>
  <c r="AJ55" i="7"/>
  <c r="AS55" i="11" s="1"/>
  <c r="AN55" i="7"/>
  <c r="AW55" i="11" s="1"/>
  <c r="AI55" i="7"/>
  <c r="AR55" i="11" s="1"/>
  <c r="AG55" i="7"/>
  <c r="AP55" i="11" s="1"/>
  <c r="AK55" i="7"/>
  <c r="AT55" i="11" s="1"/>
  <c r="AL51" i="7"/>
  <c r="AU51" i="11" s="1"/>
  <c r="AH51" i="7"/>
  <c r="AJ51" i="7"/>
  <c r="AS51" i="11" s="1"/>
  <c r="AK51" i="7"/>
  <c r="AT51" i="11" s="1"/>
  <c r="AI51" i="7"/>
  <c r="AN51" i="7"/>
  <c r="AW51" i="11" s="1"/>
  <c r="AM51" i="7"/>
  <c r="AV51" i="11" s="1"/>
  <c r="AG51" i="7"/>
  <c r="AC47" i="7"/>
  <c r="AL47" i="11" s="1"/>
  <c r="AL47" i="7"/>
  <c r="AU47" i="11" s="1"/>
  <c r="AH47" i="7"/>
  <c r="AQ47" i="11" s="1"/>
  <c r="AJ47" i="7"/>
  <c r="AS47" i="11" s="1"/>
  <c r="AN47" i="7"/>
  <c r="AW47" i="11" s="1"/>
  <c r="AG47" i="7"/>
  <c r="AM47" i="7"/>
  <c r="AV47" i="11" s="1"/>
  <c r="AK47" i="7"/>
  <c r="AT47" i="11" s="1"/>
  <c r="AI47" i="7"/>
  <c r="AL43" i="7"/>
  <c r="AU43" i="11" s="1"/>
  <c r="AH43" i="7"/>
  <c r="AQ43" i="11" s="1"/>
  <c r="AJ43" i="7"/>
  <c r="AS43" i="11" s="1"/>
  <c r="AK43" i="7"/>
  <c r="AT43" i="11" s="1"/>
  <c r="AI43" i="7"/>
  <c r="AR43" i="11" s="1"/>
  <c r="AG43" i="7"/>
  <c r="AP43" i="11" s="1"/>
  <c r="AN43" i="7"/>
  <c r="AM43" i="7"/>
  <c r="AV43" i="11" s="1"/>
  <c r="AE39" i="7"/>
  <c r="AN39" i="11" s="1"/>
  <c r="AL39" i="7"/>
  <c r="AH39" i="7"/>
  <c r="AJ39" i="7"/>
  <c r="AS39" i="11" s="1"/>
  <c r="AN39" i="7"/>
  <c r="AW39" i="11" s="1"/>
  <c r="AG39" i="7"/>
  <c r="AP39" i="11" s="1"/>
  <c r="AM39" i="7"/>
  <c r="AV39" i="11" s="1"/>
  <c r="AK39" i="7"/>
  <c r="AT39" i="11" s="1"/>
  <c r="AI39" i="7"/>
  <c r="AR39" i="11" s="1"/>
  <c r="AL35" i="7"/>
  <c r="AH35" i="7"/>
  <c r="AQ35" i="11" s="1"/>
  <c r="AJ35" i="7"/>
  <c r="AS35" i="11" s="1"/>
  <c r="AK35" i="7"/>
  <c r="AT35" i="11" s="1"/>
  <c r="AI35" i="7"/>
  <c r="AR35" i="11" s="1"/>
  <c r="AG35" i="7"/>
  <c r="AP35" i="11" s="1"/>
  <c r="AL31" i="7"/>
  <c r="AU31" i="11" s="1"/>
  <c r="AH31" i="7"/>
  <c r="AQ31" i="11" s="1"/>
  <c r="AJ31" i="7"/>
  <c r="AS31" i="11" s="1"/>
  <c r="AG31" i="7"/>
  <c r="AP31" i="11" s="1"/>
  <c r="AK31" i="7"/>
  <c r="AT31" i="11" s="1"/>
  <c r="AI31" i="7"/>
  <c r="AR31" i="11" s="1"/>
  <c r="AL27" i="7"/>
  <c r="AU27" i="11" s="1"/>
  <c r="AH27" i="7"/>
  <c r="AQ27" i="11" s="1"/>
  <c r="AK27" i="7"/>
  <c r="AT27" i="11" s="1"/>
  <c r="AG27" i="7"/>
  <c r="AN27" i="7"/>
  <c r="AW27" i="11" s="1"/>
  <c r="AM27" i="7"/>
  <c r="AV27" i="11" s="1"/>
  <c r="AL23" i="7"/>
  <c r="AU23" i="11" s="1"/>
  <c r="AM23" i="7"/>
  <c r="AV23" i="11" s="1"/>
  <c r="AG23" i="7"/>
  <c r="AP23" i="11" s="1"/>
  <c r="AN23" i="7"/>
  <c r="AW23" i="11" s="1"/>
  <c r="AK23" i="7"/>
  <c r="AT23" i="11" s="1"/>
  <c r="AL19" i="7"/>
  <c r="AU19" i="11" s="1"/>
  <c r="AH19" i="7"/>
  <c r="AQ19" i="11" s="1"/>
  <c r="AI19" i="7"/>
  <c r="AK19" i="7"/>
  <c r="AT19" i="11" s="1"/>
  <c r="AN19" i="7"/>
  <c r="AW19" i="11" s="1"/>
  <c r="AM19" i="7"/>
  <c r="AV19" i="11" s="1"/>
  <c r="AL15" i="7"/>
  <c r="AU15" i="11" s="1"/>
  <c r="AH15" i="7"/>
  <c r="AQ15" i="11" s="1"/>
  <c r="AJ15" i="7"/>
  <c r="AS15" i="11" s="1"/>
  <c r="AM15" i="7"/>
  <c r="AV15" i="11" s="1"/>
  <c r="AN15" i="7"/>
  <c r="AW15" i="11" s="1"/>
  <c r="AK15" i="7"/>
  <c r="AT15" i="11" s="1"/>
  <c r="AI15" i="7"/>
  <c r="AR15" i="11" s="1"/>
  <c r="AG15" i="7"/>
  <c r="AP15" i="11" s="1"/>
  <c r="AL11" i="7"/>
  <c r="AH11" i="7"/>
  <c r="AQ11" i="11" s="1"/>
  <c r="AJ11" i="7"/>
  <c r="AS11" i="11" s="1"/>
  <c r="AI11" i="7"/>
  <c r="AR11" i="11" s="1"/>
  <c r="AG11" i="7"/>
  <c r="AP11" i="11" s="1"/>
  <c r="AN11" i="7"/>
  <c r="AW11" i="11" s="1"/>
  <c r="AM11" i="7"/>
  <c r="AV11" i="11" s="1"/>
  <c r="AK11" i="7"/>
  <c r="AT11" i="11" s="1"/>
  <c r="AE7" i="7"/>
  <c r="AN7" i="11" s="1"/>
  <c r="AL7" i="7"/>
  <c r="AU7" i="11" s="1"/>
  <c r="AH7" i="7"/>
  <c r="AQ7" i="11" s="1"/>
  <c r="AJ7" i="7"/>
  <c r="AS7" i="11" s="1"/>
  <c r="AM7" i="7"/>
  <c r="AV7" i="11" s="1"/>
  <c r="AK7" i="7"/>
  <c r="AT7" i="11" s="1"/>
  <c r="AI7" i="7"/>
  <c r="AR7" i="11" s="1"/>
  <c r="AG7" i="7"/>
  <c r="AP7" i="11" s="1"/>
  <c r="AN7" i="7"/>
  <c r="AW7" i="11" s="1"/>
  <c r="AL57" i="6"/>
  <c r="AI57" i="11" s="1"/>
  <c r="AJ57" i="6"/>
  <c r="AG57" i="11" s="1"/>
  <c r="AK57" i="6"/>
  <c r="AH57" i="11" s="1"/>
  <c r="AM57" i="6"/>
  <c r="AJ57" i="11" s="1"/>
  <c r="AN57" i="6"/>
  <c r="AK57" i="11" s="1"/>
  <c r="AL53" i="6"/>
  <c r="AI53" i="11" s="1"/>
  <c r="AH53" i="6"/>
  <c r="AE53" i="11" s="1"/>
  <c r="AJ53" i="6"/>
  <c r="AG53" i="11" s="1"/>
  <c r="AN53" i="6"/>
  <c r="AK53" i="11" s="1"/>
  <c r="AG53" i="6"/>
  <c r="AM53" i="6"/>
  <c r="AJ53" i="11" s="1"/>
  <c r="AK53" i="6"/>
  <c r="AH53" i="11" s="1"/>
  <c r="AE49" i="6"/>
  <c r="AB49" i="11" s="1"/>
  <c r="AL49" i="6"/>
  <c r="AI49" i="11" s="1"/>
  <c r="AJ49" i="6"/>
  <c r="AG49" i="11" s="1"/>
  <c r="AK49" i="6"/>
  <c r="AH49" i="11" s="1"/>
  <c r="AN49" i="6"/>
  <c r="AK49" i="11" s="1"/>
  <c r="AM49" i="6"/>
  <c r="AJ49" i="11" s="1"/>
  <c r="AC45" i="6"/>
  <c r="Z45" i="11" s="1"/>
  <c r="AL45" i="6"/>
  <c r="AI45" i="11" s="1"/>
  <c r="AJ45" i="6"/>
  <c r="AN45" i="6"/>
  <c r="AK45" i="11" s="1"/>
  <c r="AM45" i="6"/>
  <c r="AJ45" i="11" s="1"/>
  <c r="AK45" i="6"/>
  <c r="AH45" i="11" s="1"/>
  <c r="AL41" i="6"/>
  <c r="AI41" i="11" s="1"/>
  <c r="AJ41" i="6"/>
  <c r="AG41" i="11" s="1"/>
  <c r="AK41" i="6"/>
  <c r="AH41" i="11" s="1"/>
  <c r="AN41" i="6"/>
  <c r="AK41" i="11" s="1"/>
  <c r="AM41" i="6"/>
  <c r="AJ41" i="11" s="1"/>
  <c r="AL37" i="6"/>
  <c r="AI37" i="11" s="1"/>
  <c r="AJ37" i="6"/>
  <c r="AG37" i="11" s="1"/>
  <c r="AN37" i="6"/>
  <c r="AK37" i="11" s="1"/>
  <c r="AK37" i="6"/>
  <c r="AH37" i="11" s="1"/>
  <c r="AM37" i="6"/>
  <c r="AJ37" i="11" s="1"/>
  <c r="AL33" i="6"/>
  <c r="AI33" i="11" s="1"/>
  <c r="AH33" i="6"/>
  <c r="AE33" i="11" s="1"/>
  <c r="AJ33" i="6"/>
  <c r="AG33" i="11" s="1"/>
  <c r="AK33" i="6"/>
  <c r="AH33" i="11" s="1"/>
  <c r="AN33" i="6"/>
  <c r="AK33" i="11" s="1"/>
  <c r="AM33" i="6"/>
  <c r="AJ33" i="11" s="1"/>
  <c r="AI33" i="6"/>
  <c r="AF33" i="11" s="1"/>
  <c r="AG33" i="6"/>
  <c r="AD33" i="11" s="1"/>
  <c r="AL29" i="6"/>
  <c r="AI29" i="11" s="1"/>
  <c r="AH29" i="6"/>
  <c r="AE29" i="11" s="1"/>
  <c r="AJ29" i="6"/>
  <c r="AG29" i="11" s="1"/>
  <c r="AN29" i="6"/>
  <c r="AK29" i="11" s="1"/>
  <c r="AG29" i="6"/>
  <c r="AD29" i="11" s="1"/>
  <c r="AI29" i="6"/>
  <c r="AF29" i="11" s="1"/>
  <c r="AM29" i="6"/>
  <c r="AJ29" i="11" s="1"/>
  <c r="AK29" i="6"/>
  <c r="AH29" i="11" s="1"/>
  <c r="AL25" i="6"/>
  <c r="AI25" i="11" s="1"/>
  <c r="AJ25" i="6"/>
  <c r="AG25" i="11" s="1"/>
  <c r="AK25" i="6"/>
  <c r="AH25" i="11" s="1"/>
  <c r="AM25" i="6"/>
  <c r="AJ25" i="11" s="1"/>
  <c r="AI25" i="6"/>
  <c r="AF25" i="11" s="1"/>
  <c r="AN25" i="6"/>
  <c r="AK25" i="11" s="1"/>
  <c r="AN21" i="6"/>
  <c r="AK21" i="11" s="1"/>
  <c r="AJ21" i="6"/>
  <c r="AG21" i="11" s="1"/>
  <c r="AK21" i="6"/>
  <c r="AH21" i="11" s="1"/>
  <c r="AH21" i="6"/>
  <c r="AE21" i="11" s="1"/>
  <c r="AM21" i="6"/>
  <c r="AJ21" i="11" s="1"/>
  <c r="AG21" i="6"/>
  <c r="AD21" i="11" s="1"/>
  <c r="AL21" i="6"/>
  <c r="AI21" i="11" s="1"/>
  <c r="AI21" i="6"/>
  <c r="AF21" i="11" s="1"/>
  <c r="AN17" i="6"/>
  <c r="AK17" i="11" s="1"/>
  <c r="AJ17" i="6"/>
  <c r="AG17" i="11" s="1"/>
  <c r="AK17" i="6"/>
  <c r="AH17" i="11" s="1"/>
  <c r="AL17" i="6"/>
  <c r="AI17" i="11" s="1"/>
  <c r="AI17" i="6"/>
  <c r="AF17" i="11" s="1"/>
  <c r="AH17" i="6"/>
  <c r="AE17" i="11" s="1"/>
  <c r="AG17" i="6"/>
  <c r="AD17" i="11" s="1"/>
  <c r="AM17" i="6"/>
  <c r="AJ17" i="11" s="1"/>
  <c r="AN13" i="6"/>
  <c r="AK13" i="11" s="1"/>
  <c r="AJ13" i="6"/>
  <c r="AG13" i="11" s="1"/>
  <c r="AK13" i="6"/>
  <c r="AH13" i="11" s="1"/>
  <c r="AH13" i="6"/>
  <c r="AE13" i="11" s="1"/>
  <c r="AM13" i="6"/>
  <c r="AJ13" i="11" s="1"/>
  <c r="AG13" i="6"/>
  <c r="AD13" i="11" s="1"/>
  <c r="AL13" i="6"/>
  <c r="AI13" i="11" s="1"/>
  <c r="AI13" i="6"/>
  <c r="AF13" i="11" s="1"/>
  <c r="AN9" i="6"/>
  <c r="AK9" i="11" s="1"/>
  <c r="AJ9" i="6"/>
  <c r="AG9" i="11" s="1"/>
  <c r="AK9" i="6"/>
  <c r="AH9" i="11" s="1"/>
  <c r="AL9" i="6"/>
  <c r="AI9" i="11" s="1"/>
  <c r="AI9" i="6"/>
  <c r="AF9" i="11" s="1"/>
  <c r="AM9" i="6"/>
  <c r="AJ9" i="11" s="1"/>
  <c r="AG9" i="6"/>
  <c r="AD9" i="11" s="1"/>
  <c r="AN5" i="6"/>
  <c r="AK5" i="11" s="1"/>
  <c r="AJ5" i="6"/>
  <c r="AG5" i="11" s="1"/>
  <c r="AK5" i="6"/>
  <c r="AH5" i="11" s="1"/>
  <c r="AH5" i="6"/>
  <c r="AE5" i="11" s="1"/>
  <c r="AM5" i="6"/>
  <c r="AJ5" i="11" s="1"/>
  <c r="AG5" i="6"/>
  <c r="AL5" i="6"/>
  <c r="AI5" i="11" s="1"/>
  <c r="AI5" i="6"/>
  <c r="AE55" i="5"/>
  <c r="P55" i="11" s="1"/>
  <c r="AG55" i="5"/>
  <c r="R55" i="11" s="1"/>
  <c r="AK55" i="5"/>
  <c r="V55" i="11" s="1"/>
  <c r="AH55" i="5"/>
  <c r="S55" i="11" s="1"/>
  <c r="AM55" i="5"/>
  <c r="X55" i="11" s="1"/>
  <c r="AI55" i="5"/>
  <c r="T55" i="11" s="1"/>
  <c r="AN55" i="5"/>
  <c r="Y55" i="11" s="1"/>
  <c r="AJ55" i="5"/>
  <c r="U55" i="11" s="1"/>
  <c r="AG51" i="5"/>
  <c r="AK51" i="5"/>
  <c r="V51" i="11" s="1"/>
  <c r="AH51" i="5"/>
  <c r="S51" i="11" s="1"/>
  <c r="AM51" i="5"/>
  <c r="X51" i="11" s="1"/>
  <c r="AI51" i="5"/>
  <c r="AN51" i="5"/>
  <c r="Y51" i="11" s="1"/>
  <c r="AJ51" i="5"/>
  <c r="AL51" i="5"/>
  <c r="W51" i="11" s="1"/>
  <c r="AG47" i="5"/>
  <c r="R47" i="11" s="1"/>
  <c r="AK47" i="5"/>
  <c r="V47" i="11" s="1"/>
  <c r="AH47" i="5"/>
  <c r="S47" i="11" s="1"/>
  <c r="AM47" i="5"/>
  <c r="X47" i="11" s="1"/>
  <c r="AI47" i="5"/>
  <c r="AN47" i="5"/>
  <c r="Y47" i="11" s="1"/>
  <c r="AJ47" i="5"/>
  <c r="U47" i="11" s="1"/>
  <c r="AL47" i="5"/>
  <c r="W47" i="11" s="1"/>
  <c r="AG43" i="5"/>
  <c r="R43" i="11" s="1"/>
  <c r="AK43" i="5"/>
  <c r="V43" i="11" s="1"/>
  <c r="AH43" i="5"/>
  <c r="S43" i="11" s="1"/>
  <c r="AM43" i="5"/>
  <c r="X43" i="11" s="1"/>
  <c r="AI43" i="5"/>
  <c r="T43" i="11" s="1"/>
  <c r="AN43" i="5"/>
  <c r="Y43" i="11" s="1"/>
  <c r="AJ43" i="5"/>
  <c r="U43" i="11" s="1"/>
  <c r="AL43" i="5"/>
  <c r="AG39" i="5"/>
  <c r="R39" i="11" s="1"/>
  <c r="AH39" i="5"/>
  <c r="AM39" i="5"/>
  <c r="X39" i="11" s="1"/>
  <c r="AI39" i="5"/>
  <c r="T39" i="11" s="1"/>
  <c r="AJ39" i="5"/>
  <c r="U39" i="11" s="1"/>
  <c r="AL39" i="5"/>
  <c r="W39" i="11" s="1"/>
  <c r="AG35" i="5"/>
  <c r="R35" i="11" s="1"/>
  <c r="AH35" i="5"/>
  <c r="S35" i="11" s="1"/>
  <c r="AI35" i="5"/>
  <c r="T35" i="11" s="1"/>
  <c r="AN35" i="5"/>
  <c r="Y35" i="11" s="1"/>
  <c r="AJ35" i="5"/>
  <c r="U35" i="11" s="1"/>
  <c r="AL35" i="5"/>
  <c r="AG31" i="5"/>
  <c r="R31" i="11" s="1"/>
  <c r="AK31" i="5"/>
  <c r="V31" i="11" s="1"/>
  <c r="AH31" i="5"/>
  <c r="S31" i="11" s="1"/>
  <c r="AM31" i="5"/>
  <c r="X31" i="11" s="1"/>
  <c r="AI31" i="5"/>
  <c r="T31" i="11" s="1"/>
  <c r="AJ31" i="5"/>
  <c r="U31" i="11" s="1"/>
  <c r="AK27" i="5"/>
  <c r="V27" i="11" s="1"/>
  <c r="AM27" i="5"/>
  <c r="X27" i="11" s="1"/>
  <c r="AI27" i="5"/>
  <c r="T27" i="11" s="1"/>
  <c r="AN27" i="5"/>
  <c r="Y27" i="11" s="1"/>
  <c r="AJ27" i="5"/>
  <c r="U27" i="11" s="1"/>
  <c r="AL27" i="5"/>
  <c r="W27" i="11" s="1"/>
  <c r="AK23" i="5"/>
  <c r="V23" i="11" s="1"/>
  <c r="AM23" i="5"/>
  <c r="X23" i="11" s="1"/>
  <c r="AN23" i="5"/>
  <c r="Y23" i="11" s="1"/>
  <c r="AL23" i="5"/>
  <c r="W23" i="11" s="1"/>
  <c r="AG19" i="5"/>
  <c r="R19" i="11" s="1"/>
  <c r="AK19" i="5"/>
  <c r="V19" i="11" s="1"/>
  <c r="AH19" i="5"/>
  <c r="S19" i="11" s="1"/>
  <c r="AM19" i="5"/>
  <c r="X19" i="11" s="1"/>
  <c r="AI19" i="5"/>
  <c r="T19" i="11" s="1"/>
  <c r="AN19" i="5"/>
  <c r="Y19" i="11" s="1"/>
  <c r="AJ19" i="5"/>
  <c r="U19" i="11" s="1"/>
  <c r="AL19" i="5"/>
  <c r="W19" i="11" s="1"/>
  <c r="AG15" i="5"/>
  <c r="R15" i="11" s="1"/>
  <c r="AK15" i="5"/>
  <c r="V15" i="11" s="1"/>
  <c r="AH15" i="5"/>
  <c r="AM15" i="5"/>
  <c r="X15" i="11" s="1"/>
  <c r="AI15" i="5"/>
  <c r="T15" i="11" s="1"/>
  <c r="AN15" i="5"/>
  <c r="Y15" i="11" s="1"/>
  <c r="AJ15" i="5"/>
  <c r="U15" i="11" s="1"/>
  <c r="AL15" i="5"/>
  <c r="W15" i="11" s="1"/>
  <c r="AG11" i="5"/>
  <c r="R11" i="11" s="1"/>
  <c r="AK11" i="5"/>
  <c r="V11" i="11" s="1"/>
  <c r="AH11" i="5"/>
  <c r="S11" i="11" s="1"/>
  <c r="AI11" i="5"/>
  <c r="T11" i="11" s="1"/>
  <c r="AN11" i="5"/>
  <c r="Y11" i="11" s="1"/>
  <c r="AJ11" i="5"/>
  <c r="U11" i="11" s="1"/>
  <c r="AL11" i="5"/>
  <c r="W11" i="11" s="1"/>
  <c r="AG7" i="5"/>
  <c r="R7" i="11" s="1"/>
  <c r="AK7" i="5"/>
  <c r="V7" i="11" s="1"/>
  <c r="AH7" i="5"/>
  <c r="S7" i="11" s="1"/>
  <c r="AM7" i="5"/>
  <c r="X7" i="11" s="1"/>
  <c r="AI7" i="5"/>
  <c r="T7" i="11" s="1"/>
  <c r="AN7" i="5"/>
  <c r="Y7" i="11" s="1"/>
  <c r="AJ7" i="5"/>
  <c r="U7" i="11" s="1"/>
  <c r="AL7" i="5"/>
  <c r="W7" i="11" s="1"/>
  <c r="AL59" i="6"/>
  <c r="AJ59" i="6"/>
  <c r="AN59" i="6"/>
  <c r="AM59" i="6"/>
  <c r="AK59" i="6"/>
  <c r="AM59" i="8"/>
  <c r="AN59" i="8"/>
  <c r="AK59" i="8"/>
  <c r="AL59" i="8"/>
  <c r="AG36" i="2"/>
  <c r="F36" i="11" s="1"/>
  <c r="AH50" i="2"/>
  <c r="G50" i="11" s="1"/>
  <c r="AH25" i="2"/>
  <c r="G25" i="11" s="1"/>
  <c r="AI41" i="2"/>
  <c r="H41" i="11" s="1"/>
  <c r="AJ28" i="2"/>
  <c r="I28" i="11" s="1"/>
  <c r="AI32" i="2"/>
  <c r="H32" i="11" s="1"/>
  <c r="AC4" i="8"/>
  <c r="AX4" i="11" s="1"/>
  <c r="AL4" i="8"/>
  <c r="BG4" i="11" s="1"/>
  <c r="AH4" i="8"/>
  <c r="BC4" i="11" s="1"/>
  <c r="AM4" i="8"/>
  <c r="BH4" i="11" s="1"/>
  <c r="AG4" i="8"/>
  <c r="BB4" i="11" s="1"/>
  <c r="AK4" i="8"/>
  <c r="BF4" i="11" s="1"/>
  <c r="AJ4" i="8"/>
  <c r="BE4" i="11" s="1"/>
  <c r="AI4" i="8"/>
  <c r="BD4" i="11" s="1"/>
  <c r="AN4" i="8"/>
  <c r="BI4" i="11" s="1"/>
  <c r="AN52" i="9"/>
  <c r="AJ52" i="9"/>
  <c r="BQ52" i="11" s="1"/>
  <c r="AK52" i="9"/>
  <c r="BR52" i="11" s="1"/>
  <c r="AL52" i="9"/>
  <c r="BS52" i="11" s="1"/>
  <c r="AM52" i="9"/>
  <c r="BT52" i="11" s="1"/>
  <c r="AN44" i="9"/>
  <c r="BU44" i="11" s="1"/>
  <c r="AJ44" i="9"/>
  <c r="AK44" i="9"/>
  <c r="BR44" i="11" s="1"/>
  <c r="AL44" i="9"/>
  <c r="AM44" i="9"/>
  <c r="BT44" i="11" s="1"/>
  <c r="AN36" i="9"/>
  <c r="AJ36" i="9"/>
  <c r="BQ36" i="11" s="1"/>
  <c r="AK36" i="9"/>
  <c r="BR36" i="11" s="1"/>
  <c r="AL36" i="9"/>
  <c r="BS36" i="11" s="1"/>
  <c r="AM36" i="9"/>
  <c r="AB28" i="9"/>
  <c r="AN28" i="9"/>
  <c r="AJ28" i="9"/>
  <c r="BQ28" i="11" s="1"/>
  <c r="AK28" i="9"/>
  <c r="BR28" i="11" s="1"/>
  <c r="AL28" i="9"/>
  <c r="BS28" i="11" s="1"/>
  <c r="AM28" i="9"/>
  <c r="BT28" i="11" s="1"/>
  <c r="AB16" i="9"/>
  <c r="AM16" i="9"/>
  <c r="AI16" i="9"/>
  <c r="BP16" i="11" s="1"/>
  <c r="AK16" i="9"/>
  <c r="BR16" i="11" s="1"/>
  <c r="AN16" i="9"/>
  <c r="BU16" i="11" s="1"/>
  <c r="AG16" i="9"/>
  <c r="BN16" i="11" s="1"/>
  <c r="AL16" i="9"/>
  <c r="BS16" i="11" s="1"/>
  <c r="AJ16" i="9"/>
  <c r="BQ16" i="11" s="1"/>
  <c r="AH16" i="9"/>
  <c r="BO16" i="11" s="1"/>
  <c r="AM8" i="9"/>
  <c r="AK8" i="9"/>
  <c r="BR8" i="11" s="1"/>
  <c r="AN8" i="9"/>
  <c r="AL8" i="9"/>
  <c r="BS8" i="11" s="1"/>
  <c r="AJ8" i="9"/>
  <c r="AF54" i="8"/>
  <c r="BA54" i="11" s="1"/>
  <c r="AN54" i="8"/>
  <c r="BI54" i="11" s="1"/>
  <c r="AJ54" i="8"/>
  <c r="BE54" i="11" s="1"/>
  <c r="AH54" i="8"/>
  <c r="BC54" i="11" s="1"/>
  <c r="AK54" i="8"/>
  <c r="BF54" i="11" s="1"/>
  <c r="AI54" i="8"/>
  <c r="BD54" i="11" s="1"/>
  <c r="AG54" i="8"/>
  <c r="BB54" i="11" s="1"/>
  <c r="AN46" i="8"/>
  <c r="BI46" i="11" s="1"/>
  <c r="AJ46" i="8"/>
  <c r="BE46" i="11" s="1"/>
  <c r="AM46" i="8"/>
  <c r="BH46" i="11" s="1"/>
  <c r="AH46" i="8"/>
  <c r="BC46" i="11" s="1"/>
  <c r="AK46" i="8"/>
  <c r="BF46" i="11" s="1"/>
  <c r="AL46" i="8"/>
  <c r="BG46" i="11" s="1"/>
  <c r="AI46" i="8"/>
  <c r="BD46" i="11" s="1"/>
  <c r="AG46" i="8"/>
  <c r="BB46" i="11" s="1"/>
  <c r="AN42" i="8"/>
  <c r="BI42" i="11" s="1"/>
  <c r="AJ42" i="8"/>
  <c r="BE42" i="11" s="1"/>
  <c r="AM42" i="8"/>
  <c r="BH42" i="11" s="1"/>
  <c r="AH42" i="8"/>
  <c r="BC42" i="11" s="1"/>
  <c r="AG42" i="8"/>
  <c r="AL42" i="8"/>
  <c r="BG42" i="11" s="1"/>
  <c r="AK42" i="8"/>
  <c r="BF42" i="11" s="1"/>
  <c r="AI42" i="8"/>
  <c r="AN34" i="8"/>
  <c r="BI34" i="11" s="1"/>
  <c r="AM34" i="8"/>
  <c r="BH34" i="11" s="1"/>
  <c r="AH34" i="8"/>
  <c r="AL34" i="8"/>
  <c r="BG34" i="11" s="1"/>
  <c r="AK34" i="8"/>
  <c r="BF34" i="11" s="1"/>
  <c r="AI34" i="8"/>
  <c r="BD34" i="11" s="1"/>
  <c r="AN30" i="8"/>
  <c r="BI30" i="11" s="1"/>
  <c r="AJ30" i="8"/>
  <c r="BE30" i="11" s="1"/>
  <c r="AM30" i="8"/>
  <c r="BH30" i="11" s="1"/>
  <c r="AH30" i="8"/>
  <c r="BC30" i="11" s="1"/>
  <c r="AK30" i="8"/>
  <c r="BF30" i="11" s="1"/>
  <c r="AG30" i="8"/>
  <c r="BB30" i="11" s="1"/>
  <c r="AL30" i="8"/>
  <c r="BG30" i="11" s="1"/>
  <c r="AI30" i="8"/>
  <c r="BD30" i="11" s="1"/>
  <c r="AN22" i="8"/>
  <c r="BI22" i="11" s="1"/>
  <c r="AJ22" i="8"/>
  <c r="BE22" i="11" s="1"/>
  <c r="AM22" i="8"/>
  <c r="BH22" i="11" s="1"/>
  <c r="AL22" i="8"/>
  <c r="BG22" i="11" s="1"/>
  <c r="AK22" i="8"/>
  <c r="BF22" i="11" s="1"/>
  <c r="AH18" i="8"/>
  <c r="BC18" i="11" s="1"/>
  <c r="AG18" i="8"/>
  <c r="BB18" i="11" s="1"/>
  <c r="AN18" i="8"/>
  <c r="BI18" i="11" s="1"/>
  <c r="AJ18" i="8"/>
  <c r="BE18" i="11" s="1"/>
  <c r="AI18" i="8"/>
  <c r="BD18" i="11" s="1"/>
  <c r="AH10" i="8"/>
  <c r="BC10" i="11" s="1"/>
  <c r="AM10" i="8"/>
  <c r="BH10" i="11" s="1"/>
  <c r="AG10" i="8"/>
  <c r="BB10" i="11" s="1"/>
  <c r="AK10" i="8"/>
  <c r="BF10" i="11" s="1"/>
  <c r="AN10" i="8"/>
  <c r="BI10" i="11" s="1"/>
  <c r="AJ10" i="8"/>
  <c r="AI10" i="8"/>
  <c r="BD10" i="11" s="1"/>
  <c r="AL6" i="8"/>
  <c r="BG6" i="11" s="1"/>
  <c r="AH6" i="8"/>
  <c r="BC6" i="11" s="1"/>
  <c r="AM6" i="8"/>
  <c r="BH6" i="11" s="1"/>
  <c r="AK6" i="8"/>
  <c r="BF6" i="11" s="1"/>
  <c r="AN6" i="8"/>
  <c r="BI6" i="11" s="1"/>
  <c r="AJ6" i="8"/>
  <c r="BE6" i="11" s="1"/>
  <c r="AL52" i="7"/>
  <c r="AU52" i="11" s="1"/>
  <c r="AG52" i="7"/>
  <c r="AP52" i="11" s="1"/>
  <c r="AK52" i="7"/>
  <c r="AT52" i="11" s="1"/>
  <c r="AJ52" i="7"/>
  <c r="AS52" i="11" s="1"/>
  <c r="AL44" i="7"/>
  <c r="AU44" i="11" s="1"/>
  <c r="AM44" i="7"/>
  <c r="AV44" i="11" s="1"/>
  <c r="AN44" i="7"/>
  <c r="AW44" i="11" s="1"/>
  <c r="AK44" i="7"/>
  <c r="AL36" i="7"/>
  <c r="AU36" i="11" s="1"/>
  <c r="AM36" i="7"/>
  <c r="AV36" i="11" s="1"/>
  <c r="AN36" i="7"/>
  <c r="AW36" i="11" s="1"/>
  <c r="AK36" i="7"/>
  <c r="AT36" i="11" s="1"/>
  <c r="AL28" i="7"/>
  <c r="AU28" i="11" s="1"/>
  <c r="AM28" i="7"/>
  <c r="AV28" i="11" s="1"/>
  <c r="AG28" i="7"/>
  <c r="AN28" i="7"/>
  <c r="AW28" i="11" s="1"/>
  <c r="AK28" i="7"/>
  <c r="AL20" i="7"/>
  <c r="AH20" i="7"/>
  <c r="AQ20" i="11" s="1"/>
  <c r="AM20" i="7"/>
  <c r="AV20" i="11" s="1"/>
  <c r="AI20" i="7"/>
  <c r="AR20" i="11" s="1"/>
  <c r="AK20" i="7"/>
  <c r="AT20" i="11" s="1"/>
  <c r="AJ20" i="7"/>
  <c r="AS20" i="11" s="1"/>
  <c r="AN20" i="7"/>
  <c r="AW20" i="11" s="1"/>
  <c r="AL8" i="7"/>
  <c r="AM8" i="7"/>
  <c r="AV8" i="11" s="1"/>
  <c r="AK8" i="7"/>
  <c r="AT8" i="11" s="1"/>
  <c r="AN8" i="7"/>
  <c r="AW8" i="11" s="1"/>
  <c r="AL54" i="6"/>
  <c r="AI54" i="11" s="1"/>
  <c r="AH54" i="6"/>
  <c r="AE54" i="11" s="1"/>
  <c r="AM54" i="6"/>
  <c r="AJ54" i="11" s="1"/>
  <c r="AG54" i="6"/>
  <c r="AD54" i="11" s="1"/>
  <c r="AI54" i="6"/>
  <c r="AF54" i="11" s="1"/>
  <c r="AJ54" i="6"/>
  <c r="AG54" i="11" s="1"/>
  <c r="AL46" i="6"/>
  <c r="AH46" i="6"/>
  <c r="AE46" i="11" s="1"/>
  <c r="AM46" i="6"/>
  <c r="AG46" i="6"/>
  <c r="AD46" i="11" s="1"/>
  <c r="AN46" i="6"/>
  <c r="AK46" i="11" s="1"/>
  <c r="AK46" i="6"/>
  <c r="AJ46" i="6"/>
  <c r="AG46" i="11" s="1"/>
  <c r="AI46" i="6"/>
  <c r="AF46" i="11" s="1"/>
  <c r="AL34" i="6"/>
  <c r="AM34" i="6"/>
  <c r="AJ34" i="11" s="1"/>
  <c r="AJ34" i="6"/>
  <c r="AG34" i="11" s="1"/>
  <c r="AN34" i="6"/>
  <c r="AK34" i="11" s="1"/>
  <c r="AK34" i="6"/>
  <c r="AH34" i="11" s="1"/>
  <c r="AN22" i="6"/>
  <c r="AK22" i="11" s="1"/>
  <c r="AJ22" i="6"/>
  <c r="AG22" i="11" s="1"/>
  <c r="AM22" i="6"/>
  <c r="AJ22" i="11" s="1"/>
  <c r="AG22" i="6"/>
  <c r="AD22" i="11" s="1"/>
  <c r="AL22" i="6"/>
  <c r="AI22" i="11" s="1"/>
  <c r="AK22" i="6"/>
  <c r="AH22" i="11" s="1"/>
  <c r="AN10" i="6"/>
  <c r="AK10" i="11" s="1"/>
  <c r="AJ10" i="6"/>
  <c r="AG10" i="11" s="1"/>
  <c r="AH10" i="6"/>
  <c r="AE10" i="11" s="1"/>
  <c r="AK10" i="6"/>
  <c r="AH10" i="11" s="1"/>
  <c r="AI10" i="6"/>
  <c r="AF10" i="11" s="1"/>
  <c r="AG10" i="6"/>
  <c r="AD10" i="11" s="1"/>
  <c r="AL10" i="6"/>
  <c r="AI10" i="11" s="1"/>
  <c r="AF56" i="5"/>
  <c r="Q56" i="11" s="1"/>
  <c r="AK56" i="5"/>
  <c r="V56" i="11" s="1"/>
  <c r="AL56" i="5"/>
  <c r="W56" i="11" s="1"/>
  <c r="AM56" i="5"/>
  <c r="X56" i="11" s="1"/>
  <c r="AN56" i="5"/>
  <c r="Y56" i="11" s="1"/>
  <c r="AH56" i="5"/>
  <c r="S56" i="11" s="1"/>
  <c r="AG48" i="5"/>
  <c r="R48" i="11" s="1"/>
  <c r="AK48" i="5"/>
  <c r="V48" i="11" s="1"/>
  <c r="AJ48" i="5"/>
  <c r="U48" i="11" s="1"/>
  <c r="AL48" i="5"/>
  <c r="W48" i="11" s="1"/>
  <c r="AM48" i="5"/>
  <c r="X48" i="11" s="1"/>
  <c r="AN48" i="5"/>
  <c r="Y48" i="11" s="1"/>
  <c r="AH48" i="5"/>
  <c r="S48" i="11" s="1"/>
  <c r="AI48" i="5"/>
  <c r="T48" i="11" s="1"/>
  <c r="AK44" i="5"/>
  <c r="V44" i="11" s="1"/>
  <c r="AL44" i="5"/>
  <c r="W44" i="11" s="1"/>
  <c r="AM44" i="5"/>
  <c r="X44" i="11" s="1"/>
  <c r="AN44" i="5"/>
  <c r="Y44" i="11" s="1"/>
  <c r="AK36" i="5"/>
  <c r="V36" i="11" s="1"/>
  <c r="AL36" i="5"/>
  <c r="W36" i="11" s="1"/>
  <c r="AM36" i="5"/>
  <c r="X36" i="11" s="1"/>
  <c r="AN36" i="5"/>
  <c r="Y36" i="11" s="1"/>
  <c r="AK24" i="5"/>
  <c r="V24" i="11" s="1"/>
  <c r="AL24" i="5"/>
  <c r="W24" i="11" s="1"/>
  <c r="AM24" i="5"/>
  <c r="X24" i="11" s="1"/>
  <c r="AN24" i="5"/>
  <c r="Y24" i="11" s="1"/>
  <c r="AG16" i="5"/>
  <c r="R16" i="11" s="1"/>
  <c r="AK16" i="5"/>
  <c r="V16" i="11" s="1"/>
  <c r="AJ16" i="5"/>
  <c r="U16" i="11" s="1"/>
  <c r="AL16" i="5"/>
  <c r="W16" i="11" s="1"/>
  <c r="AH16" i="5"/>
  <c r="S16" i="11" s="1"/>
  <c r="AM16" i="5"/>
  <c r="X16" i="11" s="1"/>
  <c r="AN16" i="5"/>
  <c r="Y16" i="11" s="1"/>
  <c r="AI16" i="5"/>
  <c r="T16" i="11" s="1"/>
  <c r="AK8" i="5"/>
  <c r="V8" i="11" s="1"/>
  <c r="AL8" i="5"/>
  <c r="W8" i="11" s="1"/>
  <c r="AM8" i="5"/>
  <c r="X8" i="11" s="1"/>
  <c r="AN8" i="5"/>
  <c r="Y8" i="11" s="1"/>
  <c r="AH15" i="2"/>
  <c r="G15" i="11" s="1"/>
  <c r="AH36" i="2"/>
  <c r="G36" i="11" s="1"/>
  <c r="AI45" i="2"/>
  <c r="H45" i="11" s="1"/>
  <c r="AI50" i="2"/>
  <c r="H50" i="11" s="1"/>
  <c r="AI49" i="2"/>
  <c r="H49" i="11" s="1"/>
  <c r="AJ22" i="2"/>
  <c r="I22" i="11" s="1"/>
  <c r="AJ49" i="2"/>
  <c r="I49" i="11" s="1"/>
  <c r="AG49" i="2"/>
  <c r="F49" i="11" s="1"/>
  <c r="AG34" i="2"/>
  <c r="F34" i="11" s="1"/>
  <c r="AG52" i="2"/>
  <c r="F52" i="11" s="1"/>
  <c r="AH28" i="2"/>
  <c r="G28" i="11" s="1"/>
  <c r="AI23" i="2"/>
  <c r="H23" i="11" s="1"/>
  <c r="AI28" i="2"/>
  <c r="H28" i="11" s="1"/>
  <c r="AJ52" i="2"/>
  <c r="I52" i="11" s="1"/>
  <c r="AJ23" i="2"/>
  <c r="I23" i="11" s="1"/>
  <c r="AJ8" i="2"/>
  <c r="I8" i="11" s="1"/>
  <c r="AG37" i="2"/>
  <c r="F37" i="11" s="1"/>
  <c r="AI37" i="2"/>
  <c r="H37" i="11" s="1"/>
  <c r="D53" i="4"/>
  <c r="E25" i="4"/>
  <c r="AC4" i="6"/>
  <c r="Z4" i="11" s="1"/>
  <c r="AJ4" i="6"/>
  <c r="AG4" i="11" s="1"/>
  <c r="AM4" i="6"/>
  <c r="AJ4" i="11" s="1"/>
  <c r="AH4" i="6"/>
  <c r="AE4" i="11" s="1"/>
  <c r="AI4" i="6"/>
  <c r="AF4" i="11" s="1"/>
  <c r="AG4" i="6"/>
  <c r="AD4" i="11" s="1"/>
  <c r="AL4" i="6"/>
  <c r="AI4" i="11" s="1"/>
  <c r="AK4" i="6"/>
  <c r="AH4" i="11" s="1"/>
  <c r="AN58" i="9"/>
  <c r="BU58" i="11" s="1"/>
  <c r="AJ58" i="9"/>
  <c r="BQ58" i="11" s="1"/>
  <c r="AK58" i="9"/>
  <c r="BR58" i="11" s="1"/>
  <c r="AM58" i="9"/>
  <c r="BT58" i="11" s="1"/>
  <c r="AL58" i="9"/>
  <c r="BS58" i="11" s="1"/>
  <c r="AN54" i="9"/>
  <c r="AJ54" i="9"/>
  <c r="BQ54" i="11" s="1"/>
  <c r="AK54" i="9"/>
  <c r="BR54" i="11" s="1"/>
  <c r="AI54" i="9"/>
  <c r="BP54" i="11" s="1"/>
  <c r="AM54" i="9"/>
  <c r="AH54" i="9"/>
  <c r="BO54" i="11" s="1"/>
  <c r="AG54" i="9"/>
  <c r="BN54" i="11" s="1"/>
  <c r="AN50" i="9"/>
  <c r="BU50" i="11" s="1"/>
  <c r="AJ50" i="9"/>
  <c r="BQ50" i="11" s="1"/>
  <c r="AK50" i="9"/>
  <c r="BR50" i="11" s="1"/>
  <c r="AM50" i="9"/>
  <c r="BT50" i="11" s="1"/>
  <c r="AL50" i="9"/>
  <c r="BS50" i="11" s="1"/>
  <c r="AN46" i="9"/>
  <c r="AJ46" i="9"/>
  <c r="BQ46" i="11" s="1"/>
  <c r="AK46" i="9"/>
  <c r="BR46" i="11" s="1"/>
  <c r="AI46" i="9"/>
  <c r="BP46" i="11" s="1"/>
  <c r="AL46" i="9"/>
  <c r="BS46" i="11" s="1"/>
  <c r="AH46" i="9"/>
  <c r="BO46" i="11" s="1"/>
  <c r="AG46" i="9"/>
  <c r="BN46" i="11" s="1"/>
  <c r="AM46" i="9"/>
  <c r="AB42" i="9"/>
  <c r="AN42" i="9"/>
  <c r="AJ42" i="9"/>
  <c r="BQ42" i="11" s="1"/>
  <c r="AK42" i="9"/>
  <c r="BR42" i="11" s="1"/>
  <c r="AM42" i="9"/>
  <c r="AG42" i="9"/>
  <c r="AL42" i="9"/>
  <c r="BS42" i="11" s="1"/>
  <c r="AI42" i="9"/>
  <c r="AH42" i="9"/>
  <c r="AN38" i="9"/>
  <c r="AJ38" i="9"/>
  <c r="BQ38" i="11" s="1"/>
  <c r="AK38" i="9"/>
  <c r="BR38" i="11" s="1"/>
  <c r="AI38" i="9"/>
  <c r="BP38" i="11" s="1"/>
  <c r="AH38" i="9"/>
  <c r="BO38" i="11" s="1"/>
  <c r="AG38" i="9"/>
  <c r="BN38" i="11" s="1"/>
  <c r="AM38" i="9"/>
  <c r="AN34" i="9"/>
  <c r="BU34" i="11" s="1"/>
  <c r="AJ34" i="9"/>
  <c r="AK34" i="9"/>
  <c r="BR34" i="11" s="1"/>
  <c r="AM34" i="9"/>
  <c r="AL34" i="9"/>
  <c r="BS34" i="11" s="1"/>
  <c r="AI34" i="9"/>
  <c r="AN30" i="9"/>
  <c r="AJ30" i="9"/>
  <c r="BQ30" i="11" s="1"/>
  <c r="AK30" i="9"/>
  <c r="BR30" i="11" s="1"/>
  <c r="AI30" i="9"/>
  <c r="BP30" i="11" s="1"/>
  <c r="AG30" i="9"/>
  <c r="BN30" i="11" s="1"/>
  <c r="AM30" i="9"/>
  <c r="BT30" i="11" s="1"/>
  <c r="AH30" i="9"/>
  <c r="BO30" i="11" s="1"/>
  <c r="AE26" i="9"/>
  <c r="BL26" i="11" s="1"/>
  <c r="AN26" i="9"/>
  <c r="BU26" i="11" s="1"/>
  <c r="AJ26" i="9"/>
  <c r="BQ26" i="11" s="1"/>
  <c r="AK26" i="9"/>
  <c r="BR26" i="11" s="1"/>
  <c r="AM26" i="9"/>
  <c r="AG26" i="9"/>
  <c r="BN26" i="11" s="1"/>
  <c r="AI26" i="9"/>
  <c r="BP26" i="11" s="1"/>
  <c r="AH26" i="9"/>
  <c r="AL26" i="9"/>
  <c r="BS26" i="11" s="1"/>
  <c r="AN22" i="9"/>
  <c r="BU22" i="11" s="1"/>
  <c r="AJ22" i="9"/>
  <c r="AK22" i="9"/>
  <c r="BR22" i="11" s="1"/>
  <c r="AM22" i="9"/>
  <c r="AL22" i="9"/>
  <c r="BS22" i="11" s="1"/>
  <c r="AN18" i="9"/>
  <c r="AJ18" i="9"/>
  <c r="AK18" i="9"/>
  <c r="BR18" i="11" s="1"/>
  <c r="AM18" i="9"/>
  <c r="BT18" i="11" s="1"/>
  <c r="AG18" i="9"/>
  <c r="BN18" i="11" s="1"/>
  <c r="AL18" i="9"/>
  <c r="BS18" i="11" s="1"/>
  <c r="AI18" i="9"/>
  <c r="BP18" i="11" s="1"/>
  <c r="AH18" i="9"/>
  <c r="BO18" i="11" s="1"/>
  <c r="AM14" i="9"/>
  <c r="AI14" i="9"/>
  <c r="BP14" i="11" s="1"/>
  <c r="AK14" i="9"/>
  <c r="BR14" i="11" s="1"/>
  <c r="AH14" i="9"/>
  <c r="BO14" i="11" s="1"/>
  <c r="AN14" i="9"/>
  <c r="BU14" i="11" s="1"/>
  <c r="AJ14" i="9"/>
  <c r="BQ14" i="11" s="1"/>
  <c r="AM10" i="9"/>
  <c r="AI10" i="9"/>
  <c r="BP10" i="11" s="1"/>
  <c r="AK10" i="9"/>
  <c r="BR10" i="11" s="1"/>
  <c r="AJ10" i="9"/>
  <c r="BQ10" i="11" s="1"/>
  <c r="AH10" i="9"/>
  <c r="BO10" i="11" s="1"/>
  <c r="AG10" i="9"/>
  <c r="BN10" i="11" s="1"/>
  <c r="AN10" i="9"/>
  <c r="AM6" i="9"/>
  <c r="AK6" i="9"/>
  <c r="BR6" i="11" s="1"/>
  <c r="AN6" i="9"/>
  <c r="AL6" i="9"/>
  <c r="BS6" i="11" s="1"/>
  <c r="AJ6" i="9"/>
  <c r="BQ6" i="11" s="1"/>
  <c r="AN56" i="8"/>
  <c r="BI56" i="11" s="1"/>
  <c r="AM56" i="8"/>
  <c r="BH56" i="11" s="1"/>
  <c r="AK56" i="8"/>
  <c r="BF56" i="11" s="1"/>
  <c r="AL56" i="8"/>
  <c r="BG56" i="11" s="1"/>
  <c r="AN52" i="8"/>
  <c r="BI52" i="11" s="1"/>
  <c r="AM52" i="8"/>
  <c r="BH52" i="11" s="1"/>
  <c r="AL52" i="8"/>
  <c r="BG52" i="11" s="1"/>
  <c r="AJ48" i="8"/>
  <c r="BE48" i="11" s="1"/>
  <c r="AM48" i="8"/>
  <c r="BH48" i="11" s="1"/>
  <c r="AH48" i="8"/>
  <c r="BC48" i="11" s="1"/>
  <c r="AK48" i="8"/>
  <c r="BF48" i="11" s="1"/>
  <c r="AI48" i="8"/>
  <c r="BD48" i="11" s="1"/>
  <c r="AG48" i="8"/>
  <c r="BB48" i="11" s="1"/>
  <c r="AL48" i="8"/>
  <c r="BG48" i="11" s="1"/>
  <c r="AN44" i="8"/>
  <c r="BI44" i="11" s="1"/>
  <c r="AM44" i="8"/>
  <c r="BH44" i="11" s="1"/>
  <c r="AH44" i="8"/>
  <c r="BC44" i="11" s="1"/>
  <c r="AL44" i="8"/>
  <c r="BG44" i="11" s="1"/>
  <c r="AK44" i="8"/>
  <c r="BF44" i="11" s="1"/>
  <c r="AN40" i="8"/>
  <c r="BI40" i="11" s="1"/>
  <c r="AJ40" i="8"/>
  <c r="BE40" i="11" s="1"/>
  <c r="AH40" i="8"/>
  <c r="BC40" i="11" s="1"/>
  <c r="AI40" i="8"/>
  <c r="BD40" i="11" s="1"/>
  <c r="AK40" i="8"/>
  <c r="BF40" i="11" s="1"/>
  <c r="AG40" i="8"/>
  <c r="BB40" i="11" s="1"/>
  <c r="AN36" i="8"/>
  <c r="BI36" i="11" s="1"/>
  <c r="AM36" i="8"/>
  <c r="BH36" i="11" s="1"/>
  <c r="AL36" i="8"/>
  <c r="BG36" i="11" s="1"/>
  <c r="AK36" i="8"/>
  <c r="BF36" i="11" s="1"/>
  <c r="AI36" i="8"/>
  <c r="BD36" i="11" s="1"/>
  <c r="AN32" i="8"/>
  <c r="BI32" i="11" s="1"/>
  <c r="AM32" i="8"/>
  <c r="BH32" i="11" s="1"/>
  <c r="AI32" i="8"/>
  <c r="BD32" i="11" s="1"/>
  <c r="AK32" i="8"/>
  <c r="BF32" i="11" s="1"/>
  <c r="AL32" i="8"/>
  <c r="BG32" i="11" s="1"/>
  <c r="AN28" i="8"/>
  <c r="BI28" i="11" s="1"/>
  <c r="AM28" i="8"/>
  <c r="BH28" i="11" s="1"/>
  <c r="AL28" i="8"/>
  <c r="BG28" i="11" s="1"/>
  <c r="AK28" i="8"/>
  <c r="BF28" i="11" s="1"/>
  <c r="AN24" i="8"/>
  <c r="BI24" i="11" s="1"/>
  <c r="AM24" i="8"/>
  <c r="BH24" i="11" s="1"/>
  <c r="AH24" i="8"/>
  <c r="BC24" i="11" s="1"/>
  <c r="AK24" i="8"/>
  <c r="BF24" i="11" s="1"/>
  <c r="AG24" i="8"/>
  <c r="BB24" i="11" s="1"/>
  <c r="AL24" i="8"/>
  <c r="BG24" i="11" s="1"/>
  <c r="AN20" i="8"/>
  <c r="BI20" i="11" s="1"/>
  <c r="AJ20" i="8"/>
  <c r="BE20" i="11" s="1"/>
  <c r="AM20" i="8"/>
  <c r="BH20" i="11" s="1"/>
  <c r="AH20" i="8"/>
  <c r="BC20" i="11" s="1"/>
  <c r="AG20" i="8"/>
  <c r="BB20" i="11" s="1"/>
  <c r="AL20" i="8"/>
  <c r="BG20" i="11" s="1"/>
  <c r="AK20" i="8"/>
  <c r="BF20" i="11" s="1"/>
  <c r="AI20" i="8"/>
  <c r="BD20" i="11" s="1"/>
  <c r="AL16" i="8"/>
  <c r="BG16" i="11" s="1"/>
  <c r="AH16" i="8"/>
  <c r="BC16" i="11" s="1"/>
  <c r="AM16" i="8"/>
  <c r="BH16" i="11" s="1"/>
  <c r="AG16" i="8"/>
  <c r="BB16" i="11" s="1"/>
  <c r="AK16" i="8"/>
  <c r="BF16" i="11" s="1"/>
  <c r="AJ16" i="8"/>
  <c r="BE16" i="11" s="1"/>
  <c r="AI16" i="8"/>
  <c r="BD16" i="11" s="1"/>
  <c r="AN16" i="8"/>
  <c r="BI16" i="11" s="1"/>
  <c r="AL12" i="8"/>
  <c r="BG12" i="11" s="1"/>
  <c r="AH12" i="8"/>
  <c r="BC12" i="11" s="1"/>
  <c r="AG12" i="8"/>
  <c r="BB12" i="11" s="1"/>
  <c r="AK12" i="8"/>
  <c r="BF12" i="11" s="1"/>
  <c r="AN12" i="8"/>
  <c r="AL8" i="8"/>
  <c r="BG8" i="11" s="1"/>
  <c r="AH8" i="8"/>
  <c r="BC8" i="11" s="1"/>
  <c r="AM8" i="8"/>
  <c r="BH8" i="11" s="1"/>
  <c r="AK8" i="8"/>
  <c r="BF8" i="11" s="1"/>
  <c r="AN8" i="8"/>
  <c r="BI8" i="11" s="1"/>
  <c r="AL58" i="7"/>
  <c r="AM58" i="7"/>
  <c r="AV58" i="11" s="1"/>
  <c r="AK58" i="7"/>
  <c r="AN58" i="7"/>
  <c r="AW58" i="11" s="1"/>
  <c r="AL54" i="7"/>
  <c r="AU54" i="11" s="1"/>
  <c r="AH54" i="7"/>
  <c r="AQ54" i="11" s="1"/>
  <c r="AM54" i="7"/>
  <c r="AV54" i="11" s="1"/>
  <c r="AG54" i="7"/>
  <c r="AP54" i="11" s="1"/>
  <c r="AK54" i="7"/>
  <c r="AT54" i="11" s="1"/>
  <c r="AJ54" i="7"/>
  <c r="AS54" i="11" s="1"/>
  <c r="AI54" i="7"/>
  <c r="AR54" i="11" s="1"/>
  <c r="AL50" i="7"/>
  <c r="AU50" i="11" s="1"/>
  <c r="AM50" i="7"/>
  <c r="AV50" i="11" s="1"/>
  <c r="AG50" i="7"/>
  <c r="AP50" i="11" s="1"/>
  <c r="AK50" i="7"/>
  <c r="AT50" i="11" s="1"/>
  <c r="AN50" i="7"/>
  <c r="AW50" i="11" s="1"/>
  <c r="AL46" i="7"/>
  <c r="AU46" i="11" s="1"/>
  <c r="AH46" i="7"/>
  <c r="AQ46" i="11" s="1"/>
  <c r="AM46" i="7"/>
  <c r="AG46" i="7"/>
  <c r="AP46" i="11" s="1"/>
  <c r="AI46" i="7"/>
  <c r="AR46" i="11" s="1"/>
  <c r="AN46" i="7"/>
  <c r="AW46" i="11" s="1"/>
  <c r="AK46" i="7"/>
  <c r="AJ46" i="7"/>
  <c r="AS46" i="11" s="1"/>
  <c r="AL42" i="7"/>
  <c r="AU42" i="11" s="1"/>
  <c r="AH42" i="7"/>
  <c r="AM42" i="7"/>
  <c r="AV42" i="11" s="1"/>
  <c r="AG42" i="7"/>
  <c r="AK42" i="7"/>
  <c r="AT42" i="11" s="1"/>
  <c r="AJ42" i="7"/>
  <c r="AN42" i="7"/>
  <c r="AW42" i="11" s="1"/>
  <c r="AI42" i="7"/>
  <c r="AL38" i="7"/>
  <c r="AU38" i="11" s="1"/>
  <c r="AH38" i="7"/>
  <c r="AQ38" i="11" s="1"/>
  <c r="AM38" i="7"/>
  <c r="AV38" i="11" s="1"/>
  <c r="AG38" i="7"/>
  <c r="AP38" i="11" s="1"/>
  <c r="AI38" i="7"/>
  <c r="AR38" i="11" s="1"/>
  <c r="AK38" i="7"/>
  <c r="AT38" i="11" s="1"/>
  <c r="AJ38" i="7"/>
  <c r="AS38" i="11" s="1"/>
  <c r="AC34" i="7"/>
  <c r="AL34" i="11" s="1"/>
  <c r="AL34" i="7"/>
  <c r="AU34" i="11" s="1"/>
  <c r="AM34" i="7"/>
  <c r="AV34" i="11" s="1"/>
  <c r="AK34" i="7"/>
  <c r="AT34" i="11" s="1"/>
  <c r="AJ34" i="7"/>
  <c r="AN34" i="7"/>
  <c r="AW34" i="11" s="1"/>
  <c r="AL30" i="7"/>
  <c r="AU30" i="11" s="1"/>
  <c r="AH30" i="7"/>
  <c r="AQ30" i="11" s="1"/>
  <c r="AG30" i="7"/>
  <c r="AP30" i="11" s="1"/>
  <c r="AI30" i="7"/>
  <c r="AR30" i="11" s="1"/>
  <c r="AK30" i="7"/>
  <c r="AT30" i="11" s="1"/>
  <c r="AJ30" i="7"/>
  <c r="AS30" i="11" s="1"/>
  <c r="AL26" i="7"/>
  <c r="AU26" i="11" s="1"/>
  <c r="AH26" i="7"/>
  <c r="AQ26" i="11" s="1"/>
  <c r="AG26" i="7"/>
  <c r="AK26" i="7"/>
  <c r="AT26" i="11" s="1"/>
  <c r="AJ26" i="7"/>
  <c r="AS26" i="11" s="1"/>
  <c r="AN26" i="7"/>
  <c r="AW26" i="11" s="1"/>
  <c r="AI26" i="7"/>
  <c r="AL22" i="7"/>
  <c r="AU22" i="11" s="1"/>
  <c r="AM22" i="7"/>
  <c r="AV22" i="11" s="1"/>
  <c r="AN22" i="7"/>
  <c r="AW22" i="11" s="1"/>
  <c r="AK22" i="7"/>
  <c r="AT22" i="11" s="1"/>
  <c r="AC18" i="7"/>
  <c r="AL18" i="11" s="1"/>
  <c r="AL18" i="7"/>
  <c r="AU18" i="11" s="1"/>
  <c r="AH18" i="7"/>
  <c r="AQ18" i="11" s="1"/>
  <c r="AG18" i="7"/>
  <c r="AP18" i="11" s="1"/>
  <c r="AJ18" i="7"/>
  <c r="AS18" i="11" s="1"/>
  <c r="AI18" i="7"/>
  <c r="AR18" i="11" s="1"/>
  <c r="AN18" i="7"/>
  <c r="AW18" i="11" s="1"/>
  <c r="AK18" i="7"/>
  <c r="AT18" i="11" s="1"/>
  <c r="AL14" i="7"/>
  <c r="AU14" i="11" s="1"/>
  <c r="AH14" i="7"/>
  <c r="AQ14" i="11" s="1"/>
  <c r="AM14" i="7"/>
  <c r="AV14" i="11" s="1"/>
  <c r="AG14" i="7"/>
  <c r="AP14" i="11" s="1"/>
  <c r="AN14" i="7"/>
  <c r="AW14" i="11" s="1"/>
  <c r="AK14" i="7"/>
  <c r="AT14" i="11" s="1"/>
  <c r="AJ14" i="7"/>
  <c r="AS14" i="11" s="1"/>
  <c r="AI14" i="7"/>
  <c r="AR14" i="11" s="1"/>
  <c r="AL10" i="7"/>
  <c r="AU10" i="11" s="1"/>
  <c r="AH10" i="7"/>
  <c r="AQ10" i="11" s="1"/>
  <c r="AM10" i="7"/>
  <c r="AV10" i="11" s="1"/>
  <c r="AG10" i="7"/>
  <c r="AP10" i="11" s="1"/>
  <c r="AJ10" i="7"/>
  <c r="AS10" i="11" s="1"/>
  <c r="AK10" i="7"/>
  <c r="AT10" i="11" s="1"/>
  <c r="AI10" i="7"/>
  <c r="AR10" i="11" s="1"/>
  <c r="AE6" i="7"/>
  <c r="AN6" i="11" s="1"/>
  <c r="AL6" i="7"/>
  <c r="AU6" i="11" s="1"/>
  <c r="AM6" i="7"/>
  <c r="AV6" i="11" s="1"/>
  <c r="AN6" i="7"/>
  <c r="AW6" i="11" s="1"/>
  <c r="AK6" i="7"/>
  <c r="AT6" i="11" s="1"/>
  <c r="AL56" i="6"/>
  <c r="AI56" i="11" s="1"/>
  <c r="AM56" i="6"/>
  <c r="AJ56" i="11" s="1"/>
  <c r="AK56" i="6"/>
  <c r="AH56" i="11" s="1"/>
  <c r="AJ56" i="6"/>
  <c r="AG56" i="11" s="1"/>
  <c r="AN56" i="6"/>
  <c r="AK56" i="11" s="1"/>
  <c r="AL52" i="6"/>
  <c r="AI52" i="11" s="1"/>
  <c r="AM52" i="6"/>
  <c r="AJ52" i="11" s="1"/>
  <c r="AN52" i="6"/>
  <c r="AK52" i="11" s="1"/>
  <c r="AK52" i="6"/>
  <c r="AH52" i="11" s="1"/>
  <c r="AJ52" i="6"/>
  <c r="AG52" i="11" s="1"/>
  <c r="AH48" i="6"/>
  <c r="AE48" i="11" s="1"/>
  <c r="AM48" i="6"/>
  <c r="AJ48" i="11" s="1"/>
  <c r="AG48" i="6"/>
  <c r="AD48" i="11" s="1"/>
  <c r="AK48" i="6"/>
  <c r="AH48" i="11" s="1"/>
  <c r="AI48" i="6"/>
  <c r="AF48" i="11" s="1"/>
  <c r="AJ48" i="6"/>
  <c r="AL44" i="6"/>
  <c r="AI44" i="11" s="1"/>
  <c r="AM44" i="6"/>
  <c r="AJ44" i="11" s="1"/>
  <c r="AG44" i="6"/>
  <c r="AD44" i="11" s="1"/>
  <c r="AK44" i="6"/>
  <c r="AH44" i="11" s="1"/>
  <c r="AJ44" i="6"/>
  <c r="AG44" i="11" s="1"/>
  <c r="AN44" i="6"/>
  <c r="AK44" i="11" s="1"/>
  <c r="AH40" i="6"/>
  <c r="AE40" i="11" s="1"/>
  <c r="AG40" i="6"/>
  <c r="AD40" i="11" s="1"/>
  <c r="AN40" i="6"/>
  <c r="AK40" i="11" s="1"/>
  <c r="AJ40" i="6"/>
  <c r="AG40" i="11" s="1"/>
  <c r="AI40" i="6"/>
  <c r="AF40" i="11" s="1"/>
  <c r="AL36" i="6"/>
  <c r="AI36" i="11" s="1"/>
  <c r="AM36" i="6"/>
  <c r="AJ36" i="11" s="1"/>
  <c r="AJ36" i="6"/>
  <c r="AG36" i="11" s="1"/>
  <c r="AN36" i="6"/>
  <c r="AK36" i="11" s="1"/>
  <c r="AK36" i="6"/>
  <c r="AH36" i="11" s="1"/>
  <c r="AL32" i="6"/>
  <c r="AI32" i="11" s="1"/>
  <c r="AH32" i="6"/>
  <c r="AE32" i="11" s="1"/>
  <c r="AM32" i="6"/>
  <c r="AJ32" i="11" s="1"/>
  <c r="AG32" i="6"/>
  <c r="AD32" i="11" s="1"/>
  <c r="AK32" i="6"/>
  <c r="AH32" i="11" s="1"/>
  <c r="AN32" i="6"/>
  <c r="AK32" i="11" s="1"/>
  <c r="AJ32" i="6"/>
  <c r="AG32" i="11" s="1"/>
  <c r="AI32" i="6"/>
  <c r="AC28" i="6"/>
  <c r="Z28" i="11" s="1"/>
  <c r="AL28" i="6"/>
  <c r="AI28" i="11" s="1"/>
  <c r="AM28" i="6"/>
  <c r="AJ28" i="11" s="1"/>
  <c r="AN28" i="6"/>
  <c r="AK28" i="11" s="1"/>
  <c r="AK28" i="6"/>
  <c r="AH28" i="11" s="1"/>
  <c r="AJ28" i="6"/>
  <c r="AG28" i="11" s="1"/>
  <c r="AE24" i="6"/>
  <c r="AB24" i="11" s="1"/>
  <c r="AN24" i="6"/>
  <c r="AJ24" i="6"/>
  <c r="AM24" i="6"/>
  <c r="AJ24" i="11" s="1"/>
  <c r="AL24" i="6"/>
  <c r="AI24" i="11" s="1"/>
  <c r="AK24" i="6"/>
  <c r="AH24" i="11" s="1"/>
  <c r="AI24" i="6"/>
  <c r="AF24" i="11" s="1"/>
  <c r="AG24" i="6"/>
  <c r="AD24" i="11" s="1"/>
  <c r="AN20" i="6"/>
  <c r="AK20" i="11" s="1"/>
  <c r="AJ20" i="6"/>
  <c r="AG20" i="11" s="1"/>
  <c r="AM20" i="6"/>
  <c r="AJ20" i="11" s="1"/>
  <c r="AG20" i="6"/>
  <c r="AD20" i="11" s="1"/>
  <c r="AL20" i="6"/>
  <c r="AI20" i="11" s="1"/>
  <c r="AK20" i="6"/>
  <c r="AH20" i="11" s="1"/>
  <c r="AN16" i="6"/>
  <c r="AK16" i="11" s="1"/>
  <c r="AJ16" i="6"/>
  <c r="AG16" i="11" s="1"/>
  <c r="AM16" i="6"/>
  <c r="AJ16" i="11" s="1"/>
  <c r="AH16" i="6"/>
  <c r="AE16" i="11" s="1"/>
  <c r="AK16" i="6"/>
  <c r="AH16" i="11" s="1"/>
  <c r="AI16" i="6"/>
  <c r="AF16" i="11" s="1"/>
  <c r="AG16" i="6"/>
  <c r="AD16" i="11" s="1"/>
  <c r="AN12" i="6"/>
  <c r="AK12" i="11" s="1"/>
  <c r="AJ12" i="6"/>
  <c r="AG12" i="11" s="1"/>
  <c r="AM12" i="6"/>
  <c r="AJ12" i="11" s="1"/>
  <c r="AL12" i="6"/>
  <c r="AI12" i="11" s="1"/>
  <c r="AK12" i="6"/>
  <c r="AH12" i="11" s="1"/>
  <c r="AN8" i="6"/>
  <c r="AK8" i="11" s="1"/>
  <c r="AJ8" i="6"/>
  <c r="AG8" i="11" s="1"/>
  <c r="AM8" i="6"/>
  <c r="AJ8" i="11" s="1"/>
  <c r="AL8" i="6"/>
  <c r="AI8" i="11" s="1"/>
  <c r="AK8" i="6"/>
  <c r="AH8" i="11" s="1"/>
  <c r="AK58" i="5"/>
  <c r="V58" i="11" s="1"/>
  <c r="AL58" i="5"/>
  <c r="W58" i="11" s="1"/>
  <c r="AN58" i="5"/>
  <c r="Y58" i="11" s="1"/>
  <c r="AD54" i="5"/>
  <c r="O54" i="11" s="1"/>
  <c r="AG54" i="5"/>
  <c r="R54" i="11" s="1"/>
  <c r="AK54" i="5"/>
  <c r="AJ54" i="5"/>
  <c r="U54" i="11" s="1"/>
  <c r="AL54" i="5"/>
  <c r="W54" i="11" s="1"/>
  <c r="AH54" i="5"/>
  <c r="S54" i="11" s="1"/>
  <c r="AI54" i="5"/>
  <c r="T54" i="11" s="1"/>
  <c r="AM54" i="5"/>
  <c r="X54" i="11" s="1"/>
  <c r="AN54" i="5"/>
  <c r="Y54" i="11" s="1"/>
  <c r="AK50" i="5"/>
  <c r="V50" i="11" s="1"/>
  <c r="AL50" i="5"/>
  <c r="W50" i="11" s="1"/>
  <c r="AM50" i="5"/>
  <c r="X50" i="11" s="1"/>
  <c r="AN50" i="5"/>
  <c r="Y50" i="11" s="1"/>
  <c r="AG46" i="5"/>
  <c r="R46" i="11" s="1"/>
  <c r="AK46" i="5"/>
  <c r="V46" i="11" s="1"/>
  <c r="AJ46" i="5"/>
  <c r="U46" i="11" s="1"/>
  <c r="AL46" i="5"/>
  <c r="W46" i="11" s="1"/>
  <c r="AH46" i="5"/>
  <c r="S46" i="11" s="1"/>
  <c r="AI46" i="5"/>
  <c r="T46" i="11" s="1"/>
  <c r="AM46" i="5"/>
  <c r="X46" i="11" s="1"/>
  <c r="AN46" i="5"/>
  <c r="Y46" i="11" s="1"/>
  <c r="AG42" i="5"/>
  <c r="R42" i="11" s="1"/>
  <c r="AK42" i="5"/>
  <c r="V42" i="11" s="1"/>
  <c r="AJ42" i="5"/>
  <c r="AL42" i="5"/>
  <c r="W42" i="11" s="1"/>
  <c r="AH42" i="5"/>
  <c r="AI42" i="5"/>
  <c r="AM42" i="5"/>
  <c r="X42" i="11" s="1"/>
  <c r="AN42" i="5"/>
  <c r="Y42" i="11" s="1"/>
  <c r="AG38" i="5"/>
  <c r="R38" i="11" s="1"/>
  <c r="AJ38" i="5"/>
  <c r="U38" i="11" s="1"/>
  <c r="AH38" i="5"/>
  <c r="S38" i="11" s="1"/>
  <c r="AI38" i="5"/>
  <c r="T38" i="11" s="1"/>
  <c r="AM38" i="5"/>
  <c r="X38" i="11" s="1"/>
  <c r="AN38" i="5"/>
  <c r="Y38" i="11" s="1"/>
  <c r="AD34" i="5"/>
  <c r="O34" i="11" s="1"/>
  <c r="AK34" i="5"/>
  <c r="V34" i="11" s="1"/>
  <c r="AJ34" i="5"/>
  <c r="U34" i="11" s="1"/>
  <c r="AL34" i="5"/>
  <c r="W34" i="11" s="1"/>
  <c r="AM34" i="5"/>
  <c r="X34" i="11" s="1"/>
  <c r="AN34" i="5"/>
  <c r="Y34" i="11" s="1"/>
  <c r="AG30" i="5"/>
  <c r="R30" i="11" s="1"/>
  <c r="AJ30" i="5"/>
  <c r="U30" i="11" s="1"/>
  <c r="AL30" i="5"/>
  <c r="W30" i="11" s="1"/>
  <c r="AH30" i="5"/>
  <c r="S30" i="11" s="1"/>
  <c r="AI30" i="5"/>
  <c r="T30" i="11" s="1"/>
  <c r="AM30" i="5"/>
  <c r="X30" i="11" s="1"/>
  <c r="AN30" i="5"/>
  <c r="Y30" i="11" s="1"/>
  <c r="AG26" i="5"/>
  <c r="R26" i="11" s="1"/>
  <c r="AJ26" i="5"/>
  <c r="AL26" i="5"/>
  <c r="W26" i="11" s="1"/>
  <c r="AH26" i="5"/>
  <c r="AM26" i="5"/>
  <c r="X26" i="11" s="1"/>
  <c r="AI26" i="5"/>
  <c r="T26" i="11" s="1"/>
  <c r="AN26" i="5"/>
  <c r="Y26" i="11" s="1"/>
  <c r="AK22" i="5"/>
  <c r="V22" i="11" s="1"/>
  <c r="AL22" i="5"/>
  <c r="W22" i="11" s="1"/>
  <c r="AM22" i="5"/>
  <c r="X22" i="11" s="1"/>
  <c r="AN22" i="5"/>
  <c r="Y22" i="11" s="1"/>
  <c r="AG18" i="5"/>
  <c r="R18" i="11" s="1"/>
  <c r="AK18" i="5"/>
  <c r="V18" i="11" s="1"/>
  <c r="AJ18" i="5"/>
  <c r="U18" i="11" s="1"/>
  <c r="AL18" i="5"/>
  <c r="W18" i="11" s="1"/>
  <c r="AH18" i="5"/>
  <c r="S18" i="11" s="1"/>
  <c r="AM18" i="5"/>
  <c r="X18" i="11" s="1"/>
  <c r="AI18" i="5"/>
  <c r="T18" i="11" s="1"/>
  <c r="AN18" i="5"/>
  <c r="Y18" i="11" s="1"/>
  <c r="AG14" i="5"/>
  <c r="R14" i="11" s="1"/>
  <c r="AK14" i="5"/>
  <c r="V14" i="11" s="1"/>
  <c r="AJ14" i="5"/>
  <c r="U14" i="11" s="1"/>
  <c r="AL14" i="5"/>
  <c r="W14" i="11" s="1"/>
  <c r="AH14" i="5"/>
  <c r="S14" i="11" s="1"/>
  <c r="AM14" i="5"/>
  <c r="X14" i="11" s="1"/>
  <c r="AI14" i="5"/>
  <c r="T14" i="11" s="1"/>
  <c r="AN14" i="5"/>
  <c r="Y14" i="11" s="1"/>
  <c r="AG10" i="5"/>
  <c r="R10" i="11" s="1"/>
  <c r="AK10" i="5"/>
  <c r="V10" i="11" s="1"/>
  <c r="AJ10" i="5"/>
  <c r="U10" i="11" s="1"/>
  <c r="AL10" i="5"/>
  <c r="W10" i="11" s="1"/>
  <c r="AH10" i="5"/>
  <c r="S10" i="11" s="1"/>
  <c r="AI10" i="5"/>
  <c r="T10" i="11" s="1"/>
  <c r="AN10" i="5"/>
  <c r="Y10" i="11" s="1"/>
  <c r="AG6" i="5"/>
  <c r="AK6" i="5"/>
  <c r="V6" i="11" s="1"/>
  <c r="AL6" i="5"/>
  <c r="W6" i="11" s="1"/>
  <c r="AM6" i="5"/>
  <c r="X6" i="11" s="1"/>
  <c r="AN6" i="5"/>
  <c r="Y6" i="11" s="1"/>
  <c r="AL59" i="7"/>
  <c r="AN59" i="7"/>
  <c r="AM59" i="7"/>
  <c r="AK59" i="7"/>
  <c r="AJ25" i="2"/>
  <c r="I25" i="11" s="1"/>
  <c r="F8" i="11"/>
  <c r="AG20" i="2"/>
  <c r="F20" i="11" s="1"/>
  <c r="AH49" i="2"/>
  <c r="G49" i="11" s="1"/>
  <c r="AH12" i="2"/>
  <c r="G12" i="11" s="1"/>
  <c r="AH24" i="2"/>
  <c r="G24" i="11" s="1"/>
  <c r="AH37" i="2"/>
  <c r="G37" i="11" s="1"/>
  <c r="AI36" i="2"/>
  <c r="H36" i="11" s="1"/>
  <c r="AI34" i="2"/>
  <c r="H34" i="11" s="1"/>
  <c r="AG23" i="2"/>
  <c r="F23" i="11" s="1"/>
  <c r="E41" i="4"/>
  <c r="D33" i="4"/>
  <c r="AL4" i="7"/>
  <c r="AU4" i="11" s="1"/>
  <c r="AH4" i="7"/>
  <c r="AQ4" i="11" s="1"/>
  <c r="AM4" i="7"/>
  <c r="AV4" i="11" s="1"/>
  <c r="AG4" i="7"/>
  <c r="AP4" i="11" s="1"/>
  <c r="AI4" i="7"/>
  <c r="AR4" i="11" s="1"/>
  <c r="AN4" i="7"/>
  <c r="AW4" i="11" s="1"/>
  <c r="AK4" i="7"/>
  <c r="AT4" i="11" s="1"/>
  <c r="AJ4" i="7"/>
  <c r="AS4" i="11" s="1"/>
  <c r="AN57" i="9"/>
  <c r="AJ57" i="9"/>
  <c r="BQ57" i="11" s="1"/>
  <c r="AM57" i="9"/>
  <c r="BT57" i="11" s="1"/>
  <c r="AL57" i="9"/>
  <c r="BS57" i="11" s="1"/>
  <c r="AK57" i="9"/>
  <c r="BR57" i="11" s="1"/>
  <c r="AN53" i="9"/>
  <c r="AJ53" i="9"/>
  <c r="BQ53" i="11" s="1"/>
  <c r="AM53" i="9"/>
  <c r="BT53" i="11" s="1"/>
  <c r="AH53" i="9"/>
  <c r="BO53" i="11" s="1"/>
  <c r="AK53" i="9"/>
  <c r="BR53" i="11" s="1"/>
  <c r="AL53" i="9"/>
  <c r="BS53" i="11" s="1"/>
  <c r="AB49" i="9"/>
  <c r="AN49" i="9"/>
  <c r="AJ49" i="9"/>
  <c r="BQ49" i="11" s="1"/>
  <c r="AM49" i="9"/>
  <c r="BT49" i="11" s="1"/>
  <c r="AL49" i="9"/>
  <c r="BS49" i="11" s="1"/>
  <c r="AK49" i="9"/>
  <c r="BR49" i="11" s="1"/>
  <c r="AN45" i="9"/>
  <c r="BU45" i="11" s="1"/>
  <c r="AJ45" i="9"/>
  <c r="BQ45" i="11" s="1"/>
  <c r="AM45" i="9"/>
  <c r="BT45" i="11" s="1"/>
  <c r="AK45" i="9"/>
  <c r="BR45" i="11" s="1"/>
  <c r="AL45" i="9"/>
  <c r="BS45" i="11" s="1"/>
  <c r="AN41" i="9"/>
  <c r="AJ41" i="9"/>
  <c r="BQ41" i="11" s="1"/>
  <c r="AM41" i="9"/>
  <c r="BT41" i="11" s="1"/>
  <c r="AH41" i="9"/>
  <c r="BO41" i="11" s="1"/>
  <c r="AG41" i="9"/>
  <c r="BN41" i="11" s="1"/>
  <c r="AL41" i="9"/>
  <c r="BS41" i="11" s="1"/>
  <c r="AK41" i="9"/>
  <c r="BR41" i="11" s="1"/>
  <c r="AB37" i="9"/>
  <c r="AN37" i="9"/>
  <c r="BU37" i="11" s="1"/>
  <c r="AJ37" i="9"/>
  <c r="AM37" i="9"/>
  <c r="BT37" i="11" s="1"/>
  <c r="AK37" i="9"/>
  <c r="BR37" i="11" s="1"/>
  <c r="AL37" i="9"/>
  <c r="BS37" i="11" s="1"/>
  <c r="AN33" i="9"/>
  <c r="AJ33" i="9"/>
  <c r="BQ33" i="11" s="1"/>
  <c r="AM33" i="9"/>
  <c r="AH33" i="9"/>
  <c r="BO33" i="11" s="1"/>
  <c r="AG33" i="9"/>
  <c r="BN33" i="11" s="1"/>
  <c r="AK33" i="9"/>
  <c r="BR33" i="11" s="1"/>
  <c r="AI33" i="9"/>
  <c r="BP33" i="11" s="1"/>
  <c r="AL33" i="9"/>
  <c r="BS33" i="11" s="1"/>
  <c r="AN29" i="9"/>
  <c r="BU29" i="11" s="1"/>
  <c r="AJ29" i="9"/>
  <c r="BQ29" i="11" s="1"/>
  <c r="AM29" i="9"/>
  <c r="AH29" i="9"/>
  <c r="AK29" i="9"/>
  <c r="AL29" i="9"/>
  <c r="BS29" i="11" s="1"/>
  <c r="AI29" i="9"/>
  <c r="BP29" i="11" s="1"/>
  <c r="AG29" i="9"/>
  <c r="AN25" i="9"/>
  <c r="BU25" i="11" s="1"/>
  <c r="AJ25" i="9"/>
  <c r="AM25" i="9"/>
  <c r="AL25" i="9"/>
  <c r="BS25" i="11" s="1"/>
  <c r="AK25" i="9"/>
  <c r="AN21" i="9"/>
  <c r="AJ21" i="9"/>
  <c r="BQ21" i="11" s="1"/>
  <c r="AM21" i="9"/>
  <c r="BT21" i="11" s="1"/>
  <c r="AH21" i="9"/>
  <c r="BO21" i="11" s="1"/>
  <c r="AK21" i="9"/>
  <c r="BR21" i="11" s="1"/>
  <c r="AL21" i="9"/>
  <c r="BS21" i="11" s="1"/>
  <c r="AI21" i="9"/>
  <c r="BP21" i="11" s="1"/>
  <c r="AG21" i="9"/>
  <c r="BN21" i="11" s="1"/>
  <c r="AD17" i="9"/>
  <c r="BK17" i="11" s="1"/>
  <c r="AN17" i="9"/>
  <c r="AM17" i="9"/>
  <c r="BT17" i="11" s="1"/>
  <c r="AI17" i="9"/>
  <c r="BP17" i="11" s="1"/>
  <c r="AH17" i="9"/>
  <c r="BO17" i="11" s="1"/>
  <c r="AL17" i="9"/>
  <c r="BS17" i="11" s="1"/>
  <c r="AK17" i="9"/>
  <c r="BR17" i="11" s="1"/>
  <c r="AJ17" i="9"/>
  <c r="AG17" i="9"/>
  <c r="BN17" i="11" s="1"/>
  <c r="AE13" i="9"/>
  <c r="BL13" i="11" s="1"/>
  <c r="AM13" i="9"/>
  <c r="BT13" i="11" s="1"/>
  <c r="AI13" i="9"/>
  <c r="BP13" i="11" s="1"/>
  <c r="AN13" i="9"/>
  <c r="AH13" i="9"/>
  <c r="AJ13" i="9"/>
  <c r="BQ13" i="11" s="1"/>
  <c r="AG13" i="9"/>
  <c r="AL13" i="9"/>
  <c r="BS13" i="11" s="1"/>
  <c r="AK13" i="9"/>
  <c r="BR13" i="11" s="1"/>
  <c r="AM9" i="9"/>
  <c r="AN9" i="9"/>
  <c r="BU9" i="11" s="1"/>
  <c r="AL9" i="9"/>
  <c r="BS9" i="11" s="1"/>
  <c r="AK9" i="9"/>
  <c r="BR9" i="11" s="1"/>
  <c r="AJ9" i="9"/>
  <c r="BQ9" i="11" s="1"/>
  <c r="AB5" i="9"/>
  <c r="AM5" i="9"/>
  <c r="AI5" i="9"/>
  <c r="BP5" i="11" s="1"/>
  <c r="AN5" i="9"/>
  <c r="BU5" i="11" s="1"/>
  <c r="AH5" i="9"/>
  <c r="BO5" i="11" s="1"/>
  <c r="AJ5" i="9"/>
  <c r="AG5" i="9"/>
  <c r="BN5" i="11" s="1"/>
  <c r="AL5" i="9"/>
  <c r="BS5" i="11" s="1"/>
  <c r="AK5" i="9"/>
  <c r="BR5" i="11" s="1"/>
  <c r="AN55" i="8"/>
  <c r="BI55" i="11" s="1"/>
  <c r="AJ55" i="8"/>
  <c r="BE55" i="11" s="1"/>
  <c r="AK55" i="8"/>
  <c r="BF55" i="11" s="1"/>
  <c r="AL55" i="8"/>
  <c r="BG55" i="11" s="1"/>
  <c r="AI55" i="8"/>
  <c r="BD55" i="11" s="1"/>
  <c r="AH55" i="8"/>
  <c r="BC55" i="11" s="1"/>
  <c r="AG55" i="8"/>
  <c r="BB55" i="11" s="1"/>
  <c r="AM55" i="8"/>
  <c r="BH55" i="11" s="1"/>
  <c r="AN51" i="8"/>
  <c r="BI51" i="11" s="1"/>
  <c r="AJ51" i="8"/>
  <c r="BE51" i="11" s="1"/>
  <c r="AK51" i="8"/>
  <c r="BF51" i="11" s="1"/>
  <c r="AH51" i="8"/>
  <c r="BC51" i="11" s="1"/>
  <c r="AM51" i="8"/>
  <c r="BH51" i="11" s="1"/>
  <c r="AG51" i="8"/>
  <c r="BB51" i="11" s="1"/>
  <c r="AL51" i="8"/>
  <c r="BG51" i="11" s="1"/>
  <c r="AI51" i="8"/>
  <c r="AN47" i="8"/>
  <c r="BI47" i="11" s="1"/>
  <c r="AJ47" i="8"/>
  <c r="BE47" i="11" s="1"/>
  <c r="AK47" i="8"/>
  <c r="BF47" i="11" s="1"/>
  <c r="AL47" i="8"/>
  <c r="BG47" i="11" s="1"/>
  <c r="AI47" i="8"/>
  <c r="AM47" i="8"/>
  <c r="BH47" i="11" s="1"/>
  <c r="AH47" i="8"/>
  <c r="BC47" i="11" s="1"/>
  <c r="AG47" i="8"/>
  <c r="BB47" i="11" s="1"/>
  <c r="AN43" i="8"/>
  <c r="AJ43" i="8"/>
  <c r="BE43" i="11" s="1"/>
  <c r="AK43" i="8"/>
  <c r="AM43" i="8"/>
  <c r="AG43" i="8"/>
  <c r="BB43" i="11" s="1"/>
  <c r="AH43" i="8"/>
  <c r="BC43" i="11" s="1"/>
  <c r="AL43" i="8"/>
  <c r="BG43" i="11" s="1"/>
  <c r="AI43" i="8"/>
  <c r="BD43" i="11" s="1"/>
  <c r="AN39" i="8"/>
  <c r="BI39" i="11" s="1"/>
  <c r="AJ39" i="8"/>
  <c r="BE39" i="11" s="1"/>
  <c r="AK39" i="8"/>
  <c r="BF39" i="11" s="1"/>
  <c r="AI39" i="8"/>
  <c r="BD39" i="11" s="1"/>
  <c r="AH39" i="8"/>
  <c r="BC39" i="11" s="1"/>
  <c r="AG39" i="8"/>
  <c r="BB39" i="11" s="1"/>
  <c r="AN35" i="8"/>
  <c r="BI35" i="11" s="1"/>
  <c r="AJ35" i="8"/>
  <c r="BE35" i="11" s="1"/>
  <c r="AK35" i="8"/>
  <c r="BF35" i="11" s="1"/>
  <c r="AG35" i="8"/>
  <c r="BB35" i="11" s="1"/>
  <c r="AL35" i="8"/>
  <c r="BG35" i="11" s="1"/>
  <c r="AI35" i="8"/>
  <c r="BD35" i="11" s="1"/>
  <c r="AH35" i="8"/>
  <c r="BC35" i="11" s="1"/>
  <c r="AJ31" i="8"/>
  <c r="BE31" i="11" s="1"/>
  <c r="AK31" i="8"/>
  <c r="BF31" i="11" s="1"/>
  <c r="AI31" i="8"/>
  <c r="BD31" i="11" s="1"/>
  <c r="AH31" i="8"/>
  <c r="BC31" i="11" s="1"/>
  <c r="AG31" i="8"/>
  <c r="BB31" i="11" s="1"/>
  <c r="AM31" i="8"/>
  <c r="BH31" i="11" s="1"/>
  <c r="AN27" i="8"/>
  <c r="BI27" i="11" s="1"/>
  <c r="AK27" i="8"/>
  <c r="BF27" i="11" s="1"/>
  <c r="AM27" i="8"/>
  <c r="BH27" i="11" s="1"/>
  <c r="AG27" i="8"/>
  <c r="AL27" i="8"/>
  <c r="BG27" i="11" s="1"/>
  <c r="AI27" i="8"/>
  <c r="BD27" i="11" s="1"/>
  <c r="AN23" i="8"/>
  <c r="BI23" i="11" s="1"/>
  <c r="AK23" i="8"/>
  <c r="BF23" i="11" s="1"/>
  <c r="AL23" i="8"/>
  <c r="BG23" i="11" s="1"/>
  <c r="AM23" i="8"/>
  <c r="BH23" i="11" s="1"/>
  <c r="AL19" i="8"/>
  <c r="BG19" i="11" s="1"/>
  <c r="AH19" i="8"/>
  <c r="BC19" i="11" s="1"/>
  <c r="AJ19" i="8"/>
  <c r="BE19" i="11" s="1"/>
  <c r="AN19" i="8"/>
  <c r="BI19" i="11" s="1"/>
  <c r="AI19" i="8"/>
  <c r="BD19" i="11" s="1"/>
  <c r="AG19" i="8"/>
  <c r="BB19" i="11" s="1"/>
  <c r="AM19" i="8"/>
  <c r="BH19" i="11" s="1"/>
  <c r="AK19" i="8"/>
  <c r="BF19" i="11" s="1"/>
  <c r="AL15" i="8"/>
  <c r="BG15" i="11" s="1"/>
  <c r="AH15" i="8"/>
  <c r="BC15" i="11" s="1"/>
  <c r="AJ15" i="8"/>
  <c r="BE15" i="11" s="1"/>
  <c r="AN15" i="8"/>
  <c r="BI15" i="11" s="1"/>
  <c r="AI15" i="8"/>
  <c r="BD15" i="11" s="1"/>
  <c r="AG15" i="8"/>
  <c r="BB15" i="11" s="1"/>
  <c r="AM15" i="8"/>
  <c r="BH15" i="11" s="1"/>
  <c r="AK15" i="8"/>
  <c r="BF15" i="11" s="1"/>
  <c r="AC11" i="8"/>
  <c r="AX11" i="11" s="1"/>
  <c r="AH11" i="8"/>
  <c r="BC11" i="11" s="1"/>
  <c r="AJ11" i="8"/>
  <c r="BE11" i="11" s="1"/>
  <c r="AN11" i="8"/>
  <c r="BI11" i="11" s="1"/>
  <c r="AI11" i="8"/>
  <c r="BD11" i="11" s="1"/>
  <c r="AG11" i="8"/>
  <c r="BB11" i="11" s="1"/>
  <c r="AM11" i="8"/>
  <c r="BH11" i="11" s="1"/>
  <c r="AL7" i="8"/>
  <c r="BG7" i="11" s="1"/>
  <c r="AH7" i="8"/>
  <c r="BC7" i="11" s="1"/>
  <c r="AJ7" i="8"/>
  <c r="BE7" i="11" s="1"/>
  <c r="AN7" i="8"/>
  <c r="BI7" i="11" s="1"/>
  <c r="AI7" i="8"/>
  <c r="BD7" i="11" s="1"/>
  <c r="AG7" i="8"/>
  <c r="BB7" i="11" s="1"/>
  <c r="AM7" i="8"/>
  <c r="BH7" i="11" s="1"/>
  <c r="AK7" i="8"/>
  <c r="BF7" i="11" s="1"/>
  <c r="AD57" i="7"/>
  <c r="AM57" i="11" s="1"/>
  <c r="AL57" i="7"/>
  <c r="AN57" i="7"/>
  <c r="AM57" i="7"/>
  <c r="AK57" i="7"/>
  <c r="AG57" i="7"/>
  <c r="AL53" i="7"/>
  <c r="AH53" i="7"/>
  <c r="AQ53" i="11" s="1"/>
  <c r="AJ53" i="7"/>
  <c r="AN53" i="7"/>
  <c r="AW53" i="11" s="1"/>
  <c r="AI53" i="7"/>
  <c r="AR53" i="11" s="1"/>
  <c r="AM53" i="7"/>
  <c r="AV53" i="11" s="1"/>
  <c r="AK53" i="7"/>
  <c r="AT53" i="11" s="1"/>
  <c r="AG53" i="7"/>
  <c r="AP53" i="11" s="1"/>
  <c r="AL49" i="7"/>
  <c r="AM49" i="7"/>
  <c r="AV49" i="11" s="1"/>
  <c r="AK49" i="7"/>
  <c r="AT49" i="11" s="1"/>
  <c r="AN49" i="7"/>
  <c r="AW49" i="11" s="1"/>
  <c r="AG49" i="7"/>
  <c r="AP49" i="11" s="1"/>
  <c r="AF45" i="7"/>
  <c r="AO45" i="11" s="1"/>
  <c r="AL45" i="7"/>
  <c r="AU45" i="11" s="1"/>
  <c r="AN45" i="7"/>
  <c r="AW45" i="11" s="1"/>
  <c r="AM45" i="7"/>
  <c r="AV45" i="11" s="1"/>
  <c r="AK45" i="7"/>
  <c r="AT45" i="11" s="1"/>
  <c r="AL41" i="7"/>
  <c r="AU41" i="11" s="1"/>
  <c r="AJ41" i="7"/>
  <c r="AM41" i="7"/>
  <c r="AV41" i="11" s="1"/>
  <c r="AK41" i="7"/>
  <c r="AT41" i="11" s="1"/>
  <c r="AN41" i="7"/>
  <c r="AW41" i="11" s="1"/>
  <c r="AL37" i="7"/>
  <c r="AU37" i="11" s="1"/>
  <c r="AN37" i="7"/>
  <c r="AW37" i="11" s="1"/>
  <c r="AM37" i="7"/>
  <c r="AV37" i="11" s="1"/>
  <c r="AK37" i="7"/>
  <c r="AT37" i="11" s="1"/>
  <c r="AL33" i="7"/>
  <c r="AU33" i="11" s="1"/>
  <c r="AH33" i="7"/>
  <c r="AQ33" i="11" s="1"/>
  <c r="AJ33" i="7"/>
  <c r="AS33" i="11" s="1"/>
  <c r="AM33" i="7"/>
  <c r="AV33" i="11" s="1"/>
  <c r="AK33" i="7"/>
  <c r="AT33" i="11" s="1"/>
  <c r="AN33" i="7"/>
  <c r="AW33" i="11" s="1"/>
  <c r="AI33" i="7"/>
  <c r="AR33" i="11" s="1"/>
  <c r="AG33" i="7"/>
  <c r="AP33" i="11" s="1"/>
  <c r="AL29" i="7"/>
  <c r="AU29" i="11" s="1"/>
  <c r="AH29" i="7"/>
  <c r="AJ29" i="7"/>
  <c r="AS29" i="11" s="1"/>
  <c r="AI29" i="7"/>
  <c r="AN29" i="7"/>
  <c r="AW29" i="11" s="1"/>
  <c r="AG29" i="7"/>
  <c r="AM29" i="7"/>
  <c r="AV29" i="11" s="1"/>
  <c r="AK29" i="7"/>
  <c r="AT29" i="11" s="1"/>
  <c r="AL25" i="7"/>
  <c r="AU25" i="11" s="1"/>
  <c r="AM25" i="7"/>
  <c r="AV25" i="11" s="1"/>
  <c r="AK25" i="7"/>
  <c r="AT25" i="11" s="1"/>
  <c r="AG25" i="7"/>
  <c r="AP25" i="11" s="1"/>
  <c r="AN25" i="7"/>
  <c r="AW25" i="11" s="1"/>
  <c r="AL21" i="7"/>
  <c r="AH21" i="7"/>
  <c r="AQ21" i="11" s="1"/>
  <c r="AJ21" i="7"/>
  <c r="AS21" i="11" s="1"/>
  <c r="AN21" i="7"/>
  <c r="AW21" i="11" s="1"/>
  <c r="AG21" i="7"/>
  <c r="AP21" i="11" s="1"/>
  <c r="AM21" i="7"/>
  <c r="AV21" i="11" s="1"/>
  <c r="AK21" i="7"/>
  <c r="AT21" i="11" s="1"/>
  <c r="AI21" i="7"/>
  <c r="AR21" i="11" s="1"/>
  <c r="AL17" i="7"/>
  <c r="AH17" i="7"/>
  <c r="AQ17" i="11" s="1"/>
  <c r="AJ17" i="7"/>
  <c r="AS17" i="11" s="1"/>
  <c r="AK17" i="7"/>
  <c r="AT17" i="11" s="1"/>
  <c r="AG17" i="7"/>
  <c r="AP17" i="11" s="1"/>
  <c r="AN17" i="7"/>
  <c r="AW17" i="11" s="1"/>
  <c r="AM17" i="7"/>
  <c r="AV17" i="11" s="1"/>
  <c r="AI17" i="7"/>
  <c r="AR17" i="11" s="1"/>
  <c r="AD13" i="7"/>
  <c r="AM13" i="11" s="1"/>
  <c r="AL13" i="7"/>
  <c r="AU13" i="11" s="1"/>
  <c r="AH13" i="7"/>
  <c r="AJ13" i="7"/>
  <c r="AS13" i="11" s="1"/>
  <c r="AN13" i="7"/>
  <c r="AW13" i="11" s="1"/>
  <c r="AG13" i="7"/>
  <c r="AP13" i="11" s="1"/>
  <c r="AK13" i="7"/>
  <c r="AT13" i="11" s="1"/>
  <c r="AI13" i="7"/>
  <c r="AR13" i="11" s="1"/>
  <c r="AM13" i="7"/>
  <c r="AL9" i="7"/>
  <c r="AU9" i="11" s="1"/>
  <c r="AJ9" i="7"/>
  <c r="AK9" i="7"/>
  <c r="AT9" i="11" s="1"/>
  <c r="AN9" i="7"/>
  <c r="AW9" i="11" s="1"/>
  <c r="AM9" i="7"/>
  <c r="AV9" i="11" s="1"/>
  <c r="AL5" i="7"/>
  <c r="AU5" i="11" s="1"/>
  <c r="AH5" i="7"/>
  <c r="AQ5" i="11" s="1"/>
  <c r="AJ5" i="7"/>
  <c r="AN5" i="7"/>
  <c r="AW5" i="11" s="1"/>
  <c r="AG5" i="7"/>
  <c r="AP5" i="11" s="1"/>
  <c r="AI5" i="7"/>
  <c r="AR5" i="11" s="1"/>
  <c r="AM5" i="7"/>
  <c r="AV5" i="11" s="1"/>
  <c r="AK5" i="7"/>
  <c r="AT5" i="11" s="1"/>
  <c r="AL55" i="6"/>
  <c r="AI55" i="11" s="1"/>
  <c r="AH55" i="6"/>
  <c r="AE55" i="11" s="1"/>
  <c r="AJ55" i="6"/>
  <c r="AG55" i="11" s="1"/>
  <c r="AM55" i="6"/>
  <c r="AJ55" i="11" s="1"/>
  <c r="AI55" i="6"/>
  <c r="AF55" i="11" s="1"/>
  <c r="AG55" i="6"/>
  <c r="AD55" i="11" s="1"/>
  <c r="AK55" i="6"/>
  <c r="AH55" i="11" s="1"/>
  <c r="AL51" i="6"/>
  <c r="AI51" i="11" s="1"/>
  <c r="AH51" i="6"/>
  <c r="AJ51" i="6"/>
  <c r="AG51" i="11" s="1"/>
  <c r="AI51" i="6"/>
  <c r="AF51" i="11" s="1"/>
  <c r="AM51" i="6"/>
  <c r="AJ51" i="11" s="1"/>
  <c r="AK51" i="6"/>
  <c r="AH51" i="11" s="1"/>
  <c r="AG51" i="6"/>
  <c r="AD51" i="11" s="1"/>
  <c r="AN51" i="6"/>
  <c r="AK51" i="11" s="1"/>
  <c r="AL47" i="6"/>
  <c r="AI47" i="11" s="1"/>
  <c r="AH47" i="6"/>
  <c r="AJ47" i="6"/>
  <c r="AG47" i="11" s="1"/>
  <c r="AM47" i="6"/>
  <c r="AJ47" i="11" s="1"/>
  <c r="AG47" i="6"/>
  <c r="AD47" i="11" s="1"/>
  <c r="AN47" i="6"/>
  <c r="AK47" i="11" s="1"/>
  <c r="AK47" i="6"/>
  <c r="AH47" i="11" s="1"/>
  <c r="AI47" i="6"/>
  <c r="AF47" i="11" s="1"/>
  <c r="AL43" i="6"/>
  <c r="AH43" i="6"/>
  <c r="AE43" i="11" s="1"/>
  <c r="AJ43" i="6"/>
  <c r="AG43" i="11" s="1"/>
  <c r="AI43" i="6"/>
  <c r="AF43" i="11" s="1"/>
  <c r="AK43" i="6"/>
  <c r="AH43" i="11" s="1"/>
  <c r="AG43" i="6"/>
  <c r="AD43" i="11" s="1"/>
  <c r="AN43" i="6"/>
  <c r="AK43" i="11" s="1"/>
  <c r="AM43" i="6"/>
  <c r="AL39" i="6"/>
  <c r="AI39" i="11" s="1"/>
  <c r="AH39" i="6"/>
  <c r="AE39" i="11" s="1"/>
  <c r="AJ39" i="6"/>
  <c r="AG39" i="11" s="1"/>
  <c r="AM39" i="6"/>
  <c r="AJ39" i="11" s="1"/>
  <c r="AN39" i="6"/>
  <c r="AK39" i="11" s="1"/>
  <c r="AI39" i="6"/>
  <c r="AF39" i="11" s="1"/>
  <c r="AG39" i="6"/>
  <c r="AD39" i="11" s="1"/>
  <c r="AH35" i="6"/>
  <c r="AE35" i="11" s="1"/>
  <c r="AJ35" i="6"/>
  <c r="AG35" i="11" s="1"/>
  <c r="AI35" i="6"/>
  <c r="AF35" i="11" s="1"/>
  <c r="AG35" i="6"/>
  <c r="AD35" i="11" s="1"/>
  <c r="AN35" i="6"/>
  <c r="AK35" i="11" s="1"/>
  <c r="AK35" i="6"/>
  <c r="AL31" i="6"/>
  <c r="AI31" i="11" s="1"/>
  <c r="AH31" i="6"/>
  <c r="AE31" i="11" s="1"/>
  <c r="AJ31" i="6"/>
  <c r="AG31" i="11" s="1"/>
  <c r="AM31" i="6"/>
  <c r="AJ31" i="11" s="1"/>
  <c r="AI31" i="6"/>
  <c r="AF31" i="11" s="1"/>
  <c r="AG31" i="6"/>
  <c r="AD31" i="11" s="1"/>
  <c r="AN31" i="6"/>
  <c r="AK31" i="11" s="1"/>
  <c r="AL27" i="6"/>
  <c r="AI27" i="11" s="1"/>
  <c r="AH27" i="6"/>
  <c r="AE27" i="11" s="1"/>
  <c r="AJ27" i="6"/>
  <c r="AG27" i="11" s="1"/>
  <c r="AI27" i="6"/>
  <c r="AF27" i="11" s="1"/>
  <c r="AN27" i="6"/>
  <c r="AK27" i="11" s="1"/>
  <c r="AM27" i="6"/>
  <c r="AJ27" i="11" s="1"/>
  <c r="AK27" i="6"/>
  <c r="AH27" i="11" s="1"/>
  <c r="AG27" i="6"/>
  <c r="AD27" i="11" s="1"/>
  <c r="AN23" i="6"/>
  <c r="AK23" i="11" s="1"/>
  <c r="AJ23" i="6"/>
  <c r="AG23" i="11" s="1"/>
  <c r="AK23" i="6"/>
  <c r="AH23" i="11" s="1"/>
  <c r="AM23" i="6"/>
  <c r="AJ23" i="11" s="1"/>
  <c r="AL23" i="6"/>
  <c r="AI23" i="11" s="1"/>
  <c r="AN19" i="6"/>
  <c r="AK19" i="11" s="1"/>
  <c r="AJ19" i="6"/>
  <c r="AG19" i="11" s="1"/>
  <c r="AK19" i="6"/>
  <c r="AH19" i="11" s="1"/>
  <c r="AM19" i="6"/>
  <c r="AJ19" i="11" s="1"/>
  <c r="AL19" i="6"/>
  <c r="AI19" i="11" s="1"/>
  <c r="AN15" i="6"/>
  <c r="AK15" i="11" s="1"/>
  <c r="AJ15" i="6"/>
  <c r="AG15" i="11" s="1"/>
  <c r="AK15" i="6"/>
  <c r="AH15" i="11" s="1"/>
  <c r="AM15" i="6"/>
  <c r="AJ15" i="11" s="1"/>
  <c r="AG15" i="6"/>
  <c r="AD15" i="11" s="1"/>
  <c r="AL15" i="6"/>
  <c r="AI15" i="11" s="1"/>
  <c r="AI15" i="6"/>
  <c r="AF15" i="11" s="1"/>
  <c r="AH15" i="6"/>
  <c r="AE15" i="11" s="1"/>
  <c r="AJ11" i="6"/>
  <c r="AG11" i="11" s="1"/>
  <c r="AI11" i="6"/>
  <c r="AF11" i="11" s="1"/>
  <c r="AH11" i="6"/>
  <c r="AE11" i="11" s="1"/>
  <c r="AM11" i="6"/>
  <c r="AJ11" i="11" s="1"/>
  <c r="AG11" i="6"/>
  <c r="AD11" i="11" s="1"/>
  <c r="AL11" i="6"/>
  <c r="AI11" i="11" s="1"/>
  <c r="AN7" i="6"/>
  <c r="AK7" i="11" s="1"/>
  <c r="AJ7" i="6"/>
  <c r="AG7" i="11" s="1"/>
  <c r="AK7" i="6"/>
  <c r="AH7" i="11" s="1"/>
  <c r="AM7" i="6"/>
  <c r="AJ7" i="11" s="1"/>
  <c r="AG7" i="6"/>
  <c r="AD7" i="11" s="1"/>
  <c r="AL7" i="6"/>
  <c r="AI7" i="11" s="1"/>
  <c r="AI7" i="6"/>
  <c r="AF7" i="11" s="1"/>
  <c r="AH7" i="6"/>
  <c r="AE7" i="11" s="1"/>
  <c r="AK57" i="5"/>
  <c r="V57" i="11" s="1"/>
  <c r="AM57" i="5"/>
  <c r="X57" i="11" s="1"/>
  <c r="AN57" i="5"/>
  <c r="Y57" i="11" s="1"/>
  <c r="AL57" i="5"/>
  <c r="W57" i="11" s="1"/>
  <c r="AK53" i="5"/>
  <c r="V53" i="11" s="1"/>
  <c r="AH53" i="5"/>
  <c r="S53" i="11" s="1"/>
  <c r="AM53" i="5"/>
  <c r="X53" i="11" s="1"/>
  <c r="AI53" i="5"/>
  <c r="T53" i="11" s="1"/>
  <c r="AN53" i="5"/>
  <c r="Y53" i="11" s="1"/>
  <c r="AL53" i="5"/>
  <c r="W53" i="11" s="1"/>
  <c r="AK49" i="5"/>
  <c r="V49" i="11" s="1"/>
  <c r="AM49" i="5"/>
  <c r="X49" i="11" s="1"/>
  <c r="AN49" i="5"/>
  <c r="Y49" i="11" s="1"/>
  <c r="AL49" i="5"/>
  <c r="W49" i="11" s="1"/>
  <c r="AK45" i="5"/>
  <c r="V45" i="11" s="1"/>
  <c r="AM45" i="5"/>
  <c r="X45" i="11" s="1"/>
  <c r="AN45" i="5"/>
  <c r="Y45" i="11" s="1"/>
  <c r="AL45" i="5"/>
  <c r="W45" i="11" s="1"/>
  <c r="AK41" i="5"/>
  <c r="V41" i="11" s="1"/>
  <c r="AH41" i="5"/>
  <c r="S41" i="11" s="1"/>
  <c r="AM41" i="5"/>
  <c r="X41" i="11" s="1"/>
  <c r="AN41" i="5"/>
  <c r="Y41" i="11" s="1"/>
  <c r="AL41" i="5"/>
  <c r="W41" i="11" s="1"/>
  <c r="AK37" i="5"/>
  <c r="V37" i="11" s="1"/>
  <c r="AM37" i="5"/>
  <c r="X37" i="11" s="1"/>
  <c r="AN37" i="5"/>
  <c r="Y37" i="11" s="1"/>
  <c r="AL37" i="5"/>
  <c r="W37" i="11" s="1"/>
  <c r="AG33" i="5"/>
  <c r="R33" i="11" s="1"/>
  <c r="AK33" i="5"/>
  <c r="V33" i="11" s="1"/>
  <c r="AH33" i="5"/>
  <c r="S33" i="11" s="1"/>
  <c r="AM33" i="5"/>
  <c r="X33" i="11" s="1"/>
  <c r="AI33" i="5"/>
  <c r="T33" i="11" s="1"/>
  <c r="AN33" i="5"/>
  <c r="Y33" i="11" s="1"/>
  <c r="AJ33" i="5"/>
  <c r="U33" i="11" s="1"/>
  <c r="AL33" i="5"/>
  <c r="W33" i="11" s="1"/>
  <c r="AG29" i="5"/>
  <c r="R29" i="11" s="1"/>
  <c r="AK29" i="5"/>
  <c r="V29" i="11" s="1"/>
  <c r="AH29" i="5"/>
  <c r="AM29" i="5"/>
  <c r="X29" i="11" s="1"/>
  <c r="AI29" i="5"/>
  <c r="AN29" i="5"/>
  <c r="Y29" i="11" s="1"/>
  <c r="AJ29" i="5"/>
  <c r="AL29" i="5"/>
  <c r="W29" i="11" s="1"/>
  <c r="AK25" i="5"/>
  <c r="V25" i="11" s="1"/>
  <c r="AM25" i="5"/>
  <c r="X25" i="11" s="1"/>
  <c r="AN25" i="5"/>
  <c r="Y25" i="11" s="1"/>
  <c r="AL25" i="5"/>
  <c r="W25" i="11" s="1"/>
  <c r="AG21" i="5"/>
  <c r="R21" i="11" s="1"/>
  <c r="AK21" i="5"/>
  <c r="V21" i="11" s="1"/>
  <c r="AH21" i="5"/>
  <c r="S21" i="11" s="1"/>
  <c r="AM21" i="5"/>
  <c r="X21" i="11" s="1"/>
  <c r="AI21" i="5"/>
  <c r="T21" i="11" s="1"/>
  <c r="AN21" i="5"/>
  <c r="Y21" i="11" s="1"/>
  <c r="AJ21" i="5"/>
  <c r="U21" i="11" s="1"/>
  <c r="AL21" i="5"/>
  <c r="W21" i="11" s="1"/>
  <c r="AG17" i="5"/>
  <c r="R17" i="11" s="1"/>
  <c r="AK17" i="5"/>
  <c r="V17" i="11" s="1"/>
  <c r="AH17" i="5"/>
  <c r="S17" i="11" s="1"/>
  <c r="AM17" i="5"/>
  <c r="X17" i="11" s="1"/>
  <c r="AI17" i="5"/>
  <c r="T17" i="11" s="1"/>
  <c r="AN17" i="5"/>
  <c r="Y17" i="11" s="1"/>
  <c r="AJ17" i="5"/>
  <c r="U17" i="11" s="1"/>
  <c r="AL17" i="5"/>
  <c r="W17" i="11" s="1"/>
  <c r="AD13" i="5"/>
  <c r="O13" i="11" s="1"/>
  <c r="AG13" i="5"/>
  <c r="R13" i="11" s="1"/>
  <c r="AH13" i="5"/>
  <c r="S13" i="11" s="1"/>
  <c r="AI13" i="5"/>
  <c r="T13" i="11" s="1"/>
  <c r="AN13" i="5"/>
  <c r="Y13" i="11" s="1"/>
  <c r="AJ13" i="5"/>
  <c r="AL13" i="5"/>
  <c r="W13" i="11" s="1"/>
  <c r="AK9" i="5"/>
  <c r="V9" i="11" s="1"/>
  <c r="AH9" i="5"/>
  <c r="AM9" i="5"/>
  <c r="X9" i="11" s="1"/>
  <c r="AN9" i="5"/>
  <c r="Y9" i="11" s="1"/>
  <c r="AL9" i="5"/>
  <c r="W9" i="11" s="1"/>
  <c r="AG5" i="5"/>
  <c r="AK5" i="5"/>
  <c r="V5" i="11" s="1"/>
  <c r="AJ5" i="5"/>
  <c r="AL5" i="5"/>
  <c r="W5" i="11" s="1"/>
  <c r="AM5" i="5"/>
  <c r="X5" i="11" s="1"/>
  <c r="AH5" i="5"/>
  <c r="S5" i="11" s="1"/>
  <c r="AN5" i="5"/>
  <c r="Y5" i="11" s="1"/>
  <c r="AI5" i="5"/>
  <c r="T5" i="11" s="1"/>
  <c r="AN59" i="9"/>
  <c r="AJ59" i="9"/>
  <c r="AM59" i="9"/>
  <c r="AL59" i="9"/>
  <c r="AK59" i="9"/>
  <c r="K27" i="9"/>
  <c r="AK59" i="5"/>
  <c r="AM59" i="5"/>
  <c r="AN59" i="5"/>
  <c r="AL59" i="5"/>
  <c r="F19" i="11"/>
  <c r="BT6" i="11"/>
  <c r="AC6" i="7"/>
  <c r="AL6" i="11" s="1"/>
  <c r="AC8" i="8"/>
  <c r="AX8" i="11" s="1"/>
  <c r="AD8" i="8"/>
  <c r="AY8" i="11" s="1"/>
  <c r="AC12" i="8"/>
  <c r="AX12" i="11" s="1"/>
  <c r="AE4" i="6"/>
  <c r="AB4" i="11" s="1"/>
  <c r="AD6" i="9"/>
  <c r="BK6" i="11" s="1"/>
  <c r="AB41" i="9"/>
  <c r="AE12" i="8"/>
  <c r="AZ12" i="11" s="1"/>
  <c r="AB14" i="9"/>
  <c r="AB6" i="9"/>
  <c r="D14" i="4"/>
  <c r="AF6" i="7"/>
  <c r="AO6" i="11" s="1"/>
  <c r="BQ25" i="11"/>
  <c r="AB25" i="9"/>
  <c r="AF7" i="8"/>
  <c r="BA7" i="11" s="1"/>
  <c r="AC37" i="7"/>
  <c r="AL37" i="11" s="1"/>
  <c r="AE7" i="6"/>
  <c r="AB7" i="11" s="1"/>
  <c r="AD45" i="5"/>
  <c r="O45" i="11" s="1"/>
  <c r="AE37" i="5"/>
  <c r="P37" i="11" s="1"/>
  <c r="AC7" i="8"/>
  <c r="AX7" i="11" s="1"/>
  <c r="AC7" i="6"/>
  <c r="Z7" i="11" s="1"/>
  <c r="AD33" i="5"/>
  <c r="O33" i="11" s="1"/>
  <c r="AE39" i="6"/>
  <c r="AB39" i="11" s="1"/>
  <c r="AE11" i="8"/>
  <c r="AZ11" i="11" s="1"/>
  <c r="AD9" i="9"/>
  <c r="BK9" i="11" s="1"/>
  <c r="AD4" i="9"/>
  <c r="BK4" i="11" s="1"/>
  <c r="AB4" i="9"/>
  <c r="BU15" i="11"/>
  <c r="AB9" i="9"/>
  <c r="AB21" i="9"/>
  <c r="D18" i="4"/>
  <c r="AE7" i="8"/>
  <c r="AZ7" i="11" s="1"/>
  <c r="AF10" i="9"/>
  <c r="BM10" i="11" s="1"/>
  <c r="AB10" i="9"/>
  <c r="AD12" i="8"/>
  <c r="AY12" i="11" s="1"/>
  <c r="AE8" i="8"/>
  <c r="AZ8" i="11" s="1"/>
  <c r="AF58" i="7"/>
  <c r="AO58" i="11" s="1"/>
  <c r="AC58" i="7"/>
  <c r="AL58" i="11" s="1"/>
  <c r="AD54" i="7"/>
  <c r="AM54" i="11" s="1"/>
  <c r="AC8" i="6"/>
  <c r="Z8" i="11" s="1"/>
  <c r="AD23" i="7"/>
  <c r="AM23" i="11" s="1"/>
  <c r="AD38" i="5"/>
  <c r="O38" i="11" s="1"/>
  <c r="H12" i="11"/>
  <c r="R50" i="10"/>
  <c r="AA49" i="10"/>
  <c r="AG49" i="10"/>
  <c r="BE50" i="10"/>
  <c r="AW50" i="10"/>
  <c r="AD7" i="8"/>
  <c r="AY7" i="11" s="1"/>
  <c r="AT50" i="10"/>
  <c r="BJ49" i="10"/>
  <c r="AE10" i="9"/>
  <c r="BL10" i="11" s="1"/>
  <c r="R49" i="10"/>
  <c r="P49" i="10"/>
  <c r="AG50" i="10"/>
  <c r="AY49" i="10"/>
  <c r="E27" i="9"/>
  <c r="V55" i="2"/>
  <c r="H55" i="4" s="1"/>
  <c r="V39" i="2"/>
  <c r="H39" i="4" s="1"/>
  <c r="V23" i="2"/>
  <c r="H23" i="4" s="1"/>
  <c r="V54" i="2"/>
  <c r="H54" i="4" s="1"/>
  <c r="V38" i="2"/>
  <c r="H38" i="4" s="1"/>
  <c r="V22" i="2"/>
  <c r="H22" i="4" s="1"/>
  <c r="V53" i="2"/>
  <c r="H53" i="4" s="1"/>
  <c r="V37" i="2"/>
  <c r="H37" i="4" s="1"/>
  <c r="V21" i="2"/>
  <c r="H21" i="4" s="1"/>
  <c r="V48" i="2"/>
  <c r="H48" i="4" s="1"/>
  <c r="V28" i="2"/>
  <c r="H28" i="4" s="1"/>
  <c r="V24" i="2"/>
  <c r="H24" i="4" s="1"/>
  <c r="V36" i="2"/>
  <c r="H36" i="4" s="1"/>
  <c r="V26" i="2"/>
  <c r="H26" i="4" s="1"/>
  <c r="V44" i="2"/>
  <c r="H44" i="4" s="1"/>
  <c r="V51" i="2"/>
  <c r="H51" i="4" s="1"/>
  <c r="V35" i="2"/>
  <c r="H35" i="4" s="1"/>
  <c r="V19" i="2"/>
  <c r="H19" i="4" s="1"/>
  <c r="V50" i="2"/>
  <c r="H50" i="4" s="1"/>
  <c r="V34" i="2"/>
  <c r="H34" i="4" s="1"/>
  <c r="V18" i="2"/>
  <c r="H18" i="4" s="1"/>
  <c r="V49" i="2"/>
  <c r="H49" i="4" s="1"/>
  <c r="V33" i="2"/>
  <c r="H33" i="4" s="1"/>
  <c r="V17" i="2"/>
  <c r="H17" i="4" s="1"/>
  <c r="V32" i="2"/>
  <c r="H32" i="4" s="1"/>
  <c r="V12" i="2"/>
  <c r="H12" i="4" s="1"/>
  <c r="V52" i="2"/>
  <c r="H52" i="4" s="1"/>
  <c r="V47" i="2"/>
  <c r="H47" i="4" s="1"/>
  <c r="V31" i="2"/>
  <c r="H31" i="4" s="1"/>
  <c r="V15" i="2"/>
  <c r="H15" i="4" s="1"/>
  <c r="V46" i="2"/>
  <c r="H46" i="4" s="1"/>
  <c r="V30" i="2"/>
  <c r="H30" i="4" s="1"/>
  <c r="V45" i="2"/>
  <c r="H45" i="4" s="1"/>
  <c r="V29" i="2"/>
  <c r="H29" i="4" s="1"/>
  <c r="V16" i="2"/>
  <c r="H16" i="4" s="1"/>
  <c r="V43" i="2"/>
  <c r="H43" i="4" s="1"/>
  <c r="V42" i="2"/>
  <c r="H42" i="4" s="1"/>
  <c r="V41" i="2"/>
  <c r="H41" i="4" s="1"/>
  <c r="V9" i="2"/>
  <c r="H9" i="4" s="1"/>
  <c r="V20" i="2"/>
  <c r="H20" i="4" s="1"/>
  <c r="V14" i="2"/>
  <c r="H14" i="4" s="1"/>
  <c r="V13" i="2"/>
  <c r="H13" i="4" s="1"/>
  <c r="V56" i="2"/>
  <c r="H56" i="4" s="1"/>
  <c r="V27" i="2"/>
  <c r="H27" i="4" s="1"/>
  <c r="V11" i="2"/>
  <c r="H11" i="4" s="1"/>
  <c r="V10" i="2"/>
  <c r="H10" i="4" s="1"/>
  <c r="V25" i="2"/>
  <c r="H25" i="4" s="1"/>
  <c r="V40" i="2"/>
  <c r="H40" i="4" s="1"/>
  <c r="AE58" i="7"/>
  <c r="AN58" i="11" s="1"/>
  <c r="AD58" i="7"/>
  <c r="AM58" i="11" s="1"/>
  <c r="AB27" i="9"/>
  <c r="AB51" i="9"/>
  <c r="BQ19" i="11"/>
  <c r="AC13" i="8"/>
  <c r="AX13" i="11" s="1"/>
  <c r="AB11" i="9"/>
  <c r="AB35" i="9"/>
  <c r="BQ51" i="11"/>
  <c r="AB39" i="9"/>
  <c r="BQ47" i="11"/>
  <c r="BT11" i="11"/>
  <c r="AD39" i="7"/>
  <c r="AM39" i="11" s="1"/>
  <c r="D11" i="4"/>
  <c r="AB54" i="9"/>
  <c r="AE54" i="9"/>
  <c r="BL54" i="11" s="1"/>
  <c r="AF46" i="9"/>
  <c r="BM46" i="11" s="1"/>
  <c r="BU38" i="11"/>
  <c r="AF30" i="9"/>
  <c r="BM30" i="11" s="1"/>
  <c r="BQ22" i="11"/>
  <c r="AC22" i="9"/>
  <c r="BJ22" i="11" s="1"/>
  <c r="AD18" i="9"/>
  <c r="BK18" i="11" s="1"/>
  <c r="AE18" i="9"/>
  <c r="BL18" i="11" s="1"/>
  <c r="AD32" i="8"/>
  <c r="AY32" i="11" s="1"/>
  <c r="AD28" i="8"/>
  <c r="AY28" i="11" s="1"/>
  <c r="AE24" i="8"/>
  <c r="AZ24" i="11" s="1"/>
  <c r="AE20" i="8"/>
  <c r="AZ20" i="11" s="1"/>
  <c r="AC38" i="7"/>
  <c r="AL38" i="11" s="1"/>
  <c r="AE38" i="7"/>
  <c r="AN38" i="11" s="1"/>
  <c r="AD38" i="7"/>
  <c r="AM38" i="11" s="1"/>
  <c r="AE34" i="7"/>
  <c r="AN34" i="11" s="1"/>
  <c r="AD26" i="7"/>
  <c r="AM26" i="11" s="1"/>
  <c r="AC26" i="7"/>
  <c r="AL26" i="11" s="1"/>
  <c r="AE26" i="7"/>
  <c r="AN26" i="11" s="1"/>
  <c r="AB30" i="9"/>
  <c r="AB46" i="9"/>
  <c r="BQ34" i="11"/>
  <c r="AC38" i="9"/>
  <c r="BJ38" i="11" s="1"/>
  <c r="AF56" i="6"/>
  <c r="AC56" i="11" s="1"/>
  <c r="AD38" i="9"/>
  <c r="BK38" i="11" s="1"/>
  <c r="AC30" i="7"/>
  <c r="AL30" i="11" s="1"/>
  <c r="BU54" i="11"/>
  <c r="BU18" i="11"/>
  <c r="AC39" i="8"/>
  <c r="AX39" i="11" s="1"/>
  <c r="AD31" i="8"/>
  <c r="AY31" i="11" s="1"/>
  <c r="AE23" i="8"/>
  <c r="AZ23" i="11" s="1"/>
  <c r="AE41" i="7"/>
  <c r="AN41" i="11" s="1"/>
  <c r="AC39" i="6"/>
  <c r="Z39" i="11" s="1"/>
  <c r="AD35" i="6"/>
  <c r="AA35" i="11" s="1"/>
  <c r="AE41" i="5"/>
  <c r="P41" i="11" s="1"/>
  <c r="AD17" i="5"/>
  <c r="O17" i="11" s="1"/>
  <c r="E56" i="4"/>
  <c r="D52" i="4"/>
  <c r="D48" i="4"/>
  <c r="D44" i="4"/>
  <c r="D40" i="4"/>
  <c r="D36" i="4"/>
  <c r="D32" i="4"/>
  <c r="D28" i="4"/>
  <c r="E24" i="4"/>
  <c r="E16" i="4"/>
  <c r="AB18" i="9"/>
  <c r="AB50" i="9"/>
  <c r="AB34" i="9"/>
  <c r="BQ18" i="11"/>
  <c r="AE38" i="9"/>
  <c r="BL38" i="11" s="1"/>
  <c r="AD20" i="8"/>
  <c r="AY20" i="11" s="1"/>
  <c r="AE54" i="7"/>
  <c r="AN54" i="11" s="1"/>
  <c r="AE35" i="6"/>
  <c r="AB35" i="11" s="1"/>
  <c r="AT46" i="11"/>
  <c r="AB22" i="9"/>
  <c r="AB38" i="9"/>
  <c r="AF26" i="7"/>
  <c r="AO26" i="11" s="1"/>
  <c r="AC28" i="8"/>
  <c r="AX28" i="11" s="1"/>
  <c r="D55" i="4"/>
  <c r="D47" i="4"/>
  <c r="D39" i="4"/>
  <c r="D31" i="4"/>
  <c r="D23" i="4"/>
  <c r="AC24" i="6"/>
  <c r="Z24" i="11" s="1"/>
  <c r="D54" i="4"/>
  <c r="D50" i="4"/>
  <c r="D46" i="4"/>
  <c r="D42" i="4"/>
  <c r="D38" i="4"/>
  <c r="D34" i="4"/>
  <c r="D30" i="4"/>
  <c r="D26" i="4"/>
  <c r="D22" i="4"/>
  <c r="AF55" i="9"/>
  <c r="BM55" i="11" s="1"/>
  <c r="AB55" i="9"/>
  <c r="BQ35" i="11"/>
  <c r="AF31" i="9"/>
  <c r="BM31" i="11" s="1"/>
  <c r="AB31" i="9"/>
  <c r="AE27" i="9"/>
  <c r="BL27" i="11" s="1"/>
  <c r="AC57" i="8"/>
  <c r="AX57" i="11" s="1"/>
  <c r="AC33" i="8"/>
  <c r="AX33" i="11" s="1"/>
  <c r="AU35" i="11"/>
  <c r="AC35" i="7"/>
  <c r="AL35" i="11" s="1"/>
  <c r="AD33" i="6"/>
  <c r="AA33" i="11" s="1"/>
  <c r="AE33" i="6"/>
  <c r="AB33" i="11" s="1"/>
  <c r="AE35" i="5"/>
  <c r="P35" i="11" s="1"/>
  <c r="E22" i="4"/>
  <c r="AD55" i="9"/>
  <c r="BK55" i="11" s="1"/>
  <c r="AE23" i="9"/>
  <c r="BL23" i="11" s="1"/>
  <c r="AE35" i="9"/>
  <c r="BL35" i="11" s="1"/>
  <c r="AE39" i="9"/>
  <c r="BL39" i="11" s="1"/>
  <c r="BT22" i="11"/>
  <c r="AD58" i="9"/>
  <c r="BK58" i="11" s="1"/>
  <c r="AE28" i="8"/>
  <c r="AZ28" i="11" s="1"/>
  <c r="AF30" i="7"/>
  <c r="AO30" i="11" s="1"/>
  <c r="AC50" i="7"/>
  <c r="AL50" i="11" s="1"/>
  <c r="AE30" i="7"/>
  <c r="AN30" i="11" s="1"/>
  <c r="AE50" i="5"/>
  <c r="P50" i="11" s="1"/>
  <c r="AD54" i="9"/>
  <c r="BK54" i="11" s="1"/>
  <c r="AB48" i="9"/>
  <c r="E39" i="4"/>
  <c r="AU49" i="11"/>
  <c r="AC54" i="8"/>
  <c r="AX54" i="11" s="1"/>
  <c r="AD55" i="6"/>
  <c r="AA55" i="11" s="1"/>
  <c r="D56" i="4"/>
  <c r="AC55" i="8"/>
  <c r="AX55" i="11" s="1"/>
  <c r="AD45" i="7"/>
  <c r="AM45" i="11" s="1"/>
  <c r="AF49" i="7"/>
  <c r="AO49" i="11" s="1"/>
  <c r="BT54" i="11"/>
  <c r="AE55" i="8"/>
  <c r="AZ55" i="11" s="1"/>
  <c r="AE57" i="7"/>
  <c r="AN57" i="11" s="1"/>
  <c r="AC33" i="6"/>
  <c r="Z33" i="11" s="1"/>
  <c r="AG48" i="11"/>
  <c r="AD36" i="6"/>
  <c r="AA36" i="11" s="1"/>
  <c r="AD37" i="5"/>
  <c r="O37" i="11" s="1"/>
  <c r="AD6" i="5"/>
  <c r="O6" i="11" s="1"/>
  <c r="AD57" i="5"/>
  <c r="O57" i="11" s="1"/>
  <c r="AE38" i="5"/>
  <c r="P38" i="11" s="1"/>
  <c r="AD58" i="5"/>
  <c r="O58" i="11" s="1"/>
  <c r="AE30" i="5"/>
  <c r="P30" i="11" s="1"/>
  <c r="AE54" i="5"/>
  <c r="P54" i="11" s="1"/>
  <c r="AE18" i="5"/>
  <c r="P18" i="11" s="1"/>
  <c r="AD18" i="5"/>
  <c r="O18" i="11" s="1"/>
  <c r="AD26" i="5"/>
  <c r="O26" i="11" s="1"/>
  <c r="AF26" i="5"/>
  <c r="Q26" i="11" s="1"/>
  <c r="AE13" i="5"/>
  <c r="P13" i="11" s="1"/>
  <c r="AE6" i="5"/>
  <c r="P6" i="11" s="1"/>
  <c r="AG45" i="11"/>
  <c r="AC45" i="8"/>
  <c r="AX45" i="11" s="1"/>
  <c r="AE45" i="8"/>
  <c r="AZ45" i="11" s="1"/>
  <c r="AF15" i="9"/>
  <c r="BM15" i="11" s="1"/>
  <c r="BQ15" i="11"/>
  <c r="AB15" i="9"/>
  <c r="AF4" i="8"/>
  <c r="BA4" i="11" s="1"/>
  <c r="AB52" i="9"/>
  <c r="BQ44" i="11"/>
  <c r="AD40" i="9"/>
  <c r="BK40" i="11" s="1"/>
  <c r="AE40" i="9"/>
  <c r="BL40" i="11" s="1"/>
  <c r="AB40" i="9"/>
  <c r="BU36" i="11"/>
  <c r="AB36" i="9"/>
  <c r="AE28" i="9"/>
  <c r="BL28" i="11" s="1"/>
  <c r="AF24" i="9"/>
  <c r="BM24" i="11" s="1"/>
  <c r="AB24" i="9"/>
  <c r="AB20" i="9"/>
  <c r="AF16" i="9"/>
  <c r="BM16" i="11" s="1"/>
  <c r="BQ12" i="11"/>
  <c r="BQ8" i="11"/>
  <c r="AC50" i="8"/>
  <c r="AX50" i="11" s="1"/>
  <c r="AD46" i="8"/>
  <c r="AY46" i="11" s="1"/>
  <c r="AD38" i="8"/>
  <c r="AY38" i="11" s="1"/>
  <c r="AE34" i="8"/>
  <c r="AZ34" i="11" s="1"/>
  <c r="AC34" i="8"/>
  <c r="AX34" i="11" s="1"/>
  <c r="AE30" i="8"/>
  <c r="AZ30" i="11" s="1"/>
  <c r="AE18" i="8"/>
  <c r="AZ18" i="11" s="1"/>
  <c r="AD40" i="7"/>
  <c r="AM40" i="11" s="1"/>
  <c r="AD58" i="6"/>
  <c r="AA58" i="11" s="1"/>
  <c r="AD50" i="6"/>
  <c r="AA50" i="11" s="1"/>
  <c r="AC38" i="6"/>
  <c r="Z38" i="11" s="1"/>
  <c r="AC34" i="6"/>
  <c r="Z34" i="11" s="1"/>
  <c r="AC30" i="6"/>
  <c r="Z30" i="11" s="1"/>
  <c r="AG30" i="11"/>
  <c r="AC22" i="6"/>
  <c r="Z22" i="11" s="1"/>
  <c r="AC18" i="6"/>
  <c r="Z18" i="11" s="1"/>
  <c r="AC40" i="5"/>
  <c r="N40" i="11" s="1"/>
  <c r="AE8" i="5"/>
  <c r="P8" i="11" s="1"/>
  <c r="E4" i="4"/>
  <c r="D4" i="4"/>
  <c r="D51" i="4"/>
  <c r="E51" i="4"/>
  <c r="D43" i="4"/>
  <c r="E43" i="4"/>
  <c r="D35" i="4"/>
  <c r="E35" i="4"/>
  <c r="D27" i="4"/>
  <c r="E27" i="4"/>
  <c r="D6" i="4"/>
  <c r="E6" i="4"/>
  <c r="AE28" i="7"/>
  <c r="AN28" i="11" s="1"/>
  <c r="AB32" i="9"/>
  <c r="AB12" i="9"/>
  <c r="BQ48" i="11"/>
  <c r="BQ56" i="11"/>
  <c r="AC54" i="6"/>
  <c r="Z54" i="11" s="1"/>
  <c r="AD28" i="5"/>
  <c r="O28" i="11" s="1"/>
  <c r="AE32" i="7"/>
  <c r="AN32" i="11" s="1"/>
  <c r="Y28" i="11"/>
  <c r="AB8" i="9"/>
  <c r="AB44" i="9"/>
  <c r="AG26" i="11"/>
  <c r="AG6" i="11"/>
  <c r="BQ20" i="11"/>
  <c r="E47" i="4"/>
  <c r="E31" i="4"/>
  <c r="E55" i="4"/>
  <c r="AC26" i="8"/>
  <c r="AX26" i="11" s="1"/>
  <c r="AD4" i="8"/>
  <c r="AY4" i="11" s="1"/>
  <c r="AC8" i="9"/>
  <c r="BJ8" i="11" s="1"/>
  <c r="AC28" i="9"/>
  <c r="BJ28" i="11" s="1"/>
  <c r="AC30" i="8"/>
  <c r="AX30" i="11" s="1"/>
  <c r="AC58" i="6"/>
  <c r="Z58" i="11" s="1"/>
  <c r="AE45" i="7"/>
  <c r="AN45" i="11" s="1"/>
  <c r="AD7" i="6"/>
  <c r="AA7" i="11" s="1"/>
  <c r="AC35" i="6"/>
  <c r="Z35" i="11" s="1"/>
  <c r="G31" i="8"/>
  <c r="G26" i="8"/>
  <c r="E28" i="8"/>
  <c r="G30" i="8"/>
  <c r="K32" i="8"/>
  <c r="G23" i="8"/>
  <c r="M31" i="8"/>
  <c r="K33" i="8"/>
  <c r="AF56" i="9"/>
  <c r="BM56" i="11" s="1"/>
  <c r="AB56" i="9"/>
  <c r="BU52" i="11"/>
  <c r="AE44" i="9"/>
  <c r="BL44" i="11" s="1"/>
  <c r="BU32" i="11"/>
  <c r="AF20" i="9"/>
  <c r="BM20" i="11" s="1"/>
  <c r="AF12" i="9"/>
  <c r="BM12" i="11" s="1"/>
  <c r="BU8" i="11"/>
  <c r="AD8" i="9"/>
  <c r="BK8" i="11" s="1"/>
  <c r="AE58" i="8"/>
  <c r="AZ58" i="11" s="1"/>
  <c r="AE54" i="8"/>
  <c r="AZ54" i="11" s="1"/>
  <c r="AD26" i="8"/>
  <c r="AY26" i="11" s="1"/>
  <c r="AD18" i="8"/>
  <c r="AY18" i="11" s="1"/>
  <c r="AE8" i="7"/>
  <c r="AN8" i="11" s="1"/>
  <c r="AC8" i="7"/>
  <c r="AL8" i="11" s="1"/>
  <c r="AE54" i="6"/>
  <c r="AB54" i="11" s="1"/>
  <c r="AE38" i="6"/>
  <c r="AB38" i="11" s="1"/>
  <c r="AD18" i="6"/>
  <c r="AA18" i="11" s="1"/>
  <c r="AD40" i="5"/>
  <c r="O40" i="11" s="1"/>
  <c r="AF47" i="5"/>
  <c r="Q47" i="11" s="1"/>
  <c r="AG39" i="10"/>
  <c r="AC39" i="10"/>
  <c r="AA39" i="10"/>
  <c r="AG41" i="10"/>
  <c r="AC41" i="10"/>
  <c r="AG43" i="10"/>
  <c r="AC43" i="10"/>
  <c r="AA43" i="10"/>
  <c r="AC45" i="10"/>
  <c r="AI47" i="10"/>
  <c r="AG47" i="10"/>
  <c r="AC47" i="10"/>
  <c r="AA47" i="10"/>
  <c r="BE40" i="10"/>
  <c r="BC40" i="10"/>
  <c r="BE42" i="10"/>
  <c r="AY42" i="10"/>
  <c r="AW42" i="10"/>
  <c r="BE44" i="10"/>
  <c r="AW44" i="10"/>
  <c r="BE46" i="10"/>
  <c r="BC46" i="10"/>
  <c r="AY46" i="10"/>
  <c r="AW46" i="10"/>
  <c r="BC48" i="10"/>
  <c r="AY48" i="10"/>
  <c r="K5" i="9"/>
  <c r="G5" i="9"/>
  <c r="E5" i="9"/>
  <c r="G7" i="9"/>
  <c r="E7" i="9"/>
  <c r="K7" i="9"/>
  <c r="K9" i="9"/>
  <c r="G9" i="9"/>
  <c r="E9" i="9"/>
  <c r="G11" i="9"/>
  <c r="E11" i="9"/>
  <c r="K11" i="9"/>
  <c r="K13" i="9"/>
  <c r="G13" i="9"/>
  <c r="E13" i="9"/>
  <c r="G15" i="9"/>
  <c r="E15" i="9"/>
  <c r="K15" i="9"/>
  <c r="AE15" i="9" s="1"/>
  <c r="BL15" i="11" s="1"/>
  <c r="AD28" i="9"/>
  <c r="BK28" i="11" s="1"/>
  <c r="AE26" i="8"/>
  <c r="AZ26" i="11" s="1"/>
  <c r="AD54" i="6"/>
  <c r="AA54" i="11" s="1"/>
  <c r="AE40" i="5"/>
  <c r="P40" i="11" s="1"/>
  <c r="AE4" i="5"/>
  <c r="P4" i="11" s="1"/>
  <c r="AD4" i="5"/>
  <c r="O4" i="11" s="1"/>
  <c r="BU51" i="11"/>
  <c r="AF39" i="9"/>
  <c r="BM39" i="11" s="1"/>
  <c r="AD39" i="9"/>
  <c r="BK39" i="11" s="1"/>
  <c r="AF35" i="9"/>
  <c r="BM35" i="11" s="1"/>
  <c r="AF27" i="9"/>
  <c r="BM27" i="11" s="1"/>
  <c r="AD27" i="9"/>
  <c r="BK27" i="11" s="1"/>
  <c r="BT23" i="11"/>
  <c r="BU23" i="11"/>
  <c r="BU19" i="11"/>
  <c r="BU11" i="11"/>
  <c r="AF11" i="9"/>
  <c r="BM11" i="11" s="1"/>
  <c r="BU7" i="11"/>
  <c r="AD7" i="9"/>
  <c r="BK7" i="11" s="1"/>
  <c r="AE57" i="8"/>
  <c r="AZ57" i="11" s="1"/>
  <c r="AE33" i="8"/>
  <c r="AZ33" i="11" s="1"/>
  <c r="AU39" i="11"/>
  <c r="AC39" i="7"/>
  <c r="AL39" i="11" s="1"/>
  <c r="AE35" i="7"/>
  <c r="AN35" i="11" s="1"/>
  <c r="AC11" i="7"/>
  <c r="AL11" i="11" s="1"/>
  <c r="AE11" i="7"/>
  <c r="AN11" i="11" s="1"/>
  <c r="AC7" i="7"/>
  <c r="AL7" i="11" s="1"/>
  <c r="AE57" i="6"/>
  <c r="AB57" i="11" s="1"/>
  <c r="AE45" i="6"/>
  <c r="AB45" i="11" s="1"/>
  <c r="AD45" i="6"/>
  <c r="AA45" i="11" s="1"/>
  <c r="AD17" i="6"/>
  <c r="AA17" i="11" s="1"/>
  <c r="AD13" i="6"/>
  <c r="AA13" i="11" s="1"/>
  <c r="AE13" i="6"/>
  <c r="AB13" i="11" s="1"/>
  <c r="AD39" i="5"/>
  <c r="O39" i="11" s="1"/>
  <c r="AD35" i="5"/>
  <c r="O35" i="11" s="1"/>
  <c r="AD27" i="5"/>
  <c r="O27" i="11" s="1"/>
  <c r="AD23" i="5"/>
  <c r="O23" i="11" s="1"/>
  <c r="AD7" i="5"/>
  <c r="O7" i="11" s="1"/>
  <c r="AE7" i="5"/>
  <c r="P7" i="11" s="1"/>
  <c r="AC6" i="6"/>
  <c r="Z6" i="11" s="1"/>
  <c r="AD8" i="7"/>
  <c r="AM8" i="11" s="1"/>
  <c r="AE22" i="6"/>
  <c r="AB22" i="11" s="1"/>
  <c r="AD8" i="5"/>
  <c r="O8" i="11" s="1"/>
  <c r="AD50" i="8"/>
  <c r="AY50" i="11" s="1"/>
  <c r="AD38" i="6"/>
  <c r="AA38" i="11" s="1"/>
  <c r="AD35" i="7"/>
  <c r="AM35" i="11" s="1"/>
  <c r="AD35" i="9"/>
  <c r="BK35" i="11" s="1"/>
  <c r="AF7" i="9"/>
  <c r="BM7" i="11" s="1"/>
  <c r="AF19" i="9"/>
  <c r="BM19" i="11" s="1"/>
  <c r="BT39" i="11"/>
  <c r="AE56" i="9"/>
  <c r="BL56" i="11" s="1"/>
  <c r="AE20" i="9"/>
  <c r="BL20" i="11" s="1"/>
  <c r="AE58" i="6"/>
  <c r="AB58" i="11" s="1"/>
  <c r="AE6" i="6"/>
  <c r="AB6" i="11" s="1"/>
  <c r="AD20" i="5"/>
  <c r="O20" i="11" s="1"/>
  <c r="AE4" i="8"/>
  <c r="AZ4" i="11" s="1"/>
  <c r="AE50" i="8"/>
  <c r="AZ50" i="11" s="1"/>
  <c r="AC12" i="7"/>
  <c r="AL12" i="11" s="1"/>
  <c r="AD54" i="8"/>
  <c r="AY54" i="11" s="1"/>
  <c r="AF35" i="7"/>
  <c r="AO35" i="11" s="1"/>
  <c r="AD12" i="7"/>
  <c r="AM12" i="11" s="1"/>
  <c r="AF43" i="9"/>
  <c r="BM43" i="11" s="1"/>
  <c r="R47" i="10"/>
  <c r="V47" i="10"/>
  <c r="X47" i="10"/>
  <c r="R45" i="10"/>
  <c r="V45" i="10"/>
  <c r="X45" i="10"/>
  <c r="R43" i="10"/>
  <c r="V43" i="10"/>
  <c r="X43" i="10"/>
  <c r="R41" i="10"/>
  <c r="V41" i="10"/>
  <c r="X41" i="10"/>
  <c r="R39" i="10"/>
  <c r="V39" i="10"/>
  <c r="X39" i="10"/>
  <c r="K6" i="6"/>
  <c r="G6" i="6"/>
  <c r="E6" i="6"/>
  <c r="M6" i="6"/>
  <c r="K8" i="6"/>
  <c r="G8" i="6"/>
  <c r="E8" i="6"/>
  <c r="M8" i="6"/>
  <c r="K10" i="6"/>
  <c r="G10" i="6"/>
  <c r="E10" i="6"/>
  <c r="M10" i="6"/>
  <c r="K12" i="6"/>
  <c r="G12" i="6"/>
  <c r="E12" i="6"/>
  <c r="M12" i="6"/>
  <c r="K14" i="6"/>
  <c r="G14" i="6"/>
  <c r="E14" i="6"/>
  <c r="M14" i="6"/>
  <c r="K16" i="6"/>
  <c r="G16" i="6"/>
  <c r="E16" i="6"/>
  <c r="M16" i="6"/>
  <c r="AR40" i="10"/>
  <c r="AT42" i="10"/>
  <c r="AT44" i="10"/>
  <c r="AR44" i="10"/>
  <c r="AT46" i="10"/>
  <c r="AR46" i="10"/>
  <c r="AT48" i="10"/>
  <c r="G5" i="8"/>
  <c r="E5" i="8"/>
  <c r="M5" i="8"/>
  <c r="K5" i="8"/>
  <c r="G7" i="8"/>
  <c r="E7" i="8"/>
  <c r="M7" i="8"/>
  <c r="K7" i="8"/>
  <c r="G9" i="8"/>
  <c r="E9" i="8"/>
  <c r="M9" i="8"/>
  <c r="K9" i="8"/>
  <c r="G11" i="8"/>
  <c r="E11" i="8"/>
  <c r="M11" i="8"/>
  <c r="K11" i="8"/>
  <c r="G13" i="8"/>
  <c r="E13" i="8"/>
  <c r="M13" i="8"/>
  <c r="K13" i="8"/>
  <c r="G15" i="8"/>
  <c r="E15" i="8"/>
  <c r="M15" i="8"/>
  <c r="K15" i="8"/>
  <c r="BJ39" i="10"/>
  <c r="BJ41" i="10"/>
  <c r="AI40" i="10"/>
  <c r="AG40" i="10"/>
  <c r="AC40" i="10"/>
  <c r="AG42" i="10"/>
  <c r="AG44" i="10"/>
  <c r="AC44" i="10"/>
  <c r="AA44" i="10"/>
  <c r="AG46" i="10"/>
  <c r="AC46" i="10"/>
  <c r="AA46" i="10"/>
  <c r="AI48" i="10"/>
  <c r="AG48" i="10"/>
  <c r="BE39" i="10"/>
  <c r="BC39" i="10"/>
  <c r="AY39" i="10"/>
  <c r="AW39" i="10"/>
  <c r="BE41" i="10"/>
  <c r="BC41" i="10"/>
  <c r="AW41" i="10"/>
  <c r="BE43" i="10"/>
  <c r="AY43" i="10"/>
  <c r="AW43" i="10"/>
  <c r="BE45" i="10"/>
  <c r="AY45" i="10"/>
  <c r="AW45" i="10"/>
  <c r="BE47" i="10"/>
  <c r="AY47" i="10"/>
  <c r="E6" i="9"/>
  <c r="K6" i="9"/>
  <c r="G6" i="9"/>
  <c r="K8" i="9"/>
  <c r="G8" i="9"/>
  <c r="E8" i="9"/>
  <c r="E10" i="9"/>
  <c r="K10" i="9"/>
  <c r="G10" i="9"/>
  <c r="K12" i="9"/>
  <c r="G12" i="9"/>
  <c r="E12" i="9"/>
  <c r="E14" i="9"/>
  <c r="K14" i="9"/>
  <c r="G14" i="9"/>
  <c r="K16" i="9"/>
  <c r="G16" i="9"/>
  <c r="E16" i="9"/>
  <c r="R48" i="10"/>
  <c r="V48" i="10"/>
  <c r="X48" i="10"/>
  <c r="R46" i="10"/>
  <c r="V46" i="10"/>
  <c r="X46" i="10"/>
  <c r="V44" i="10"/>
  <c r="X44" i="10"/>
  <c r="P44" i="10"/>
  <c r="V42" i="10"/>
  <c r="X42" i="10"/>
  <c r="P42" i="10"/>
  <c r="R40" i="10"/>
  <c r="X40" i="10"/>
  <c r="P40" i="10"/>
  <c r="K5" i="6"/>
  <c r="G5" i="6"/>
  <c r="M5" i="6"/>
  <c r="AF20" i="6" s="1"/>
  <c r="AC20" i="11" s="1"/>
  <c r="E5" i="6"/>
  <c r="K7" i="6"/>
  <c r="G7" i="6"/>
  <c r="M7" i="6"/>
  <c r="E7" i="6"/>
  <c r="K9" i="6"/>
  <c r="G9" i="6"/>
  <c r="M9" i="6"/>
  <c r="AF15" i="6" s="1"/>
  <c r="AC15" i="11" s="1"/>
  <c r="E9" i="6"/>
  <c r="K11" i="6"/>
  <c r="G11" i="6"/>
  <c r="M11" i="6"/>
  <c r="E11" i="6"/>
  <c r="K13" i="6"/>
  <c r="G13" i="6"/>
  <c r="M13" i="6"/>
  <c r="E13" i="6"/>
  <c r="K15" i="6"/>
  <c r="G15" i="6"/>
  <c r="M15" i="6"/>
  <c r="E15" i="6"/>
  <c r="AT39" i="10"/>
  <c r="AR39" i="10"/>
  <c r="AT41" i="10"/>
  <c r="AR41" i="10"/>
  <c r="AT43" i="10"/>
  <c r="AR43" i="10"/>
  <c r="AT45" i="10"/>
  <c r="AR45" i="10"/>
  <c r="G6" i="8"/>
  <c r="E6" i="8"/>
  <c r="M6" i="8"/>
  <c r="K6" i="8"/>
  <c r="G8" i="8"/>
  <c r="E8" i="8"/>
  <c r="AC56" i="8" s="1"/>
  <c r="AX56" i="11" s="1"/>
  <c r="M8" i="8"/>
  <c r="K8" i="8"/>
  <c r="G10" i="8"/>
  <c r="E10" i="8"/>
  <c r="M10" i="8"/>
  <c r="K10" i="8"/>
  <c r="G12" i="8"/>
  <c r="E12" i="8"/>
  <c r="M12" i="8"/>
  <c r="K12" i="8"/>
  <c r="G14" i="8"/>
  <c r="E14" i="8"/>
  <c r="M14" i="8"/>
  <c r="K14" i="8"/>
  <c r="G16" i="8"/>
  <c r="E16" i="8"/>
  <c r="M16" i="8"/>
  <c r="K16" i="8"/>
  <c r="BJ40" i="10"/>
  <c r="BJ42" i="10"/>
  <c r="BJ44" i="10"/>
  <c r="BJ46" i="10"/>
  <c r="AT38" i="10"/>
  <c r="AR38" i="10"/>
  <c r="AC38" i="10"/>
  <c r="AA38" i="10"/>
  <c r="AI38" i="10"/>
  <c r="AW38" i="10"/>
  <c r="BE38" i="10"/>
  <c r="BC38" i="10"/>
  <c r="X38" i="10"/>
  <c r="V38" i="10"/>
  <c r="BJ38" i="10"/>
  <c r="K29" i="8"/>
  <c r="BT31" i="11"/>
  <c r="AF47" i="9"/>
  <c r="BM47" i="11" s="1"/>
  <c r="BU55" i="11"/>
  <c r="BU12" i="11"/>
  <c r="AF28" i="9"/>
  <c r="BM28" i="11" s="1"/>
  <c r="AF23" i="9"/>
  <c r="BM23" i="11" s="1"/>
  <c r="BU31" i="11"/>
  <c r="BT35" i="11"/>
  <c r="BT47" i="11"/>
  <c r="AF51" i="9"/>
  <c r="BM51" i="11" s="1"/>
  <c r="BT4" i="11"/>
  <c r="BT36" i="11"/>
  <c r="K30" i="8"/>
  <c r="AD12" i="6"/>
  <c r="AA12" i="11" s="1"/>
  <c r="AF52" i="9"/>
  <c r="BM52" i="11" s="1"/>
  <c r="BT48" i="11"/>
  <c r="AF48" i="9"/>
  <c r="BM48" i="11" s="1"/>
  <c r="AF44" i="9"/>
  <c r="BM44" i="11" s="1"/>
  <c r="BU40" i="11"/>
  <c r="AF40" i="9"/>
  <c r="BM40" i="11" s="1"/>
  <c r="AC18" i="8"/>
  <c r="AX18" i="11" s="1"/>
  <c r="BS44" i="11"/>
  <c r="AF8" i="9"/>
  <c r="BM8" i="11" s="1"/>
  <c r="BT32" i="11"/>
  <c r="AF36" i="9"/>
  <c r="BM36" i="11" s="1"/>
  <c r="AF7" i="6"/>
  <c r="AC7" i="11" s="1"/>
  <c r="AD51" i="7"/>
  <c r="AM51" i="11" s="1"/>
  <c r="AE23" i="7"/>
  <c r="AN23" i="11" s="1"/>
  <c r="AF26" i="8"/>
  <c r="BA26" i="11" s="1"/>
  <c r="AE8" i="9"/>
  <c r="BL8" i="11" s="1"/>
  <c r="AU11" i="11"/>
  <c r="BT16" i="11"/>
  <c r="BU28" i="11"/>
  <c r="AF32" i="9"/>
  <c r="BM32" i="11" s="1"/>
  <c r="BU48" i="11"/>
  <c r="BU56" i="11"/>
  <c r="K21" i="7"/>
  <c r="G23" i="7"/>
  <c r="G25" i="7"/>
  <c r="K27" i="7"/>
  <c r="G29" i="7"/>
  <c r="M31" i="7"/>
  <c r="M33" i="7"/>
  <c r="M24" i="7"/>
  <c r="K26" i="7"/>
  <c r="M28" i="7"/>
  <c r="G30" i="7"/>
  <c r="AH6" i="7" s="1"/>
  <c r="G32" i="7"/>
  <c r="AH24" i="7" s="1"/>
  <c r="AQ24" i="11" s="1"/>
  <c r="E22" i="9"/>
  <c r="K24" i="9"/>
  <c r="BN28" i="10"/>
  <c r="K30" i="9"/>
  <c r="K32" i="9"/>
  <c r="G21" i="9"/>
  <c r="G23" i="9"/>
  <c r="K25" i="9"/>
  <c r="K29" i="9"/>
  <c r="G31" i="9"/>
  <c r="G33" i="9"/>
  <c r="AU21" i="11"/>
  <c r="AE13" i="7"/>
  <c r="AN13" i="11" s="1"/>
  <c r="AD49" i="6"/>
  <c r="AA49" i="11" s="1"/>
  <c r="AC4" i="7"/>
  <c r="AL4" i="11" s="1"/>
  <c r="AB57" i="9"/>
  <c r="AF53" i="9"/>
  <c r="BM53" i="11" s="1"/>
  <c r="BU53" i="11"/>
  <c r="AB53" i="9"/>
  <c r="AF45" i="9"/>
  <c r="BM45" i="11" s="1"/>
  <c r="AE45" i="9"/>
  <c r="BL45" i="11" s="1"/>
  <c r="AD45" i="9"/>
  <c r="BK45" i="11" s="1"/>
  <c r="AB45" i="9"/>
  <c r="BU41" i="11"/>
  <c r="AE41" i="9"/>
  <c r="BL41" i="11" s="1"/>
  <c r="AF37" i="9"/>
  <c r="BM37" i="11" s="1"/>
  <c r="BQ37" i="11"/>
  <c r="BT33" i="11"/>
  <c r="AD33" i="9"/>
  <c r="BK33" i="11" s="1"/>
  <c r="AF29" i="9"/>
  <c r="BM29" i="11" s="1"/>
  <c r="AB29" i="9"/>
  <c r="AF25" i="9"/>
  <c r="BM25" i="11" s="1"/>
  <c r="BT25" i="11"/>
  <c r="AF21" i="9"/>
  <c r="BM21" i="11" s="1"/>
  <c r="BU17" i="11"/>
  <c r="AE17" i="9"/>
  <c r="BL17" i="11" s="1"/>
  <c r="BQ17" i="11"/>
  <c r="BU13" i="11"/>
  <c r="AF13" i="9"/>
  <c r="BM13" i="11" s="1"/>
  <c r="AB13" i="9"/>
  <c r="BT9" i="11"/>
  <c r="AF9" i="9"/>
  <c r="BM9" i="11" s="1"/>
  <c r="AF5" i="9"/>
  <c r="BM5" i="11" s="1"/>
  <c r="BT5" i="11"/>
  <c r="BQ5" i="11"/>
  <c r="AF48" i="8"/>
  <c r="BA48" i="11" s="1"/>
  <c r="AE44" i="8"/>
  <c r="AZ44" i="11" s="1"/>
  <c r="AD44" i="8"/>
  <c r="AY44" i="11" s="1"/>
  <c r="AD40" i="8"/>
  <c r="AY40" i="11" s="1"/>
  <c r="AE40" i="8"/>
  <c r="AZ40" i="11" s="1"/>
  <c r="AC40" i="8"/>
  <c r="AX40" i="11" s="1"/>
  <c r="AU56" i="11"/>
  <c r="AE52" i="7"/>
  <c r="AN52" i="11" s="1"/>
  <c r="AF44" i="7"/>
  <c r="AO44" i="11" s="1"/>
  <c r="AE40" i="7"/>
  <c r="AN40" i="11" s="1"/>
  <c r="AC40" i="7"/>
  <c r="AL40" i="11" s="1"/>
  <c r="AE36" i="7"/>
  <c r="AN36" i="11" s="1"/>
  <c r="AD28" i="7"/>
  <c r="AM28" i="11" s="1"/>
  <c r="AT28" i="11"/>
  <c r="AD48" i="5"/>
  <c r="O48" i="11" s="1"/>
  <c r="AE44" i="5"/>
  <c r="P44" i="11" s="1"/>
  <c r="AD44" i="5"/>
  <c r="O44" i="11" s="1"/>
  <c r="BT34" i="11"/>
  <c r="G27" i="9"/>
  <c r="K31" i="9"/>
  <c r="K24" i="7"/>
  <c r="K25" i="7"/>
  <c r="G27" i="7"/>
  <c r="G32" i="9"/>
  <c r="AC37" i="9"/>
  <c r="BJ37" i="11" s="1"/>
  <c r="AC44" i="8"/>
  <c r="AX44" i="11" s="1"/>
  <c r="AE33" i="9"/>
  <c r="BL33" i="11" s="1"/>
  <c r="AD13" i="9"/>
  <c r="BK13" i="11" s="1"/>
  <c r="AU17" i="11"/>
  <c r="AE17" i="7"/>
  <c r="AN17" i="11" s="1"/>
  <c r="M26" i="7"/>
  <c r="G26" i="7"/>
  <c r="E26" i="9"/>
  <c r="G26" i="9"/>
  <c r="G24" i="7"/>
  <c r="G28" i="7"/>
  <c r="E29" i="9"/>
  <c r="K33" i="9"/>
  <c r="K21" i="9"/>
  <c r="K22" i="7"/>
  <c r="M25" i="7"/>
  <c r="M27" i="7"/>
  <c r="G22" i="9"/>
  <c r="E24" i="9"/>
  <c r="E28" i="9"/>
  <c r="AD41" i="9"/>
  <c r="BK41" i="11" s="1"/>
  <c r="AC32" i="7"/>
  <c r="AL32" i="11" s="1"/>
  <c r="AD55" i="7"/>
  <c r="AM55" i="11" s="1"/>
  <c r="AD30" i="6"/>
  <c r="AA30" i="11" s="1"/>
  <c r="E52" i="4"/>
  <c r="E48" i="4"/>
  <c r="E44" i="4"/>
  <c r="E40" i="4"/>
  <c r="E36" i="4"/>
  <c r="E32" i="4"/>
  <c r="E28" i="4"/>
  <c r="AC40" i="6"/>
  <c r="Z40" i="11" s="1"/>
  <c r="AE12" i="6"/>
  <c r="AB12" i="11" s="1"/>
  <c r="AE26" i="6"/>
  <c r="AB26" i="11" s="1"/>
  <c r="AD51" i="5"/>
  <c r="O51" i="11" s="1"/>
  <c r="AF34" i="6"/>
  <c r="AC34" i="11" s="1"/>
  <c r="AE18" i="6"/>
  <c r="AB18" i="11" s="1"/>
  <c r="AE8" i="6"/>
  <c r="AB8" i="11" s="1"/>
  <c r="AE13" i="8"/>
  <c r="AZ13" i="11" s="1"/>
  <c r="AD8" i="6"/>
  <c r="AA8" i="11" s="1"/>
  <c r="AD26" i="6"/>
  <c r="AA26" i="11" s="1"/>
  <c r="AB58" i="9"/>
  <c r="AF58" i="9"/>
  <c r="BM58" i="11" s="1"/>
  <c r="BT42" i="11"/>
  <c r="AD26" i="9"/>
  <c r="BK26" i="11" s="1"/>
  <c r="BT26" i="11"/>
  <c r="AD45" i="8"/>
  <c r="AY45" i="11" s="1"/>
  <c r="AD37" i="8"/>
  <c r="AY37" i="11" s="1"/>
  <c r="AE37" i="8"/>
  <c r="AZ37" i="11" s="1"/>
  <c r="AU53" i="11"/>
  <c r="AE14" i="7"/>
  <c r="AN14" i="11" s="1"/>
  <c r="AD14" i="7"/>
  <c r="AM14" i="11" s="1"/>
  <c r="AF45" i="5"/>
  <c r="Q45" i="11" s="1"/>
  <c r="AE45" i="5"/>
  <c r="P45" i="11" s="1"/>
  <c r="AE23" i="5"/>
  <c r="P23" i="11" s="1"/>
  <c r="AE41" i="8"/>
  <c r="AZ41" i="11" s="1"/>
  <c r="AC41" i="8"/>
  <c r="AX41" i="11" s="1"/>
  <c r="AE38" i="8"/>
  <c r="AZ38" i="11" s="1"/>
  <c r="AC38" i="8"/>
  <c r="AX38" i="11" s="1"/>
  <c r="AC35" i="8"/>
  <c r="AX35" i="11" s="1"/>
  <c r="AE17" i="8"/>
  <c r="AZ17" i="11" s="1"/>
  <c r="AD6" i="8"/>
  <c r="AY6" i="11" s="1"/>
  <c r="AC6" i="8"/>
  <c r="AX6" i="11" s="1"/>
  <c r="AD33" i="7"/>
  <c r="AM33" i="11" s="1"/>
  <c r="AC33" i="7"/>
  <c r="AL33" i="11" s="1"/>
  <c r="AD22" i="7"/>
  <c r="AM22" i="11" s="1"/>
  <c r="AD18" i="7"/>
  <c r="AM18" i="11" s="1"/>
  <c r="AD23" i="6"/>
  <c r="AA23" i="11" s="1"/>
  <c r="AE56" i="5"/>
  <c r="P56" i="11" s="1"/>
  <c r="AD56" i="5"/>
  <c r="O56" i="11" s="1"/>
  <c r="AD41" i="8"/>
  <c r="AY41" i="11" s="1"/>
  <c r="BI41" i="11"/>
  <c r="AE18" i="7"/>
  <c r="AN18" i="11" s="1"/>
  <c r="AC19" i="6"/>
  <c r="Z19" i="11" s="1"/>
  <c r="AE52" i="5"/>
  <c r="P52" i="11" s="1"/>
  <c r="AF41" i="9"/>
  <c r="BM41" i="11" s="1"/>
  <c r="AF33" i="9"/>
  <c r="BM33" i="11" s="1"/>
  <c r="M24" i="8"/>
  <c r="AF4" i="9"/>
  <c r="BM4" i="11" s="1"/>
  <c r="AF17" i="9"/>
  <c r="BM17" i="11" s="1"/>
  <c r="BR29" i="11"/>
  <c r="AT44" i="11"/>
  <c r="BU49" i="11"/>
  <c r="BR25" i="11"/>
  <c r="BT29" i="11"/>
  <c r="AF9" i="5"/>
  <c r="Q9" i="11" s="1"/>
  <c r="AF26" i="6"/>
  <c r="AC26" i="11" s="1"/>
  <c r="AE31" i="5"/>
  <c r="P31" i="11" s="1"/>
  <c r="G24" i="9"/>
  <c r="AC50" i="5"/>
  <c r="N50" i="11" s="1"/>
  <c r="K28" i="7"/>
  <c r="M30" i="7"/>
  <c r="K32" i="7"/>
  <c r="K23" i="7"/>
  <c r="K31" i="7"/>
  <c r="K33" i="7"/>
  <c r="K5" i="7"/>
  <c r="K7" i="7"/>
  <c r="M9" i="7"/>
  <c r="G11" i="7"/>
  <c r="M13" i="7"/>
  <c r="G15" i="7"/>
  <c r="AD41" i="7" s="1"/>
  <c r="AM41" i="11" s="1"/>
  <c r="G6" i="7"/>
  <c r="M10" i="7"/>
  <c r="K12" i="7"/>
  <c r="K16" i="7"/>
  <c r="K40" i="11"/>
  <c r="K18" i="11"/>
  <c r="J18" i="11"/>
  <c r="AF15" i="8"/>
  <c r="BA15" i="11" s="1"/>
  <c r="AF56" i="8"/>
  <c r="BA56" i="11" s="1"/>
  <c r="AF30" i="8"/>
  <c r="BA30" i="11" s="1"/>
  <c r="AF41" i="8"/>
  <c r="BA41" i="11" s="1"/>
  <c r="AF44" i="8"/>
  <c r="BA44" i="11" s="1"/>
  <c r="AE36" i="8"/>
  <c r="AZ36" i="11" s="1"/>
  <c r="AF6" i="8"/>
  <c r="BA6" i="11" s="1"/>
  <c r="AF8" i="8"/>
  <c r="BA8" i="11" s="1"/>
  <c r="AF34" i="8"/>
  <c r="BA34" i="11" s="1"/>
  <c r="AF13" i="8"/>
  <c r="BA13" i="11" s="1"/>
  <c r="AF40" i="8"/>
  <c r="BA40" i="11" s="1"/>
  <c r="AF45" i="8"/>
  <c r="BA45" i="11" s="1"/>
  <c r="AF36" i="8"/>
  <c r="BA36" i="11" s="1"/>
  <c r="AF20" i="8"/>
  <c r="BA20" i="11" s="1"/>
  <c r="AF18" i="8"/>
  <c r="BA18" i="11" s="1"/>
  <c r="AF17" i="8"/>
  <c r="BA17" i="11" s="1"/>
  <c r="AF33" i="8"/>
  <c r="BA33" i="11" s="1"/>
  <c r="AF38" i="8"/>
  <c r="BA38" i="11" s="1"/>
  <c r="AF52" i="8"/>
  <c r="BA52" i="11" s="1"/>
  <c r="AF35" i="8"/>
  <c r="BA35" i="11" s="1"/>
  <c r="AF12" i="8"/>
  <c r="BA12" i="11" s="1"/>
  <c r="AF13" i="7"/>
  <c r="AO13" i="11" s="1"/>
  <c r="AF39" i="7"/>
  <c r="AO39" i="11" s="1"/>
  <c r="AF55" i="7"/>
  <c r="AO55" i="11" s="1"/>
  <c r="AF52" i="7"/>
  <c r="AO52" i="11" s="1"/>
  <c r="AF38" i="7"/>
  <c r="AO38" i="11" s="1"/>
  <c r="AF32" i="7"/>
  <c r="AO32" i="11" s="1"/>
  <c r="AF4" i="7"/>
  <c r="AO4" i="11" s="1"/>
  <c r="AC13" i="7"/>
  <c r="AL13" i="11" s="1"/>
  <c r="AC45" i="7"/>
  <c r="AL45" i="11" s="1"/>
  <c r="AF17" i="7"/>
  <c r="AO17" i="11" s="1"/>
  <c r="AF31" i="7"/>
  <c r="AO31" i="11" s="1"/>
  <c r="AF40" i="7"/>
  <c r="AO40" i="11" s="1"/>
  <c r="AF33" i="7"/>
  <c r="AO33" i="11" s="1"/>
  <c r="AF18" i="7"/>
  <c r="AO18" i="11" s="1"/>
  <c r="AF54" i="7"/>
  <c r="AO54" i="11" s="1"/>
  <c r="AF8" i="7"/>
  <c r="AO8" i="11" s="1"/>
  <c r="AC54" i="7"/>
  <c r="AL54" i="11" s="1"/>
  <c r="AF35" i="6"/>
  <c r="AC35" i="11" s="1"/>
  <c r="AF41" i="6"/>
  <c r="AC41" i="11" s="1"/>
  <c r="AF25" i="6"/>
  <c r="AC25" i="11" s="1"/>
  <c r="AF6" i="6"/>
  <c r="AC6" i="11" s="1"/>
  <c r="AF38" i="6"/>
  <c r="AC38" i="11" s="1"/>
  <c r="AF55" i="6"/>
  <c r="AC55" i="11" s="1"/>
  <c r="AF27" i="6"/>
  <c r="AC27" i="11" s="1"/>
  <c r="AF45" i="6"/>
  <c r="AC45" i="11" s="1"/>
  <c r="AF43" i="6"/>
  <c r="AC43" i="11" s="1"/>
  <c r="AF8" i="6"/>
  <c r="AC8" i="11" s="1"/>
  <c r="AF33" i="6"/>
  <c r="AC33" i="11" s="1"/>
  <c r="AF18" i="6"/>
  <c r="AC18" i="11" s="1"/>
  <c r="AF46" i="6"/>
  <c r="AC46" i="11" s="1"/>
  <c r="AF28" i="6"/>
  <c r="AC28" i="11" s="1"/>
  <c r="AF4" i="6"/>
  <c r="AC4" i="11" s="1"/>
  <c r="AF12" i="6"/>
  <c r="AC12" i="11" s="1"/>
  <c r="AF42" i="6"/>
  <c r="AC42" i="11" s="1"/>
  <c r="AF17" i="6"/>
  <c r="AC17" i="11" s="1"/>
  <c r="AF13" i="6"/>
  <c r="AC13" i="11" s="1"/>
  <c r="AF30" i="6"/>
  <c r="AC30" i="11" s="1"/>
  <c r="AF54" i="6"/>
  <c r="AC54" i="11" s="1"/>
  <c r="AF40" i="6"/>
  <c r="AC40" i="11" s="1"/>
  <c r="AE59" i="6"/>
  <c r="AF50" i="5"/>
  <c r="Q50" i="11" s="1"/>
  <c r="AF10" i="5"/>
  <c r="Q10" i="11" s="1"/>
  <c r="AF32" i="5"/>
  <c r="Q32" i="11" s="1"/>
  <c r="AF57" i="5"/>
  <c r="Q57" i="11" s="1"/>
  <c r="AF54" i="5"/>
  <c r="Q54" i="11" s="1"/>
  <c r="AF38" i="5"/>
  <c r="Q38" i="11" s="1"/>
  <c r="AF40" i="5"/>
  <c r="Q40" i="11" s="1"/>
  <c r="AF55" i="5"/>
  <c r="Q55" i="11" s="1"/>
  <c r="AF12" i="5"/>
  <c r="Q12" i="11" s="1"/>
  <c r="AF43" i="5"/>
  <c r="Q43" i="11" s="1"/>
  <c r="AF49" i="5"/>
  <c r="Q49" i="11" s="1"/>
  <c r="AF13" i="5"/>
  <c r="Q13" i="11" s="1"/>
  <c r="AF44" i="5"/>
  <c r="Q44" i="11" s="1"/>
  <c r="AF46" i="5"/>
  <c r="Q46" i="11" s="1"/>
  <c r="AF33" i="5"/>
  <c r="Q33" i="11" s="1"/>
  <c r="AF7" i="5"/>
  <c r="Q7" i="11" s="1"/>
  <c r="AF18" i="5"/>
  <c r="Q18" i="11" s="1"/>
  <c r="AF35" i="5"/>
  <c r="Q35" i="11" s="1"/>
  <c r="AF4" i="5"/>
  <c r="Q4" i="11" s="1"/>
  <c r="AF8" i="5"/>
  <c r="Q8" i="11" s="1"/>
  <c r="AF24" i="5"/>
  <c r="Q24" i="11" s="1"/>
  <c r="AC55" i="9"/>
  <c r="BJ55" i="11" s="1"/>
  <c r="AC45" i="9"/>
  <c r="BJ45" i="11" s="1"/>
  <c r="AC58" i="9"/>
  <c r="BJ58" i="11" s="1"/>
  <c r="AC34" i="9"/>
  <c r="BJ34" i="11" s="1"/>
  <c r="AC18" i="9"/>
  <c r="BJ18" i="11" s="1"/>
  <c r="AC17" i="9"/>
  <c r="BJ17" i="11" s="1"/>
  <c r="AC52" i="9"/>
  <c r="BJ52" i="11" s="1"/>
  <c r="AC4" i="9"/>
  <c r="BJ4" i="11" s="1"/>
  <c r="AC33" i="9"/>
  <c r="BJ33" i="11" s="1"/>
  <c r="AC50" i="9"/>
  <c r="BJ50" i="11" s="1"/>
  <c r="AC30" i="9"/>
  <c r="BJ30" i="11" s="1"/>
  <c r="AC14" i="9"/>
  <c r="BJ14" i="11" s="1"/>
  <c r="AC7" i="9"/>
  <c r="BJ7" i="11" s="1"/>
  <c r="AC40" i="9"/>
  <c r="BJ40" i="11" s="1"/>
  <c r="AC20" i="9"/>
  <c r="BJ20" i="11" s="1"/>
  <c r="AC49" i="9"/>
  <c r="BJ49" i="11" s="1"/>
  <c r="AC13" i="9"/>
  <c r="BJ13" i="11" s="1"/>
  <c r="AC46" i="9"/>
  <c r="BJ46" i="11" s="1"/>
  <c r="AC26" i="9"/>
  <c r="BJ26" i="11" s="1"/>
  <c r="AC12" i="9"/>
  <c r="BJ12" i="11" s="1"/>
  <c r="AC54" i="9"/>
  <c r="BJ54" i="11" s="1"/>
  <c r="AC35" i="9"/>
  <c r="BJ35" i="11" s="1"/>
  <c r="K24" i="8"/>
  <c r="E24" i="8"/>
  <c r="F50" i="11"/>
  <c r="H42" i="11"/>
  <c r="BT24" i="11"/>
  <c r="AD24" i="5"/>
  <c r="O24" i="11" s="1"/>
  <c r="AF24" i="7"/>
  <c r="AO24" i="11" s="1"/>
  <c r="BU24" i="11"/>
  <c r="AC30" i="5"/>
  <c r="N30" i="11" s="1"/>
  <c r="AC11" i="5"/>
  <c r="N11" i="11" s="1"/>
  <c r="AC33" i="5"/>
  <c r="N33" i="11" s="1"/>
  <c r="AC31" i="5"/>
  <c r="N31" i="11" s="1"/>
  <c r="AC35" i="5"/>
  <c r="N35" i="11" s="1"/>
  <c r="AC6" i="5"/>
  <c r="N6" i="11" s="1"/>
  <c r="AC58" i="5"/>
  <c r="N58" i="11" s="1"/>
  <c r="AC24" i="5"/>
  <c r="N24" i="11" s="1"/>
  <c r="AC39" i="5"/>
  <c r="N39" i="11" s="1"/>
  <c r="AC4" i="5"/>
  <c r="N4" i="11" s="1"/>
  <c r="AC53" i="5"/>
  <c r="N53" i="11" s="1"/>
  <c r="AC42" i="5"/>
  <c r="N42" i="11" s="1"/>
  <c r="AC54" i="5"/>
  <c r="N54" i="11" s="1"/>
  <c r="AC29" i="5"/>
  <c r="N29" i="11" s="1"/>
  <c r="AC8" i="5"/>
  <c r="N8" i="11" s="1"/>
  <c r="AC26" i="5"/>
  <c r="N26" i="11" s="1"/>
  <c r="AC55" i="5"/>
  <c r="N55" i="11" s="1"/>
  <c r="AC37" i="5"/>
  <c r="N37" i="11" s="1"/>
  <c r="AC45" i="5"/>
  <c r="N45" i="11" s="1"/>
  <c r="AC14" i="5"/>
  <c r="N14" i="11" s="1"/>
  <c r="AC7" i="5"/>
  <c r="N7" i="11" s="1"/>
  <c r="AC13" i="5"/>
  <c r="N13" i="11" s="1"/>
  <c r="AC34" i="5"/>
  <c r="N34" i="11" s="1"/>
  <c r="AC12" i="5"/>
  <c r="N12" i="11" s="1"/>
  <c r="AC38" i="5"/>
  <c r="N38" i="11" s="1"/>
  <c r="AC18" i="5"/>
  <c r="N18" i="11" s="1"/>
  <c r="AC51" i="5"/>
  <c r="N51" i="11" s="1"/>
  <c r="AG24" i="11"/>
  <c r="AD24" i="6"/>
  <c r="AA24" i="11" s="1"/>
  <c r="D24" i="4"/>
  <c r="AD50" i="9"/>
  <c r="BK50" i="11" s="1"/>
  <c r="AF36" i="5"/>
  <c r="Q36" i="11" s="1"/>
  <c r="M23" i="7"/>
  <c r="G22" i="7"/>
  <c r="G12" i="7"/>
  <c r="E14" i="7"/>
  <c r="M5" i="7"/>
  <c r="K11" i="7"/>
  <c r="M15" i="7"/>
  <c r="K6" i="7"/>
  <c r="K13" i="7"/>
  <c r="G21" i="8"/>
  <c r="K22" i="8"/>
  <c r="AF39" i="8"/>
  <c r="BA39" i="11" s="1"/>
  <c r="AD48" i="8"/>
  <c r="AY48" i="11" s="1"/>
  <c r="E21" i="9"/>
  <c r="E23" i="9"/>
  <c r="G25" i="9"/>
  <c r="K22" i="9"/>
  <c r="G28" i="9"/>
  <c r="AD36" i="9"/>
  <c r="BK36" i="11" s="1"/>
  <c r="AF31" i="8"/>
  <c r="BA31" i="11" s="1"/>
  <c r="AD10" i="5"/>
  <c r="O10" i="11" s="1"/>
  <c r="AF23" i="8"/>
  <c r="BA23" i="11" s="1"/>
  <c r="AF52" i="5"/>
  <c r="Q52" i="11" s="1"/>
  <c r="AF52" i="6"/>
  <c r="AC52" i="11" s="1"/>
  <c r="E13" i="7"/>
  <c r="AE48" i="6"/>
  <c r="AB48" i="11" s="1"/>
  <c r="AE12" i="5"/>
  <c r="P12" i="11" s="1"/>
  <c r="AE12" i="7"/>
  <c r="AN12" i="11" s="1"/>
  <c r="AC36" i="9"/>
  <c r="BJ36" i="11" s="1"/>
  <c r="G16" i="7"/>
  <c r="M16" i="7"/>
  <c r="E16" i="7"/>
  <c r="AC49" i="5"/>
  <c r="N49" i="11" s="1"/>
  <c r="AE52" i="6"/>
  <c r="AB52" i="11" s="1"/>
  <c r="AD22" i="8"/>
  <c r="AY22" i="11" s="1"/>
  <c r="AE48" i="5"/>
  <c r="P48" i="11" s="1"/>
  <c r="AC25" i="9"/>
  <c r="BJ25" i="11" s="1"/>
  <c r="E15" i="7"/>
  <c r="AC21" i="7" s="1"/>
  <c r="AL21" i="11" s="1"/>
  <c r="K15" i="7"/>
  <c r="AE36" i="5"/>
  <c r="P36" i="11" s="1"/>
  <c r="AC36" i="6"/>
  <c r="Z36" i="11" s="1"/>
  <c r="AC48" i="9"/>
  <c r="BJ48" i="11" s="1"/>
  <c r="K14" i="7"/>
  <c r="M14" i="7"/>
  <c r="AD31" i="9"/>
  <c r="BK31" i="11" s="1"/>
  <c r="AF22" i="6"/>
  <c r="AC22" i="11" s="1"/>
  <c r="AC48" i="8"/>
  <c r="AX48" i="11" s="1"/>
  <c r="G14" i="7"/>
  <c r="AF48" i="6"/>
  <c r="AC48" i="11" s="1"/>
  <c r="G13" i="7"/>
  <c r="AD31" i="6"/>
  <c r="AA31" i="11" s="1"/>
  <c r="AC31" i="9"/>
  <c r="BJ31" i="11" s="1"/>
  <c r="M12" i="7"/>
  <c r="AF31" i="5"/>
  <c r="Q31" i="11" s="1"/>
  <c r="AE16" i="6"/>
  <c r="AB16" i="11" s="1"/>
  <c r="AE31" i="8"/>
  <c r="AZ31" i="11" s="1"/>
  <c r="AD52" i="9"/>
  <c r="BK52" i="11" s="1"/>
  <c r="E12" i="7"/>
  <c r="AF23" i="5"/>
  <c r="Q23" i="11" s="1"/>
  <c r="AE25" i="6"/>
  <c r="AB25" i="11" s="1"/>
  <c r="AE25" i="7"/>
  <c r="AN25" i="11" s="1"/>
  <c r="AC36" i="8"/>
  <c r="AX36" i="11" s="1"/>
  <c r="AC36" i="5"/>
  <c r="N36" i="11" s="1"/>
  <c r="AD36" i="7"/>
  <c r="AM36" i="11" s="1"/>
  <c r="AE11" i="9"/>
  <c r="BL11" i="11" s="1"/>
  <c r="E11" i="7"/>
  <c r="M11" i="7"/>
  <c r="AE57" i="5"/>
  <c r="P57" i="11" s="1"/>
  <c r="AC57" i="9"/>
  <c r="BJ57" i="11" s="1"/>
  <c r="E10" i="7"/>
  <c r="K10" i="7"/>
  <c r="G10" i="7"/>
  <c r="AC57" i="6"/>
  <c r="Z57" i="11" s="1"/>
  <c r="AE59" i="8"/>
  <c r="AF48" i="5"/>
  <c r="Q48" i="11" s="1"/>
  <c r="AF49" i="6"/>
  <c r="AC49" i="11" s="1"/>
  <c r="AF34" i="7"/>
  <c r="AO34" i="11" s="1"/>
  <c r="AD57" i="8"/>
  <c r="AY57" i="11" s="1"/>
  <c r="AD49" i="9"/>
  <c r="BK49" i="11" s="1"/>
  <c r="E9" i="7"/>
  <c r="K9" i="7"/>
  <c r="G9" i="7"/>
  <c r="K8" i="7"/>
  <c r="AE36" i="9"/>
  <c r="BL36" i="11" s="1"/>
  <c r="AC28" i="5"/>
  <c r="N28" i="11" s="1"/>
  <c r="AE52" i="8"/>
  <c r="AZ52" i="11" s="1"/>
  <c r="AE28" i="6"/>
  <c r="AB28" i="11" s="1"/>
  <c r="AE16" i="7"/>
  <c r="AN16" i="11" s="1"/>
  <c r="AC22" i="8"/>
  <c r="AX22" i="11" s="1"/>
  <c r="G8" i="7"/>
  <c r="M8" i="7"/>
  <c r="E8" i="7"/>
  <c r="AD59" i="6"/>
  <c r="AE49" i="5"/>
  <c r="P49" i="11" s="1"/>
  <c r="AE56" i="6"/>
  <c r="AB56" i="11" s="1"/>
  <c r="G7" i="7"/>
  <c r="M7" i="7"/>
  <c r="E7" i="7"/>
  <c r="AF57" i="8"/>
  <c r="BA57" i="11" s="1"/>
  <c r="AF16" i="6"/>
  <c r="AC16" i="11" s="1"/>
  <c r="AC59" i="6"/>
  <c r="AD34" i="7"/>
  <c r="AM34" i="11" s="1"/>
  <c r="AE6" i="8"/>
  <c r="AZ6" i="11" s="1"/>
  <c r="E6" i="7"/>
  <c r="AC9" i="5"/>
  <c r="M6" i="7"/>
  <c r="E5" i="7"/>
  <c r="G5" i="7"/>
  <c r="G33" i="8"/>
  <c r="E33" i="9"/>
  <c r="G33" i="7"/>
  <c r="E32" i="8"/>
  <c r="E32" i="9"/>
  <c r="G31" i="7"/>
  <c r="K31" i="8"/>
  <c r="E31" i="9"/>
  <c r="E31" i="8"/>
  <c r="K30" i="7"/>
  <c r="M30" i="8"/>
  <c r="E30" i="9"/>
  <c r="E30" i="8"/>
  <c r="G30" i="9"/>
  <c r="K29" i="7"/>
  <c r="E29" i="8"/>
  <c r="M29" i="8"/>
  <c r="AJ41" i="8" s="1"/>
  <c r="G29" i="8"/>
  <c r="G29" i="9"/>
  <c r="M29" i="7"/>
  <c r="E26" i="8"/>
  <c r="M26" i="8"/>
  <c r="K26" i="9"/>
  <c r="E25" i="9"/>
  <c r="M22" i="8"/>
  <c r="M22" i="7"/>
  <c r="E23" i="8"/>
  <c r="K23" i="8"/>
  <c r="K23" i="9"/>
  <c r="M21" i="7"/>
  <c r="M21" i="8"/>
  <c r="E21" i="8"/>
  <c r="BT46" i="11"/>
  <c r="BT14" i="11"/>
  <c r="Y44" i="2"/>
  <c r="AB5" i="2"/>
  <c r="Y17" i="2"/>
  <c r="Y52" i="2"/>
  <c r="Y33" i="2"/>
  <c r="AB40" i="2"/>
  <c r="Y43" i="2"/>
  <c r="Y16" i="2"/>
  <c r="Y40" i="2"/>
  <c r="Y54" i="2"/>
  <c r="Y28" i="2"/>
  <c r="AB54" i="2"/>
  <c r="BT8" i="11"/>
  <c r="Y35" i="2"/>
  <c r="Y19" i="2"/>
  <c r="Y6" i="2"/>
  <c r="Y53" i="2"/>
  <c r="Y29" i="2"/>
  <c r="AB21" i="2"/>
  <c r="Y51" i="2"/>
  <c r="AA30" i="2"/>
  <c r="Y12" i="2"/>
  <c r="Y34" i="2"/>
  <c r="AA39" i="2"/>
  <c r="AA26" i="2"/>
  <c r="AA21" i="2"/>
  <c r="AA5" i="2"/>
  <c r="AA55" i="2"/>
  <c r="AB10" i="2"/>
  <c r="AB52" i="2"/>
  <c r="AB4" i="2"/>
  <c r="AB26" i="2"/>
  <c r="Y27" i="2"/>
  <c r="Y48" i="2"/>
  <c r="Y5" i="2"/>
  <c r="Y32" i="2"/>
  <c r="Y7" i="2"/>
  <c r="AA12" i="2"/>
  <c r="Y14" i="2"/>
  <c r="Y15" i="2"/>
  <c r="AA53" i="2"/>
  <c r="Y56" i="2"/>
  <c r="Y50" i="2"/>
  <c r="AA23" i="2"/>
  <c r="Y31" i="2"/>
  <c r="Y13" i="2"/>
  <c r="Y36" i="2"/>
  <c r="Y37" i="2"/>
  <c r="Y26" i="2"/>
  <c r="Y46" i="2"/>
  <c r="Y10" i="2"/>
  <c r="AA33" i="2"/>
  <c r="Y20" i="2"/>
  <c r="Y41" i="2"/>
  <c r="AB35" i="2"/>
  <c r="Z39" i="2"/>
  <c r="Y21" i="2"/>
  <c r="Y45" i="2"/>
  <c r="Y22" i="2"/>
  <c r="AB29" i="2"/>
  <c r="Z31" i="2"/>
  <c r="Y25" i="2"/>
  <c r="Y30" i="2"/>
  <c r="AB15" i="2"/>
  <c r="AB48" i="2"/>
  <c r="Z20" i="2"/>
  <c r="Z17" i="2"/>
  <c r="AA54" i="2"/>
  <c r="AA49" i="2"/>
  <c r="AA27" i="2"/>
  <c r="AA9" i="2"/>
  <c r="AA42" i="2"/>
  <c r="AA43" i="2"/>
  <c r="AA15" i="2"/>
  <c r="AA14" i="2"/>
  <c r="Z28" i="2"/>
  <c r="AA40" i="2"/>
  <c r="AA36" i="2"/>
  <c r="AA41" i="2"/>
  <c r="AA8" i="2"/>
  <c r="Z22" i="2"/>
  <c r="Z50" i="2"/>
  <c r="AA18" i="2"/>
  <c r="AA11" i="2"/>
  <c r="Z33" i="2"/>
  <c r="AA24" i="2"/>
  <c r="AA38" i="2"/>
  <c r="Z19" i="2"/>
  <c r="AA56" i="2"/>
  <c r="AB53" i="2"/>
  <c r="AB36" i="2"/>
  <c r="AB20" i="2"/>
  <c r="AB11" i="2"/>
  <c r="Z45" i="2"/>
  <c r="AA4" i="2"/>
  <c r="AA51" i="2"/>
  <c r="AA6" i="2"/>
  <c r="AA25" i="2"/>
  <c r="AA46" i="2"/>
  <c r="AA19" i="2"/>
  <c r="AA34" i="2"/>
  <c r="AA47" i="2"/>
  <c r="AA32" i="2"/>
  <c r="AA17" i="2"/>
  <c r="AA48" i="2"/>
  <c r="AA35" i="2"/>
  <c r="AA20" i="2"/>
  <c r="Z4" i="2"/>
  <c r="AA52" i="2"/>
  <c r="AA10" i="2"/>
  <c r="AA29" i="2"/>
  <c r="Z13" i="2"/>
  <c r="Y8" i="2"/>
  <c r="Y23" i="2"/>
  <c r="Y38" i="2"/>
  <c r="AA7" i="2"/>
  <c r="AA22" i="2"/>
  <c r="AA37" i="2"/>
  <c r="Z14" i="2"/>
  <c r="Y9" i="2"/>
  <c r="Y24" i="2"/>
  <c r="Y42" i="2"/>
  <c r="Y47" i="2"/>
  <c r="AA45" i="2"/>
  <c r="AA28" i="2"/>
  <c r="AA13" i="2"/>
  <c r="AA44" i="2"/>
  <c r="AA31" i="2"/>
  <c r="AA16" i="2"/>
  <c r="Y11" i="2"/>
  <c r="Z35" i="2"/>
  <c r="Z47" i="2"/>
  <c r="Y39" i="2"/>
  <c r="Y18" i="2"/>
  <c r="Y4" i="2"/>
  <c r="AA50" i="2"/>
  <c r="Z51" i="2"/>
  <c r="Y49" i="2"/>
  <c r="Y55" i="2"/>
  <c r="AB8" i="2"/>
  <c r="AB23" i="2"/>
  <c r="AB38" i="2"/>
  <c r="AB46" i="2"/>
  <c r="AB25" i="2"/>
  <c r="AB6" i="2"/>
  <c r="AB32" i="2"/>
  <c r="AB17" i="2"/>
  <c r="AB51" i="2"/>
  <c r="AB55" i="2"/>
  <c r="AB50" i="2"/>
  <c r="V7" i="2"/>
  <c r="H7" i="4" s="1"/>
  <c r="AB30" i="2"/>
  <c r="AB43" i="2"/>
  <c r="AB19" i="2"/>
  <c r="AB34" i="2"/>
  <c r="AB47" i="2"/>
  <c r="AB12" i="2"/>
  <c r="AB27" i="2"/>
  <c r="AB41" i="2"/>
  <c r="AB7" i="2"/>
  <c r="AB39" i="2"/>
  <c r="AB18" i="2"/>
  <c r="AB45" i="2"/>
  <c r="AB28" i="2"/>
  <c r="AB13" i="2"/>
  <c r="AB56" i="2"/>
  <c r="AB22" i="2"/>
  <c r="AB37" i="2"/>
  <c r="AB16" i="2"/>
  <c r="AB31" i="2"/>
  <c r="AB44" i="2"/>
  <c r="AB33" i="2"/>
  <c r="AB14" i="2"/>
  <c r="AB42" i="2"/>
  <c r="AB24" i="2"/>
  <c r="AB9" i="2"/>
  <c r="AB49" i="2"/>
  <c r="V5" i="2"/>
  <c r="H5" i="4" s="1"/>
  <c r="V6" i="2"/>
  <c r="H6" i="4" s="1"/>
  <c r="Z55" i="2"/>
  <c r="Z53" i="2"/>
  <c r="Z52" i="2"/>
  <c r="V4" i="2"/>
  <c r="H4" i="4" s="1"/>
  <c r="Z11" i="2"/>
  <c r="Z26" i="2"/>
  <c r="Z40" i="2"/>
  <c r="Z8" i="2"/>
  <c r="Z23" i="2"/>
  <c r="Z38" i="2"/>
  <c r="Z29" i="2"/>
  <c r="Z10" i="2"/>
  <c r="Z42" i="2"/>
  <c r="Z24" i="2"/>
  <c r="Z9" i="2"/>
  <c r="V8" i="2"/>
  <c r="H8" i="4" s="1"/>
  <c r="Z56" i="2"/>
  <c r="Z54" i="2"/>
  <c r="Z49" i="2"/>
  <c r="Z15" i="2"/>
  <c r="Z30" i="2"/>
  <c r="Z43" i="2"/>
  <c r="Z12" i="2"/>
  <c r="Z27" i="2"/>
  <c r="Z41" i="2"/>
  <c r="Z48" i="2"/>
  <c r="Z46" i="2"/>
  <c r="Z25" i="2"/>
  <c r="Z6" i="2"/>
  <c r="Z36" i="2"/>
  <c r="Z21" i="2"/>
  <c r="Z5" i="2"/>
  <c r="Z37" i="2"/>
  <c r="Z7" i="2"/>
  <c r="Z32" i="2"/>
  <c r="Z18" i="2"/>
  <c r="Z44" i="2"/>
  <c r="Z16" i="2"/>
  <c r="Z34" i="2"/>
  <c r="AF57" i="9"/>
  <c r="BM57" i="11" s="1"/>
  <c r="BU57" i="11"/>
  <c r="AU20" i="11"/>
  <c r="AF59" i="9"/>
  <c r="AB59" i="9"/>
  <c r="AD4" i="7"/>
  <c r="AM4" i="11" s="1"/>
  <c r="AE4" i="7"/>
  <c r="AN4" i="11" s="1"/>
  <c r="AD40" i="6"/>
  <c r="AA40" i="11" s="1"/>
  <c r="AD35" i="8"/>
  <c r="AY35" i="11" s="1"/>
  <c r="AF54" i="9"/>
  <c r="BM54" i="11" s="1"/>
  <c r="AD20" i="7"/>
  <c r="AM20" i="11" s="1"/>
  <c r="AE40" i="6"/>
  <c r="AB40" i="11" s="1"/>
  <c r="AD57" i="9"/>
  <c r="BK57" i="11" s="1"/>
  <c r="AD25" i="8"/>
  <c r="AY25" i="11" s="1"/>
  <c r="AE35" i="8"/>
  <c r="AZ35" i="11" s="1"/>
  <c r="AT48" i="11"/>
  <c r="AU8" i="11"/>
  <c r="AF50" i="9"/>
  <c r="BM50" i="11" s="1"/>
  <c r="BU46" i="11"/>
  <c r="AF42" i="9"/>
  <c r="BM42" i="11" s="1"/>
  <c r="BU42" i="11"/>
  <c r="AF38" i="9"/>
  <c r="BM38" i="11" s="1"/>
  <c r="BT38" i="11"/>
  <c r="AF34" i="9"/>
  <c r="BM34" i="11" s="1"/>
  <c r="BU30" i="11"/>
  <c r="AF26" i="9"/>
  <c r="BM26" i="11" s="1"/>
  <c r="AF22" i="9"/>
  <c r="BM22" i="11" s="1"/>
  <c r="AF18" i="9"/>
  <c r="BM18" i="11" s="1"/>
  <c r="AF14" i="9"/>
  <c r="BM14" i="11" s="1"/>
  <c r="BU10" i="11"/>
  <c r="BT10" i="11"/>
  <c r="AF6" i="9"/>
  <c r="BM6" i="11" s="1"/>
  <c r="BU6" i="11"/>
  <c r="AD59" i="9"/>
  <c r="BT56" i="11"/>
  <c r="BU21" i="11"/>
  <c r="BU33" i="11"/>
  <c r="AF49" i="9"/>
  <c r="BM49" i="11" s="1"/>
  <c r="AL48" i="6" l="1"/>
  <c r="AI48" i="11" s="1"/>
  <c r="AL18" i="6"/>
  <c r="AI18" i="11" s="1"/>
  <c r="AD56" i="9"/>
  <c r="BK56" i="11" s="1"/>
  <c r="AM13" i="5"/>
  <c r="X13" i="11" s="1"/>
  <c r="AM58" i="5"/>
  <c r="X58" i="11" s="1"/>
  <c r="AL10" i="8"/>
  <c r="BG10" i="11" s="1"/>
  <c r="AN35" i="7"/>
  <c r="AW35" i="11" s="1"/>
  <c r="AK58" i="6"/>
  <c r="AH58" i="11" s="1"/>
  <c r="AG23" i="8"/>
  <c r="BB23" i="11" s="1"/>
  <c r="AK54" i="6"/>
  <c r="AH54" i="11" s="1"/>
  <c r="AM55" i="7"/>
  <c r="AV55" i="11" s="1"/>
  <c r="AM18" i="7"/>
  <c r="AV18" i="11" s="1"/>
  <c r="AM38" i="8"/>
  <c r="BH38" i="11" s="1"/>
  <c r="AN58" i="8"/>
  <c r="AL39" i="8"/>
  <c r="BG39" i="11" s="1"/>
  <c r="AN30" i="7"/>
  <c r="AW30" i="11" s="1"/>
  <c r="AD15" i="8"/>
  <c r="AY15" i="11" s="1"/>
  <c r="AC19" i="7"/>
  <c r="AL19" i="11" s="1"/>
  <c r="AA21" i="10"/>
  <c r="AW21" i="10"/>
  <c r="BE21" i="10"/>
  <c r="AT21" i="10"/>
  <c r="BN23" i="10"/>
  <c r="BC23" i="10"/>
  <c r="AG6" i="8"/>
  <c r="BB6" i="11" s="1"/>
  <c r="AL23" i="10"/>
  <c r="AA23" i="10"/>
  <c r="AT22" i="10"/>
  <c r="BH25" i="10"/>
  <c r="AI52" i="9"/>
  <c r="BP52" i="11" s="1"/>
  <c r="BE26" i="10"/>
  <c r="AW26" i="10"/>
  <c r="AG59" i="7"/>
  <c r="AT29" i="10"/>
  <c r="AG29" i="10"/>
  <c r="BJ29" i="10"/>
  <c r="AY29" i="10"/>
  <c r="X29" i="10"/>
  <c r="AJ27" i="8"/>
  <c r="BE27" i="11" s="1"/>
  <c r="AR29" i="10"/>
  <c r="BJ30" i="10"/>
  <c r="AG22" i="7"/>
  <c r="R30" i="10"/>
  <c r="BH30" i="10"/>
  <c r="AJ28" i="8"/>
  <c r="BE28" i="11" s="1"/>
  <c r="AI34" i="7"/>
  <c r="AR34" i="11" s="1"/>
  <c r="AG30" i="10"/>
  <c r="X30" i="10"/>
  <c r="AL31" i="10"/>
  <c r="AW31" i="10"/>
  <c r="AH9" i="6"/>
  <c r="AE9" i="11" s="1"/>
  <c r="AH25" i="5"/>
  <c r="S25" i="11" s="1"/>
  <c r="AG12" i="9"/>
  <c r="BN12" i="11" s="1"/>
  <c r="BC31" i="10"/>
  <c r="AJ50" i="5"/>
  <c r="U50" i="11" s="1"/>
  <c r="P31" i="10"/>
  <c r="BH32" i="10"/>
  <c r="AW32" i="10"/>
  <c r="X32" i="10"/>
  <c r="R32" i="10"/>
  <c r="AH56" i="7"/>
  <c r="AQ56" i="11" s="1"/>
  <c r="AI34" i="5"/>
  <c r="T34" i="11" s="1"/>
  <c r="BH33" i="10"/>
  <c r="AA33" i="10"/>
  <c r="AN5" i="10"/>
  <c r="AF19" i="7"/>
  <c r="AO19" i="11" s="1"/>
  <c r="AN8" i="10"/>
  <c r="AR8" i="10"/>
  <c r="AN9" i="10"/>
  <c r="AR9" i="10"/>
  <c r="AR10" i="10"/>
  <c r="AC51" i="7"/>
  <c r="AL51" i="11" s="1"/>
  <c r="AF29" i="7"/>
  <c r="AO29" i="11" s="1"/>
  <c r="AL12" i="10"/>
  <c r="AT12" i="10"/>
  <c r="AD9" i="7"/>
  <c r="AM9" i="11" s="1"/>
  <c r="AT14" i="10"/>
  <c r="AE44" i="7"/>
  <c r="AN44" i="11" s="1"/>
  <c r="AC41" i="7"/>
  <c r="AL41" i="11" s="1"/>
  <c r="AL16" i="10"/>
  <c r="V22" i="10"/>
  <c r="BJ28" i="10"/>
  <c r="BN22" i="10"/>
  <c r="BJ25" i="10"/>
  <c r="BH23" i="10"/>
  <c r="BH21" i="10"/>
  <c r="BC22" i="10"/>
  <c r="AY21" i="10"/>
  <c r="AR13" i="10"/>
  <c r="AR6" i="10"/>
  <c r="AT15" i="10"/>
  <c r="AR11" i="10"/>
  <c r="AT5" i="10"/>
  <c r="AN12" i="10"/>
  <c r="AN22" i="10"/>
  <c r="AJ6" i="7"/>
  <c r="AN21" i="10"/>
  <c r="AI50" i="6"/>
  <c r="AF50" i="11" s="1"/>
  <c r="AG23" i="10"/>
  <c r="AG21" i="10"/>
  <c r="R24" i="10"/>
  <c r="BC24" i="10"/>
  <c r="AR16" i="10"/>
  <c r="AR12" i="10"/>
  <c r="AT10" i="10"/>
  <c r="AN6" i="10"/>
  <c r="AN15" i="10"/>
  <c r="AT9" i="10"/>
  <c r="AR7" i="10"/>
  <c r="AR5" i="10"/>
  <c r="AR33" i="10"/>
  <c r="AR31" i="10"/>
  <c r="AL29" i="10"/>
  <c r="AR23" i="10"/>
  <c r="AR32" i="10"/>
  <c r="AT30" i="10"/>
  <c r="AR28" i="10"/>
  <c r="AH23" i="9"/>
  <c r="BO23" i="11" s="1"/>
  <c r="X28" i="10"/>
  <c r="X33" i="10"/>
  <c r="R29" i="10"/>
  <c r="V32" i="10"/>
  <c r="V30" i="10"/>
  <c r="AC33" i="10"/>
  <c r="AG31" i="10"/>
  <c r="AA30" i="10"/>
  <c r="BE24" i="10"/>
  <c r="V24" i="10"/>
  <c r="BH28" i="10"/>
  <c r="BH24" i="10"/>
  <c r="BJ22" i="10"/>
  <c r="AT27" i="10"/>
  <c r="AI22" i="7"/>
  <c r="AG22" i="5"/>
  <c r="R22" i="11" s="1"/>
  <c r="P24" i="10"/>
  <c r="BN21" i="10"/>
  <c r="BN33" i="10"/>
  <c r="BH29" i="10"/>
  <c r="AH25" i="7"/>
  <c r="AQ25" i="11" s="1"/>
  <c r="AL27" i="10"/>
  <c r="AN24" i="10"/>
  <c r="AH27" i="5"/>
  <c r="S27" i="11" s="1"/>
  <c r="P22" i="10"/>
  <c r="BH26" i="10"/>
  <c r="AN26" i="10"/>
  <c r="AT26" i="10"/>
  <c r="AL21" i="10"/>
  <c r="BJ32" i="10"/>
  <c r="AL32" i="10"/>
  <c r="AN27" i="10"/>
  <c r="AR25" i="10"/>
  <c r="AR24" i="10"/>
  <c r="X27" i="10"/>
  <c r="AG56" i="5"/>
  <c r="R25" i="10"/>
  <c r="X23" i="10"/>
  <c r="BN31" i="10"/>
  <c r="AI44" i="5"/>
  <c r="T44" i="11" s="1"/>
  <c r="AH28" i="9"/>
  <c r="BO28" i="11" s="1"/>
  <c r="R26" i="10"/>
  <c r="X26" i="10"/>
  <c r="BJ33" i="10"/>
  <c r="BJ31" i="10"/>
  <c r="BN29" i="10"/>
  <c r="BN25" i="10"/>
  <c r="BJ21" i="10"/>
  <c r="BN32" i="10"/>
  <c r="BN30" i="10"/>
  <c r="BH22" i="10"/>
  <c r="AN32" i="10"/>
  <c r="AN30" i="10"/>
  <c r="AR26" i="10"/>
  <c r="AN29" i="10"/>
  <c r="AR27" i="10"/>
  <c r="AN25" i="10"/>
  <c r="AN23" i="10"/>
  <c r="AR21" i="10"/>
  <c r="V27" i="10"/>
  <c r="V25" i="10"/>
  <c r="V23" i="10"/>
  <c r="P30" i="10"/>
  <c r="X24" i="10"/>
  <c r="R22" i="10"/>
  <c r="BC30" i="10"/>
  <c r="BC29" i="10"/>
  <c r="BC16" i="10"/>
  <c r="AY14" i="10"/>
  <c r="BC12" i="10"/>
  <c r="BE12" i="10"/>
  <c r="AC58" i="8"/>
  <c r="AX58" i="11" s="1"/>
  <c r="BE10" i="10"/>
  <c r="AY10" i="10"/>
  <c r="BC8" i="10"/>
  <c r="BE8" i="10"/>
  <c r="AW8" i="10"/>
  <c r="BE6" i="10"/>
  <c r="AW6" i="10"/>
  <c r="AY6" i="10"/>
  <c r="AA15" i="10"/>
  <c r="AG15" i="10"/>
  <c r="AI13" i="10"/>
  <c r="AC13" i="10"/>
  <c r="AG13" i="10"/>
  <c r="AC11" i="10"/>
  <c r="AA9" i="10"/>
  <c r="AI9" i="10"/>
  <c r="AC7" i="10"/>
  <c r="AG7" i="10"/>
  <c r="AA5" i="10"/>
  <c r="AI5" i="10"/>
  <c r="AD53" i="6"/>
  <c r="AA53" i="11" s="1"/>
  <c r="AD34" i="9"/>
  <c r="BK34" i="11" s="1"/>
  <c r="BH14" i="10"/>
  <c r="BH12" i="10"/>
  <c r="AD21" i="9"/>
  <c r="BK21" i="11" s="1"/>
  <c r="BH10" i="10"/>
  <c r="BN8" i="10"/>
  <c r="P16" i="10"/>
  <c r="V16" i="10"/>
  <c r="P14" i="10"/>
  <c r="AD19" i="5"/>
  <c r="O19" i="11" s="1"/>
  <c r="V14" i="10"/>
  <c r="X12" i="10"/>
  <c r="P12" i="10"/>
  <c r="V12" i="10"/>
  <c r="AC41" i="5"/>
  <c r="N41" i="11" s="1"/>
  <c r="P8" i="10"/>
  <c r="V8" i="10"/>
  <c r="AC19" i="5"/>
  <c r="N19" i="11" s="1"/>
  <c r="R6" i="10"/>
  <c r="X6" i="10"/>
  <c r="V6" i="10"/>
  <c r="AE21" i="8"/>
  <c r="AZ21" i="11" s="1"/>
  <c r="BE15" i="10"/>
  <c r="AY15" i="10"/>
  <c r="AE9" i="8"/>
  <c r="BE13" i="10"/>
  <c r="AW13" i="10"/>
  <c r="AD58" i="8"/>
  <c r="AY58" i="11" s="1"/>
  <c r="BC11" i="10"/>
  <c r="BE11" i="10"/>
  <c r="AW11" i="10"/>
  <c r="BC9" i="10"/>
  <c r="AC15" i="8"/>
  <c r="AX15" i="11" s="1"/>
  <c r="AY9" i="10"/>
  <c r="AE29" i="8"/>
  <c r="AZ29" i="11" s="1"/>
  <c r="AY7" i="10"/>
  <c r="BC5" i="10"/>
  <c r="AI16" i="10"/>
  <c r="AG16" i="10"/>
  <c r="AA14" i="10"/>
  <c r="AI12" i="10"/>
  <c r="AC55" i="6"/>
  <c r="Z55" i="11" s="1"/>
  <c r="AC12" i="10"/>
  <c r="AI10" i="10"/>
  <c r="AD56" i="6"/>
  <c r="AA56" i="11" s="1"/>
  <c r="AG10" i="10"/>
  <c r="AI8" i="10"/>
  <c r="AC47" i="6"/>
  <c r="Z47" i="11" s="1"/>
  <c r="AG8" i="10"/>
  <c r="AI6" i="10"/>
  <c r="AA6" i="10"/>
  <c r="AE50" i="6"/>
  <c r="AB50" i="11" s="1"/>
  <c r="BN15" i="10"/>
  <c r="BH15" i="10"/>
  <c r="BJ15" i="10"/>
  <c r="BH13" i="10"/>
  <c r="BJ13" i="10"/>
  <c r="BN13" i="10"/>
  <c r="BN11" i="10"/>
  <c r="BH11" i="10"/>
  <c r="BH9" i="10"/>
  <c r="BJ9" i="10"/>
  <c r="AC43" i="9"/>
  <c r="BJ43" i="11" s="1"/>
  <c r="BJ5" i="10"/>
  <c r="P15" i="10"/>
  <c r="R15" i="10"/>
  <c r="P13" i="10"/>
  <c r="V13" i="10"/>
  <c r="AF15" i="5"/>
  <c r="Q15" i="11" s="1"/>
  <c r="AE20" i="5"/>
  <c r="P20" i="11" s="1"/>
  <c r="P7" i="10"/>
  <c r="X7" i="10"/>
  <c r="V7" i="10"/>
  <c r="X5" i="10"/>
  <c r="P5" i="10"/>
  <c r="R5" i="10"/>
  <c r="V5" i="10"/>
  <c r="BC33" i="10"/>
  <c r="AJ57" i="8"/>
  <c r="AY23" i="10"/>
  <c r="BC32" i="10"/>
  <c r="AY30" i="10"/>
  <c r="AY26" i="10"/>
  <c r="AC29" i="10"/>
  <c r="AY31" i="10"/>
  <c r="AC28" i="10"/>
  <c r="AH50" i="6"/>
  <c r="AE50" i="11" s="1"/>
  <c r="BH27" i="10"/>
  <c r="AC25" i="10"/>
  <c r="AG33" i="10"/>
  <c r="AG25" i="6"/>
  <c r="AD25" i="11" s="1"/>
  <c r="AI53" i="6"/>
  <c r="AF53" i="11" s="1"/>
  <c r="AC21" i="10"/>
  <c r="AC32" i="10"/>
  <c r="AC30" i="10"/>
  <c r="AG28" i="10"/>
  <c r="AC26" i="10"/>
  <c r="AH24" i="6"/>
  <c r="AE24" i="11" s="1"/>
  <c r="AI20" i="9"/>
  <c r="BP20" i="11" s="1"/>
  <c r="AW25" i="10"/>
  <c r="V26" i="10"/>
  <c r="AY27" i="10"/>
  <c r="V29" i="10"/>
  <c r="AW33" i="10"/>
  <c r="AY25" i="10"/>
  <c r="AA25" i="10"/>
  <c r="R33" i="10"/>
  <c r="X25" i="10"/>
  <c r="P21" i="10"/>
  <c r="BE27" i="10"/>
  <c r="AA28" i="10"/>
  <c r="BE28" i="10"/>
  <c r="BC21" i="10"/>
  <c r="AY22" i="10"/>
  <c r="X22" i="10"/>
  <c r="AG24" i="10"/>
  <c r="BE25" i="10"/>
  <c r="BC26" i="10"/>
  <c r="BC27" i="10"/>
  <c r="AY28" i="10"/>
  <c r="AA32" i="10"/>
  <c r="AL25" i="10"/>
  <c r="AW48" i="10"/>
  <c r="BE48" i="10"/>
  <c r="AM10" i="6"/>
  <c r="AJ10" i="11" s="1"/>
  <c r="AC48" i="10"/>
  <c r="AA48" i="10"/>
  <c r="AL14" i="9"/>
  <c r="BS14" i="11" s="1"/>
  <c r="BL48" i="10"/>
  <c r="AR48" i="10"/>
  <c r="P48" i="10"/>
  <c r="BC49" i="10"/>
  <c r="AN48" i="8"/>
  <c r="BI48" i="11" s="1"/>
  <c r="AW49" i="10"/>
  <c r="AW47" i="10"/>
  <c r="BC47" i="10"/>
  <c r="AM35" i="8"/>
  <c r="BH35" i="11" s="1"/>
  <c r="AM39" i="8"/>
  <c r="BH39" i="11" s="1"/>
  <c r="AL31" i="8"/>
  <c r="BG31" i="11" s="1"/>
  <c r="AK11" i="8"/>
  <c r="BF11" i="11" s="1"/>
  <c r="AN48" i="6"/>
  <c r="AK48" i="11" s="1"/>
  <c r="AN4" i="6"/>
  <c r="AK4" i="11" s="1"/>
  <c r="AI45" i="10"/>
  <c r="AA45" i="10"/>
  <c r="AL40" i="6"/>
  <c r="AI43" i="10"/>
  <c r="AN55" i="6"/>
  <c r="AK55" i="11" s="1"/>
  <c r="AN11" i="6"/>
  <c r="AK11" i="11" s="1"/>
  <c r="AM10" i="5"/>
  <c r="X10" i="11" s="1"/>
  <c r="AL38" i="5"/>
  <c r="W38" i="11" s="1"/>
  <c r="BL45" i="10"/>
  <c r="AL55" i="9"/>
  <c r="BS55" i="11" s="1"/>
  <c r="BL41" i="10"/>
  <c r="AR50" i="10"/>
  <c r="AR42" i="10"/>
  <c r="P46" i="10"/>
  <c r="AM35" i="5"/>
  <c r="X35" i="11" s="1"/>
  <c r="P50" i="10"/>
  <c r="X50" i="10"/>
  <c r="BL50" i="10"/>
  <c r="AL54" i="9"/>
  <c r="BS54" i="11" s="1"/>
  <c r="BL46" i="10"/>
  <c r="BL44" i="10"/>
  <c r="BL42" i="10"/>
  <c r="BL40" i="10"/>
  <c r="BL38" i="10"/>
  <c r="AR49" i="10"/>
  <c r="AT49" i="10"/>
  <c r="AT47" i="10"/>
  <c r="AM52" i="7"/>
  <c r="AV52" i="11" s="1"/>
  <c r="AK39" i="5"/>
  <c r="V39" i="11" s="1"/>
  <c r="V49" i="10"/>
  <c r="X49" i="10"/>
  <c r="AK26" i="5"/>
  <c r="V26" i="11" s="1"/>
  <c r="AL55" i="5"/>
  <c r="W55" i="11" s="1"/>
  <c r="BL49" i="10"/>
  <c r="BJ43" i="10"/>
  <c r="BL43" i="10"/>
  <c r="AN10" i="7"/>
  <c r="AW10" i="11" s="1"/>
  <c r="AL54" i="8"/>
  <c r="BG54" i="11" s="1"/>
  <c r="BC50" i="10"/>
  <c r="AM54" i="8"/>
  <c r="BH54" i="11" s="1"/>
  <c r="BC42" i="10"/>
  <c r="AY40" i="10"/>
  <c r="AW40" i="10"/>
  <c r="AL26" i="8"/>
  <c r="BG26" i="11" s="1"/>
  <c r="AI50" i="10"/>
  <c r="AL16" i="6"/>
  <c r="AI16" i="11" s="1"/>
  <c r="AN54" i="6"/>
  <c r="AN6" i="6"/>
  <c r="AK6" i="11" s="1"/>
  <c r="AI42" i="10"/>
  <c r="AA42" i="10"/>
  <c r="P41" i="10"/>
  <c r="AK30" i="5"/>
  <c r="V30" i="11" s="1"/>
  <c r="P45" i="10"/>
  <c r="AL12" i="9"/>
  <c r="BS12" i="11" s="1"/>
  <c r="BL47" i="10"/>
  <c r="BL39" i="10"/>
  <c r="BE32" i="10"/>
  <c r="BC28" i="10"/>
  <c r="BC25" i="10"/>
  <c r="AA24" i="10"/>
  <c r="AC49" i="10"/>
  <c r="R27" i="10"/>
  <c r="P32" i="10"/>
  <c r="AY24" i="10"/>
  <c r="AW22" i="10"/>
  <c r="AA26" i="10"/>
  <c r="AA22" i="10"/>
  <c r="AY32" i="10"/>
  <c r="AH41" i="7"/>
  <c r="AF15" i="7"/>
  <c r="AO15" i="11" s="1"/>
  <c r="AF27" i="7"/>
  <c r="AO27" i="11" s="1"/>
  <c r="AD19" i="7"/>
  <c r="AM19" i="11" s="1"/>
  <c r="AH50" i="9"/>
  <c r="BO50" i="11" s="1"/>
  <c r="AI24" i="5"/>
  <c r="T24" i="11" s="1"/>
  <c r="AC29" i="9"/>
  <c r="BJ29" i="11" s="1"/>
  <c r="AC19" i="9"/>
  <c r="BJ19" i="11" s="1"/>
  <c r="AG44" i="8"/>
  <c r="BB44" i="11" s="1"/>
  <c r="AJ53" i="8"/>
  <c r="BE53" i="11" s="1"/>
  <c r="V31" i="10"/>
  <c r="AI9" i="5"/>
  <c r="T9" i="11" s="1"/>
  <c r="AK11" i="6"/>
  <c r="AH11" i="11" s="1"/>
  <c r="AM35" i="6"/>
  <c r="AJ35" i="11" s="1"/>
  <c r="AH9" i="9"/>
  <c r="BO9" i="11" s="1"/>
  <c r="AG32" i="9"/>
  <c r="BN32" i="11" s="1"/>
  <c r="AI50" i="9"/>
  <c r="BP50" i="11" s="1"/>
  <c r="AI27" i="9"/>
  <c r="BP27" i="11" s="1"/>
  <c r="AM40" i="8"/>
  <c r="BH40" i="11" s="1"/>
  <c r="AC29" i="6"/>
  <c r="Z29" i="11" s="1"/>
  <c r="AI41" i="6"/>
  <c r="AF41" i="11" s="1"/>
  <c r="AI45" i="6"/>
  <c r="AF45" i="11" s="1"/>
  <c r="AA40" i="10"/>
  <c r="AK39" i="6"/>
  <c r="AH39" i="11" s="1"/>
  <c r="AN52" i="7"/>
  <c r="AW52" i="11" s="1"/>
  <c r="AR47" i="10"/>
  <c r="AE27" i="6"/>
  <c r="AB27" i="11" s="1"/>
  <c r="AF44" i="6"/>
  <c r="AC44" i="11" s="1"/>
  <c r="AG12" i="10"/>
  <c r="AE61" i="6"/>
  <c r="AE60" i="6"/>
  <c r="AE62" i="6"/>
  <c r="AD44" i="6"/>
  <c r="AA44" i="11" s="1"/>
  <c r="AE32" i="9"/>
  <c r="BL32" i="11" s="1"/>
  <c r="O58" i="4"/>
  <c r="AE56" i="8"/>
  <c r="AZ56" i="11" s="1"/>
  <c r="AE51" i="6"/>
  <c r="AB51" i="11" s="1"/>
  <c r="AE41" i="6"/>
  <c r="AB41" i="11" s="1"/>
  <c r="AG56" i="6"/>
  <c r="AD56" i="11" s="1"/>
  <c r="AD30" i="8"/>
  <c r="AY30" i="11" s="1"/>
  <c r="AI20" i="6"/>
  <c r="AF20" i="11" s="1"/>
  <c r="AD32" i="6"/>
  <c r="AA32" i="11" s="1"/>
  <c r="AC53" i="6"/>
  <c r="Z53" i="11" s="1"/>
  <c r="AD20" i="6"/>
  <c r="AA20" i="11" s="1"/>
  <c r="AG8" i="6"/>
  <c r="AD8" i="11" s="1"/>
  <c r="AM58" i="8"/>
  <c r="BH58" i="11" s="1"/>
  <c r="AC50" i="10"/>
  <c r="AM30" i="7"/>
  <c r="AV30" i="11" s="1"/>
  <c r="BJ50" i="10"/>
  <c r="AY50" i="10"/>
  <c r="AA50" i="10"/>
  <c r="AM11" i="5"/>
  <c r="X11" i="11" s="1"/>
  <c r="AI49" i="10"/>
  <c r="AN31" i="5"/>
  <c r="Y31" i="11" s="1"/>
  <c r="AM26" i="7"/>
  <c r="AV26" i="11" s="1"/>
  <c r="AK52" i="5"/>
  <c r="V52" i="11" s="1"/>
  <c r="AL48" i="9"/>
  <c r="BS48" i="11" s="1"/>
  <c r="AK18" i="8"/>
  <c r="BF18" i="11" s="1"/>
  <c r="AL11" i="8"/>
  <c r="BG11" i="11" s="1"/>
  <c r="AI56" i="6"/>
  <c r="AF56" i="11" s="1"/>
  <c r="AG44" i="5"/>
  <c r="AK13" i="5"/>
  <c r="V13" i="11" s="1"/>
  <c r="BE49" i="10"/>
  <c r="AN31" i="7"/>
  <c r="AW31" i="11" s="1"/>
  <c r="AM12" i="8"/>
  <c r="BH12" i="11" s="1"/>
  <c r="AG45" i="7"/>
  <c r="AP45" i="11" s="1"/>
  <c r="AI45" i="5"/>
  <c r="T45" i="11" s="1"/>
  <c r="AG36" i="6"/>
  <c r="AD36" i="11" s="1"/>
  <c r="AK52" i="8"/>
  <c r="BF52" i="11" s="1"/>
  <c r="AI8" i="8"/>
  <c r="BD8" i="11" s="1"/>
  <c r="AD21" i="8"/>
  <c r="AY21" i="11" s="1"/>
  <c r="AJ8" i="7"/>
  <c r="AS8" i="11" s="1"/>
  <c r="AJ32" i="7"/>
  <c r="AS32" i="11" s="1"/>
  <c r="AH44" i="7"/>
  <c r="AQ44" i="11" s="1"/>
  <c r="AJ8" i="5"/>
  <c r="U8" i="11" s="1"/>
  <c r="AI23" i="5"/>
  <c r="T23" i="11" s="1"/>
  <c r="AH6" i="5"/>
  <c r="S6" i="11" s="1"/>
  <c r="AH24" i="5"/>
  <c r="S24" i="11" s="1"/>
  <c r="AH45" i="5"/>
  <c r="S45" i="11" s="1"/>
  <c r="BJ45" i="10"/>
  <c r="AN54" i="7"/>
  <c r="AW54" i="11" s="1"/>
  <c r="R38" i="10"/>
  <c r="AE14" i="6"/>
  <c r="AB14" i="11" s="1"/>
  <c r="AH6" i="9"/>
  <c r="BO6" i="11" s="1"/>
  <c r="AG6" i="6"/>
  <c r="AD6" i="11" s="1"/>
  <c r="AI6" i="5"/>
  <c r="T6" i="11" s="1"/>
  <c r="AG28" i="6"/>
  <c r="AD28" i="11" s="1"/>
  <c r="AI12" i="8"/>
  <c r="BD12" i="11" s="1"/>
  <c r="AH41" i="8"/>
  <c r="BC41" i="11" s="1"/>
  <c r="AJ49" i="8"/>
  <c r="BE49" i="11" s="1"/>
  <c r="AE9" i="5"/>
  <c r="P9" i="11" s="1"/>
  <c r="AE51" i="9"/>
  <c r="BL51" i="11" s="1"/>
  <c r="AN30" i="6"/>
  <c r="AK30" i="11" s="1"/>
  <c r="AJ44" i="5"/>
  <c r="U44" i="11" s="1"/>
  <c r="AI28" i="7"/>
  <c r="AR28" i="11" s="1"/>
  <c r="AH56" i="6"/>
  <c r="AE56" i="11" s="1"/>
  <c r="AE19" i="6"/>
  <c r="AB19" i="11" s="1"/>
  <c r="AH34" i="6"/>
  <c r="AE34" i="11" s="1"/>
  <c r="AE44" i="6"/>
  <c r="AB44" i="11" s="1"/>
  <c r="AI22" i="6"/>
  <c r="AF22" i="11" s="1"/>
  <c r="AJ49" i="7"/>
  <c r="AS49" i="11" s="1"/>
  <c r="AI22" i="8"/>
  <c r="BD22" i="11" s="1"/>
  <c r="AG24" i="7"/>
  <c r="AP24" i="11" s="1"/>
  <c r="AG44" i="7"/>
  <c r="AP44" i="11" s="1"/>
  <c r="AH24" i="9"/>
  <c r="BO24" i="11" s="1"/>
  <c r="AI28" i="5"/>
  <c r="T28" i="11" s="1"/>
  <c r="AI50" i="5"/>
  <c r="T50" i="11" s="1"/>
  <c r="AG50" i="5"/>
  <c r="R50" i="11" s="1"/>
  <c r="AG50" i="9"/>
  <c r="BN50" i="11" s="1"/>
  <c r="AH22" i="8"/>
  <c r="BC22" i="11" s="1"/>
  <c r="AI44" i="7"/>
  <c r="AR44" i="11" s="1"/>
  <c r="AJ28" i="5"/>
  <c r="U28" i="11" s="1"/>
  <c r="AH45" i="6"/>
  <c r="AE45" i="11" s="1"/>
  <c r="AG41" i="6"/>
  <c r="AD41" i="11" s="1"/>
  <c r="AJ25" i="5"/>
  <c r="U25" i="11" s="1"/>
  <c r="AG53" i="5"/>
  <c r="AJ41" i="5"/>
  <c r="U41" i="11" s="1"/>
  <c r="AG41" i="5"/>
  <c r="R41" i="11" s="1"/>
  <c r="AH41" i="6"/>
  <c r="AE41" i="11" s="1"/>
  <c r="AJ58" i="7"/>
  <c r="AS58" i="11" s="1"/>
  <c r="AH53" i="8"/>
  <c r="BC53" i="11" s="1"/>
  <c r="AI53" i="8"/>
  <c r="BD53" i="11" s="1"/>
  <c r="AH25" i="6"/>
  <c r="AE25" i="11" s="1"/>
  <c r="AH36" i="9"/>
  <c r="BO36" i="11" s="1"/>
  <c r="AH52" i="5"/>
  <c r="S52" i="11" s="1"/>
  <c r="AJ56" i="7"/>
  <c r="AS56" i="11" s="1"/>
  <c r="AJ12" i="8"/>
  <c r="BE12" i="11" s="1"/>
  <c r="AE14" i="5"/>
  <c r="P14" i="11" s="1"/>
  <c r="AE34" i="5"/>
  <c r="P34" i="11" s="1"/>
  <c r="AE27" i="7"/>
  <c r="AN27" i="11" s="1"/>
  <c r="AE50" i="7"/>
  <c r="AN50" i="11" s="1"/>
  <c r="AE46" i="5"/>
  <c r="P46" i="11" s="1"/>
  <c r="AF41" i="7"/>
  <c r="AO41" i="11" s="1"/>
  <c r="AC44" i="7"/>
  <c r="AL44" i="11" s="1"/>
  <c r="AC43" i="5"/>
  <c r="N43" i="11" s="1"/>
  <c r="AD56" i="8"/>
  <c r="AY56" i="11" s="1"/>
  <c r="P38" i="10"/>
  <c r="V40" i="10"/>
  <c r="R44" i="10"/>
  <c r="BJ47" i="10"/>
  <c r="AG38" i="10"/>
  <c r="AY41" i="10"/>
  <c r="AD10" i="6"/>
  <c r="AA10" i="11" s="1"/>
  <c r="AC44" i="5"/>
  <c r="N44" i="11" s="1"/>
  <c r="AC21" i="9"/>
  <c r="BJ21" i="11" s="1"/>
  <c r="AY38" i="10"/>
  <c r="BJ48" i="10"/>
  <c r="BC45" i="10"/>
  <c r="BC43" i="10"/>
  <c r="AI46" i="10"/>
  <c r="AI44" i="10"/>
  <c r="AT40" i="10"/>
  <c r="P43" i="10"/>
  <c r="P47" i="10"/>
  <c r="AI41" i="10"/>
  <c r="AI39" i="10"/>
  <c r="V50" i="10"/>
  <c r="AM18" i="8"/>
  <c r="BH18" i="11" s="1"/>
  <c r="T18" i="4" s="1"/>
  <c r="AG37" i="6"/>
  <c r="AD37" i="11" s="1"/>
  <c r="AN26" i="6"/>
  <c r="AK26" i="11" s="1"/>
  <c r="AE24" i="9"/>
  <c r="BL24" i="11" s="1"/>
  <c r="AC21" i="5"/>
  <c r="N21" i="11" s="1"/>
  <c r="AC27" i="5"/>
  <c r="N27" i="11" s="1"/>
  <c r="BC44" i="10"/>
  <c r="AI56" i="8"/>
  <c r="BD56" i="11" s="1"/>
  <c r="AL6" i="6"/>
  <c r="AI6" i="11" s="1"/>
  <c r="AK14" i="8"/>
  <c r="BF14" i="11" s="1"/>
  <c r="AC47" i="8"/>
  <c r="AX47" i="11" s="1"/>
  <c r="AE14" i="8"/>
  <c r="AZ14" i="11" s="1"/>
  <c r="AE10" i="8"/>
  <c r="AZ10" i="11" s="1"/>
  <c r="AE46" i="7"/>
  <c r="AN46" i="11" s="1"/>
  <c r="AF14" i="6"/>
  <c r="AC14" i="11" s="1"/>
  <c r="AC5" i="5"/>
  <c r="N5" i="11" s="1"/>
  <c r="AJ23" i="5"/>
  <c r="U23" i="11" s="1"/>
  <c r="AI49" i="8"/>
  <c r="BD49" i="11" s="1"/>
  <c r="AG34" i="9"/>
  <c r="BN34" i="11" s="1"/>
  <c r="AI37" i="8"/>
  <c r="BD37" i="11" s="1"/>
  <c r="AH37" i="8"/>
  <c r="BC37" i="11" s="1"/>
  <c r="AH37" i="5"/>
  <c r="S37" i="11" s="1"/>
  <c r="AG12" i="5"/>
  <c r="R12" i="11" s="1"/>
  <c r="AI49" i="5"/>
  <c r="T49" i="11" s="1"/>
  <c r="AH34" i="5"/>
  <c r="S34" i="11" s="1"/>
  <c r="AI23" i="8"/>
  <c r="BD23" i="11" s="1"/>
  <c r="AG19" i="6"/>
  <c r="AD19" i="11" s="1"/>
  <c r="AG22" i="8"/>
  <c r="BB22" i="11" s="1"/>
  <c r="AJ22" i="5"/>
  <c r="U22" i="11" s="1"/>
  <c r="AJ59" i="8"/>
  <c r="AJ58" i="8"/>
  <c r="BE58" i="11" s="1"/>
  <c r="AI36" i="7"/>
  <c r="AR36" i="11" s="1"/>
  <c r="AH12" i="9"/>
  <c r="BO12" i="11" s="1"/>
  <c r="AI44" i="8"/>
  <c r="BD44" i="11" s="1"/>
  <c r="AJ23" i="8"/>
  <c r="BE23" i="11" s="1"/>
  <c r="AI32" i="9"/>
  <c r="BP32" i="11" s="1"/>
  <c r="AH45" i="9"/>
  <c r="BO45" i="11" s="1"/>
  <c r="AI27" i="7"/>
  <c r="AR27" i="11" s="1"/>
  <c r="AJ25" i="8"/>
  <c r="BE25" i="11" s="1"/>
  <c r="AH27" i="8"/>
  <c r="BC27" i="11" s="1"/>
  <c r="AG56" i="8"/>
  <c r="BB56" i="11" s="1"/>
  <c r="AG59" i="8"/>
  <c r="AJ34" i="8"/>
  <c r="BE34" i="11" s="1"/>
  <c r="AJ36" i="5"/>
  <c r="U36" i="11" s="1"/>
  <c r="AH23" i="6"/>
  <c r="AE23" i="11" s="1"/>
  <c r="AI52" i="6"/>
  <c r="AF52" i="11" s="1"/>
  <c r="AJ56" i="5"/>
  <c r="U56" i="11" s="1"/>
  <c r="AG52" i="8"/>
  <c r="BB52" i="11" s="1"/>
  <c r="AJ52" i="5"/>
  <c r="U52" i="11" s="1"/>
  <c r="AI52" i="5"/>
  <c r="T52" i="11" s="1"/>
  <c r="AJ52" i="8"/>
  <c r="BE52" i="11" s="1"/>
  <c r="AH12" i="6"/>
  <c r="AE12" i="11" s="1"/>
  <c r="AI25" i="8"/>
  <c r="BD25" i="11" s="1"/>
  <c r="AI9" i="7"/>
  <c r="AR9" i="11" s="1"/>
  <c r="AH20" i="6"/>
  <c r="AE20" i="11" s="1"/>
  <c r="AJ37" i="7"/>
  <c r="AS37" i="11" s="1"/>
  <c r="AG45" i="6"/>
  <c r="AD45" i="11" s="1"/>
  <c r="AJ45" i="7"/>
  <c r="AS45" i="11" s="1"/>
  <c r="AI50" i="7"/>
  <c r="AR50" i="11" s="1"/>
  <c r="AH22" i="7"/>
  <c r="AQ22" i="11" s="1"/>
  <c r="AG45" i="9"/>
  <c r="BN45" i="11" s="1"/>
  <c r="AG8" i="9"/>
  <c r="BN8" i="11" s="1"/>
  <c r="AJ49" i="5"/>
  <c r="U49" i="11" s="1"/>
  <c r="AH49" i="9"/>
  <c r="BO49" i="11" s="1"/>
  <c r="AG44" i="9"/>
  <c r="BN44" i="11" s="1"/>
  <c r="AH23" i="7"/>
  <c r="AQ23" i="11" s="1"/>
  <c r="AF43" i="8"/>
  <c r="BA43" i="11" s="1"/>
  <c r="AH56" i="9"/>
  <c r="BO56" i="11" s="1"/>
  <c r="AA8" i="10"/>
  <c r="AC61" i="6"/>
  <c r="AC62" i="6"/>
  <c r="AC60" i="6"/>
  <c r="AH9" i="8"/>
  <c r="BC9" i="11" s="1"/>
  <c r="AI45" i="8"/>
  <c r="BD45" i="11" s="1"/>
  <c r="AG59" i="6"/>
  <c r="AG58" i="6"/>
  <c r="AD58" i="11" s="1"/>
  <c r="AG9" i="5"/>
  <c r="R9" i="11" s="1"/>
  <c r="AG32" i="8"/>
  <c r="BB32" i="11" s="1"/>
  <c r="AF27" i="8"/>
  <c r="BA27" i="11" s="1"/>
  <c r="AF58" i="8"/>
  <c r="BA58" i="11" s="1"/>
  <c r="AF59" i="8"/>
  <c r="AE46" i="8"/>
  <c r="AZ46" i="11" s="1"/>
  <c r="AE42" i="5"/>
  <c r="P42" i="11" s="1"/>
  <c r="AE9" i="7"/>
  <c r="AN9" i="11" s="1"/>
  <c r="AH9" i="7"/>
  <c r="AQ9" i="11" s="1"/>
  <c r="AG34" i="8"/>
  <c r="BB34" i="11" s="1"/>
  <c r="AI25" i="9"/>
  <c r="BP25" i="11" s="1"/>
  <c r="AG6" i="9"/>
  <c r="BN6" i="11" s="1"/>
  <c r="AI25" i="7"/>
  <c r="AR25" i="11" s="1"/>
  <c r="AH8" i="7"/>
  <c r="AQ8" i="11" s="1"/>
  <c r="AG25" i="9"/>
  <c r="BN25" i="11" s="1"/>
  <c r="AD9" i="8"/>
  <c r="AY9" i="11" s="1"/>
  <c r="AE19" i="9"/>
  <c r="BL19" i="11" s="1"/>
  <c r="BJ14" i="10"/>
  <c r="AD15" i="9"/>
  <c r="BK15" i="11" s="1"/>
  <c r="AD14" i="9"/>
  <c r="BK14" i="11" s="1"/>
  <c r="AH23" i="5"/>
  <c r="S23" i="11" s="1"/>
  <c r="AG28" i="5"/>
  <c r="R28" i="11" s="1"/>
  <c r="AI28" i="9"/>
  <c r="BP28" i="11" s="1"/>
  <c r="AJ32" i="8"/>
  <c r="BE32" i="11" s="1"/>
  <c r="AH56" i="8"/>
  <c r="BC56" i="11" s="1"/>
  <c r="AH45" i="8"/>
  <c r="BC45" i="11" s="1"/>
  <c r="AH32" i="8"/>
  <c r="BC32" i="11" s="1"/>
  <c r="AH28" i="7"/>
  <c r="AQ28" i="11" s="1"/>
  <c r="AE55" i="6"/>
  <c r="AB55" i="11" s="1"/>
  <c r="AC46" i="6"/>
  <c r="Z46" i="11" s="1"/>
  <c r="AF29" i="8"/>
  <c r="BA29" i="11" s="1"/>
  <c r="AE32" i="5"/>
  <c r="P32" i="11" s="1"/>
  <c r="AI25" i="5"/>
  <c r="T25" i="11" s="1"/>
  <c r="V33" i="10"/>
  <c r="AF22" i="7"/>
  <c r="AO22" i="11" s="1"/>
  <c r="AT6" i="10"/>
  <c r="AI12" i="6"/>
  <c r="AF12" i="11" s="1"/>
  <c r="AG22" i="10"/>
  <c r="AH25" i="9"/>
  <c r="BO25" i="11" s="1"/>
  <c r="BJ24" i="10"/>
  <c r="AJ36" i="7"/>
  <c r="AS36" i="11" s="1"/>
  <c r="AT28" i="10"/>
  <c r="AE20" i="6"/>
  <c r="AB20" i="11" s="1"/>
  <c r="AG5" i="10"/>
  <c r="AD44" i="9"/>
  <c r="BK44" i="11" s="1"/>
  <c r="BJ12" i="10"/>
  <c r="AD55" i="5"/>
  <c r="O55" i="11" s="1"/>
  <c r="R12" i="10"/>
  <c r="AF10" i="8"/>
  <c r="BA10" i="11" s="1"/>
  <c r="BE7" i="10"/>
  <c r="AM40" i="6"/>
  <c r="AJ40" i="11" s="1"/>
  <c r="AG45" i="10"/>
  <c r="AD47" i="5"/>
  <c r="O47" i="11" s="1"/>
  <c r="R9" i="10"/>
  <c r="AH12" i="5"/>
  <c r="S12" i="11" s="1"/>
  <c r="R31" i="10"/>
  <c r="AC20" i="7"/>
  <c r="AL20" i="11" s="1"/>
  <c r="AL9" i="10"/>
  <c r="AD30" i="7"/>
  <c r="AM30" i="11" s="1"/>
  <c r="AN10" i="10"/>
  <c r="AJ23" i="7"/>
  <c r="AS23" i="11" s="1"/>
  <c r="AT25" i="10"/>
  <c r="AG23" i="5"/>
  <c r="R23" i="11" s="1"/>
  <c r="P25" i="10"/>
  <c r="AI23" i="9"/>
  <c r="BP23" i="11" s="1"/>
  <c r="BN24" i="10"/>
  <c r="AE47" i="6"/>
  <c r="AB47" i="11" s="1"/>
  <c r="AG9" i="10"/>
  <c r="AD43" i="9"/>
  <c r="BK43" i="11" s="1"/>
  <c r="BJ6" i="10"/>
  <c r="AF39" i="5"/>
  <c r="Q39" i="11" s="1"/>
  <c r="X16" i="10"/>
  <c r="AE21" i="6"/>
  <c r="AB21" i="11" s="1"/>
  <c r="AG14" i="10"/>
  <c r="AF21" i="5"/>
  <c r="Q21" i="11" s="1"/>
  <c r="X11" i="10"/>
  <c r="AJ24" i="8"/>
  <c r="BE24" i="11" s="1"/>
  <c r="BE30" i="10"/>
  <c r="AG59" i="9"/>
  <c r="BH31" i="10"/>
  <c r="AF42" i="7"/>
  <c r="AO42" i="11" s="1"/>
  <c r="AT11" i="10"/>
  <c r="AD24" i="7"/>
  <c r="AM24" i="11" s="1"/>
  <c r="AN14" i="10"/>
  <c r="AJ59" i="7"/>
  <c r="AT31" i="10"/>
  <c r="AC9" i="8"/>
  <c r="AX9" i="11" s="1"/>
  <c r="AW16" i="10"/>
  <c r="AC14" i="6"/>
  <c r="Z14" i="11" s="1"/>
  <c r="AA11" i="10"/>
  <c r="AC27" i="6"/>
  <c r="Z27" i="11" s="1"/>
  <c r="AA7" i="10"/>
  <c r="AE42" i="9"/>
  <c r="BL42" i="11" s="1"/>
  <c r="BN14" i="10"/>
  <c r="AE50" i="9"/>
  <c r="BL50" i="11" s="1"/>
  <c r="BN6" i="10"/>
  <c r="AD15" i="5"/>
  <c r="O15" i="11" s="1"/>
  <c r="R14" i="10"/>
  <c r="AC16" i="8"/>
  <c r="AX16" i="11" s="1"/>
  <c r="AW15" i="10"/>
  <c r="AC32" i="8"/>
  <c r="AX32" i="11" s="1"/>
  <c r="AW7" i="10"/>
  <c r="AK35" i="5"/>
  <c r="V35" i="11" s="1"/>
  <c r="P39" i="10"/>
  <c r="AE21" i="5"/>
  <c r="P21" i="11" s="1"/>
  <c r="V15" i="10"/>
  <c r="AE22" i="5"/>
  <c r="P22" i="11" s="1"/>
  <c r="V11" i="10"/>
  <c r="AG41" i="8"/>
  <c r="BB41" i="11" s="1"/>
  <c r="AW28" i="10"/>
  <c r="AI49" i="6"/>
  <c r="AF49" i="11" s="1"/>
  <c r="AG25" i="10"/>
  <c r="AI44" i="9"/>
  <c r="BP44" i="11" s="1"/>
  <c r="BN27" i="10"/>
  <c r="AH36" i="8"/>
  <c r="BC36" i="11" s="1"/>
  <c r="AC9" i="7"/>
  <c r="AL9" i="11" s="1"/>
  <c r="AL13" i="10"/>
  <c r="AH37" i="7"/>
  <c r="AQ37" i="11" s="1"/>
  <c r="AN28" i="10"/>
  <c r="AH59" i="9"/>
  <c r="BJ27" i="10"/>
  <c r="AJ19" i="7"/>
  <c r="AS19" i="11" s="1"/>
  <c r="AT33" i="10"/>
  <c r="AF25" i="8"/>
  <c r="BA25" i="11" s="1"/>
  <c r="BE14" i="10"/>
  <c r="AE17" i="6"/>
  <c r="AB17" i="11" s="1"/>
  <c r="AG11" i="10"/>
  <c r="AF5" i="5"/>
  <c r="Q5" i="11" s="1"/>
  <c r="X14" i="10"/>
  <c r="AF42" i="5"/>
  <c r="Q42" i="11" s="1"/>
  <c r="X8" i="10"/>
  <c r="AF47" i="8"/>
  <c r="BA47" i="11" s="1"/>
  <c r="BE9" i="10"/>
  <c r="AD51" i="9"/>
  <c r="BK51" i="11" s="1"/>
  <c r="BJ11" i="10"/>
  <c r="AD14" i="5"/>
  <c r="O14" i="11" s="1"/>
  <c r="R13" i="10"/>
  <c r="AG52" i="5"/>
  <c r="R52" i="11" s="1"/>
  <c r="P33" i="10"/>
  <c r="AC46" i="7"/>
  <c r="AL46" i="11" s="1"/>
  <c r="AL7" i="10"/>
  <c r="AF59" i="7"/>
  <c r="AT8" i="10"/>
  <c r="AC5" i="8"/>
  <c r="AX5" i="11" s="1"/>
  <c r="AW14" i="10"/>
  <c r="AC27" i="8"/>
  <c r="AX27" i="11" s="1"/>
  <c r="AW10" i="10"/>
  <c r="AE55" i="9"/>
  <c r="BL55" i="11" s="1"/>
  <c r="BN12" i="10"/>
  <c r="AC56" i="9"/>
  <c r="BJ56" i="11" s="1"/>
  <c r="BH8" i="10"/>
  <c r="AD9" i="5"/>
  <c r="O9" i="11" s="1"/>
  <c r="R16" i="10"/>
  <c r="AC43" i="8"/>
  <c r="AX43" i="11" s="1"/>
  <c r="AW9" i="10"/>
  <c r="AC23" i="8"/>
  <c r="AX23" i="11" s="1"/>
  <c r="AW5" i="10"/>
  <c r="AF9" i="6"/>
  <c r="AC9" i="11" s="1"/>
  <c r="AI14" i="10"/>
  <c r="AC32" i="9"/>
  <c r="BJ32" i="11" s="1"/>
  <c r="BH7" i="10"/>
  <c r="AE5" i="5"/>
  <c r="P5" i="11" s="1"/>
  <c r="V9" i="10"/>
  <c r="AJ9" i="8"/>
  <c r="BE9" i="11" s="1"/>
  <c r="BE31" i="10"/>
  <c r="AH62" i="6"/>
  <c r="AC27" i="10"/>
  <c r="AF53" i="5"/>
  <c r="Q53" i="11" s="1"/>
  <c r="AG20" i="7"/>
  <c r="AP20" i="11" s="1"/>
  <c r="AL28" i="10"/>
  <c r="AG37" i="7"/>
  <c r="AP37" i="11" s="1"/>
  <c r="AL30" i="10"/>
  <c r="AI57" i="7"/>
  <c r="AR57" i="11" s="1"/>
  <c r="AR30" i="10"/>
  <c r="AC53" i="7"/>
  <c r="AL53" i="11" s="1"/>
  <c r="AL6" i="10"/>
  <c r="AF47" i="7"/>
  <c r="AO47" i="11" s="1"/>
  <c r="AT7" i="10"/>
  <c r="AC31" i="7"/>
  <c r="AL31" i="11" s="1"/>
  <c r="AL10" i="10"/>
  <c r="AC17" i="7"/>
  <c r="AL17" i="11" s="1"/>
  <c r="AL11" i="10"/>
  <c r="AD29" i="7"/>
  <c r="AM29" i="11" s="1"/>
  <c r="AN13" i="10"/>
  <c r="AE5" i="7"/>
  <c r="AN5" i="11" s="1"/>
  <c r="AR14" i="10"/>
  <c r="AE21" i="7"/>
  <c r="AN21" i="11" s="1"/>
  <c r="AR15" i="10"/>
  <c r="AF37" i="7"/>
  <c r="AO37" i="11" s="1"/>
  <c r="AT16" i="10"/>
  <c r="AG49" i="8"/>
  <c r="BB49" i="11" s="1"/>
  <c r="AW24" i="10"/>
  <c r="AF51" i="5"/>
  <c r="Q51" i="11" s="1"/>
  <c r="AF25" i="7"/>
  <c r="AO25" i="11" s="1"/>
  <c r="AT13" i="10"/>
  <c r="AE30" i="6"/>
  <c r="AB30" i="11" s="1"/>
  <c r="AG61" i="5"/>
  <c r="P28" i="10"/>
  <c r="AG49" i="5"/>
  <c r="R49" i="11" s="1"/>
  <c r="P27" i="10"/>
  <c r="AJ25" i="7"/>
  <c r="AS25" i="11" s="1"/>
  <c r="AT24" i="10"/>
  <c r="AH8" i="5"/>
  <c r="S8" i="11" s="1"/>
  <c r="R28" i="10"/>
  <c r="AD34" i="8"/>
  <c r="AY34" i="11" s="1"/>
  <c r="AY16" i="10"/>
  <c r="AD55" i="8"/>
  <c r="AY55" i="11" s="1"/>
  <c r="AY12" i="10"/>
  <c r="AD47" i="8"/>
  <c r="AY47" i="11" s="1"/>
  <c r="AY8" i="10"/>
  <c r="AF29" i="6"/>
  <c r="AC29" i="11" s="1"/>
  <c r="AI15" i="10"/>
  <c r="AF51" i="6"/>
  <c r="AC51" i="11" s="1"/>
  <c r="AI11" i="10"/>
  <c r="AF37" i="6"/>
  <c r="AC37" i="11" s="1"/>
  <c r="AI7" i="10"/>
  <c r="AD12" i="9"/>
  <c r="BK12" i="11" s="1"/>
  <c r="BJ16" i="10"/>
  <c r="AD29" i="9"/>
  <c r="BK29" i="11" s="1"/>
  <c r="BJ10" i="10"/>
  <c r="AD24" i="9"/>
  <c r="BK24" i="11" s="1"/>
  <c r="BJ8" i="10"/>
  <c r="AC51" i="9"/>
  <c r="BJ51" i="11" s="1"/>
  <c r="BH6" i="10"/>
  <c r="AE27" i="5"/>
  <c r="P27" i="11" s="1"/>
  <c r="V10" i="10"/>
  <c r="AD53" i="8"/>
  <c r="AY53" i="11" s="1"/>
  <c r="AY13" i="10"/>
  <c r="AD19" i="8"/>
  <c r="AY19" i="11" s="1"/>
  <c r="AY11" i="10"/>
  <c r="AD43" i="8"/>
  <c r="AY43" i="11" s="1"/>
  <c r="AY5" i="10"/>
  <c r="AC17" i="6"/>
  <c r="Z17" i="11" s="1"/>
  <c r="AA16" i="10"/>
  <c r="AC50" i="6"/>
  <c r="Z50" i="11" s="1"/>
  <c r="AA12" i="10"/>
  <c r="AC51" i="6"/>
  <c r="Z51" i="11" s="1"/>
  <c r="AA10" i="10"/>
  <c r="AD37" i="9"/>
  <c r="BK37" i="11" s="1"/>
  <c r="BJ7" i="10"/>
  <c r="AF11" i="5"/>
  <c r="Q11" i="11" s="1"/>
  <c r="X15" i="10"/>
  <c r="AF22" i="5"/>
  <c r="Q22" i="11" s="1"/>
  <c r="X13" i="10"/>
  <c r="AC17" i="5"/>
  <c r="N17" i="11" s="1"/>
  <c r="P11" i="10"/>
  <c r="AF16" i="5"/>
  <c r="Q16" i="11" s="1"/>
  <c r="X9" i="10"/>
  <c r="AD59" i="5"/>
  <c r="R7" i="10"/>
  <c r="AF21" i="6"/>
  <c r="AC21" i="11" s="1"/>
  <c r="AH44" i="6"/>
  <c r="AE44" i="11" s="1"/>
  <c r="AC22" i="10"/>
  <c r="AG34" i="5"/>
  <c r="R34" i="11" s="1"/>
  <c r="AI6" i="9"/>
  <c r="BP6" i="11" s="1"/>
  <c r="X31" i="10"/>
  <c r="AG34" i="7"/>
  <c r="AP34" i="11" s="1"/>
  <c r="AL33" i="10"/>
  <c r="AC56" i="7"/>
  <c r="AL56" i="11" s="1"/>
  <c r="AL8" i="10"/>
  <c r="AI56" i="5"/>
  <c r="T56" i="11" s="1"/>
  <c r="V21" i="10"/>
  <c r="AH8" i="9"/>
  <c r="BO8" i="11" s="1"/>
  <c r="BJ26" i="10"/>
  <c r="AH32" i="5"/>
  <c r="S32" i="11" s="1"/>
  <c r="R21" i="10"/>
  <c r="AF32" i="8"/>
  <c r="BA32" i="11" s="1"/>
  <c r="BE16" i="10"/>
  <c r="AD41" i="5"/>
  <c r="O41" i="11" s="1"/>
  <c r="R10" i="10"/>
  <c r="AF46" i="8"/>
  <c r="BA46" i="11" s="1"/>
  <c r="BE5" i="10"/>
  <c r="AE53" i="6"/>
  <c r="AB53" i="11" s="1"/>
  <c r="AG6" i="10"/>
  <c r="AE52" i="9"/>
  <c r="BL52" i="11" s="1"/>
  <c r="BN7" i="10"/>
  <c r="AI58" i="6"/>
  <c r="AF58" i="11" s="1"/>
  <c r="AG27" i="10"/>
  <c r="AJ44" i="8"/>
  <c r="BE44" i="11" s="1"/>
  <c r="BE22" i="10"/>
  <c r="AG36" i="8"/>
  <c r="BB36" i="11" s="1"/>
  <c r="AW30" i="10"/>
  <c r="AF34" i="5"/>
  <c r="Q34" i="11" s="1"/>
  <c r="AF55" i="8"/>
  <c r="BA55" i="11" s="1"/>
  <c r="AI37" i="7"/>
  <c r="AR37" i="11" s="1"/>
  <c r="AR22" i="10"/>
  <c r="AC46" i="8"/>
  <c r="AX46" i="11" s="1"/>
  <c r="AW12" i="10"/>
  <c r="AC5" i="6"/>
  <c r="Z5" i="11" s="1"/>
  <c r="AA13" i="10"/>
  <c r="AC11" i="9"/>
  <c r="BJ11" i="11" s="1"/>
  <c r="BH16" i="10"/>
  <c r="AF41" i="5"/>
  <c r="Q41" i="11" s="1"/>
  <c r="X10" i="10"/>
  <c r="AE47" i="9"/>
  <c r="BL47" i="11" s="1"/>
  <c r="BN5" i="10"/>
  <c r="AJ9" i="5"/>
  <c r="U9" i="11" s="1"/>
  <c r="X21" i="10"/>
  <c r="AI53" i="9"/>
  <c r="BP53" i="11" s="1"/>
  <c r="BN26" i="10"/>
  <c r="AH52" i="6"/>
  <c r="AE52" i="11" s="1"/>
  <c r="AC31" i="10"/>
  <c r="AQ32" i="11"/>
  <c r="AN31" i="10"/>
  <c r="AH52" i="7"/>
  <c r="AQ52" i="11" s="1"/>
  <c r="AN33" i="10"/>
  <c r="AH23" i="8"/>
  <c r="BC23" i="11" s="1"/>
  <c r="AY33" i="10"/>
  <c r="AC43" i="7"/>
  <c r="AL43" i="11" s="1"/>
  <c r="AL5" i="10"/>
  <c r="AD27" i="7"/>
  <c r="AM27" i="11" s="1"/>
  <c r="AN7" i="10"/>
  <c r="AC15" i="7"/>
  <c r="AL15" i="11" s="1"/>
  <c r="AL15" i="10"/>
  <c r="AD32" i="7"/>
  <c r="AM32" i="11" s="1"/>
  <c r="AN16" i="10"/>
  <c r="AC24" i="7"/>
  <c r="AL24" i="11" s="1"/>
  <c r="AL14" i="10"/>
  <c r="AF24" i="6"/>
  <c r="AC24" i="11" s="1"/>
  <c r="AC15" i="9"/>
  <c r="BJ15" i="11" s="1"/>
  <c r="AD17" i="7"/>
  <c r="AM17" i="11" s="1"/>
  <c r="AN11" i="10"/>
  <c r="AF9" i="8"/>
  <c r="BA9" i="11" s="1"/>
  <c r="AG45" i="5"/>
  <c r="R45" i="11" s="1"/>
  <c r="P26" i="10"/>
  <c r="AI20" i="5"/>
  <c r="T20" i="11" s="1"/>
  <c r="V28" i="10"/>
  <c r="AG12" i="7"/>
  <c r="AP12" i="11" s="1"/>
  <c r="AL22" i="10"/>
  <c r="AE22" i="8"/>
  <c r="AZ22" i="11" s="1"/>
  <c r="BC14" i="10"/>
  <c r="AE51" i="8"/>
  <c r="AZ51" i="11" s="1"/>
  <c r="BC10" i="10"/>
  <c r="AE27" i="8"/>
  <c r="AZ27" i="11" s="1"/>
  <c r="BC6" i="10"/>
  <c r="AD14" i="6"/>
  <c r="AA14" i="11" s="1"/>
  <c r="AC15" i="10"/>
  <c r="AD15" i="6"/>
  <c r="AA15" i="11" s="1"/>
  <c r="AC9" i="10"/>
  <c r="AD43" i="6"/>
  <c r="AA43" i="11" s="1"/>
  <c r="AC5" i="10"/>
  <c r="AE37" i="9"/>
  <c r="BL37" i="11" s="1"/>
  <c r="BN16" i="10"/>
  <c r="AE30" i="9"/>
  <c r="BL30" i="11" s="1"/>
  <c r="BN10" i="10"/>
  <c r="AC56" i="5"/>
  <c r="N56" i="11" s="1"/>
  <c r="P10" i="10"/>
  <c r="AD43" i="5"/>
  <c r="O43" i="11" s="1"/>
  <c r="R8" i="10"/>
  <c r="AC22" i="5"/>
  <c r="N22" i="11" s="1"/>
  <c r="P6" i="10"/>
  <c r="AE16" i="8"/>
  <c r="AZ16" i="11" s="1"/>
  <c r="BC15" i="10"/>
  <c r="AE5" i="8"/>
  <c r="AZ5" i="11" s="1"/>
  <c r="BC13" i="10"/>
  <c r="AE47" i="8"/>
  <c r="AZ47" i="11" s="1"/>
  <c r="BC7" i="10"/>
  <c r="AD39" i="6"/>
  <c r="AA39" i="11" s="1"/>
  <c r="AC16" i="10"/>
  <c r="AD5" i="6"/>
  <c r="AA5" i="11" s="1"/>
  <c r="AC14" i="10"/>
  <c r="AD51" i="6"/>
  <c r="AA51" i="11" s="1"/>
  <c r="AC10" i="10"/>
  <c r="AD52" i="6"/>
  <c r="AA52" i="11" s="1"/>
  <c r="AC8" i="10"/>
  <c r="AD27" i="6"/>
  <c r="AA27" i="11" s="1"/>
  <c r="AC6" i="10"/>
  <c r="AE43" i="9"/>
  <c r="BL43" i="11" s="1"/>
  <c r="BN9" i="10"/>
  <c r="AC59" i="9"/>
  <c r="BH5" i="10"/>
  <c r="AL40" i="8"/>
  <c r="BG40" i="11" s="1"/>
  <c r="AY44" i="10"/>
  <c r="AD21" i="5"/>
  <c r="O21" i="11" s="1"/>
  <c r="R11" i="10"/>
  <c r="AC20" i="5"/>
  <c r="N20" i="11" s="1"/>
  <c r="P9" i="10"/>
  <c r="AG12" i="6"/>
  <c r="AD12" i="11" s="1"/>
  <c r="AA31" i="10"/>
  <c r="AH49" i="6"/>
  <c r="AE49" i="11" s="1"/>
  <c r="AC24" i="10"/>
  <c r="AI23" i="6"/>
  <c r="AF23" i="11" s="1"/>
  <c r="AG58" i="8"/>
  <c r="BB58" i="11" s="1"/>
  <c r="BI43" i="11"/>
  <c r="W43" i="11"/>
  <c r="R42" i="10"/>
  <c r="AI43" i="11"/>
  <c r="AC42" i="10"/>
  <c r="AL30" i="6"/>
  <c r="AI30" i="11" s="1"/>
  <c r="AI6" i="8"/>
  <c r="BD6" i="11" s="1"/>
  <c r="AI6" i="7"/>
  <c r="AR6" i="11" s="1"/>
  <c r="AG6" i="7"/>
  <c r="AP6" i="11" s="1"/>
  <c r="AH6" i="6"/>
  <c r="AE6" i="11" s="1"/>
  <c r="AJ6" i="5"/>
  <c r="U6" i="11" s="1"/>
  <c r="BD29" i="11"/>
  <c r="AI8" i="6"/>
  <c r="AF8" i="11" s="1"/>
  <c r="AG32" i="10"/>
  <c r="AG8" i="5"/>
  <c r="R8" i="11" s="1"/>
  <c r="P29" i="10"/>
  <c r="AJ8" i="8"/>
  <c r="BE8" i="11" s="1"/>
  <c r="BE29" i="10"/>
  <c r="AH34" i="9"/>
  <c r="BO34" i="11" s="1"/>
  <c r="AG57" i="8"/>
  <c r="BB57" i="11" s="1"/>
  <c r="AW29" i="10"/>
  <c r="AG49" i="6"/>
  <c r="AD49" i="11" s="1"/>
  <c r="AA29" i="10"/>
  <c r="AJ27" i="7"/>
  <c r="AS27" i="11" s="1"/>
  <c r="AT23" i="10"/>
  <c r="R23" i="10"/>
  <c r="AG27" i="5"/>
  <c r="R27" i="11" s="1"/>
  <c r="P23" i="10"/>
  <c r="AG45" i="8"/>
  <c r="BB45" i="11" s="1"/>
  <c r="AW23" i="10"/>
  <c r="AE42" i="11"/>
  <c r="AC23" i="10"/>
  <c r="AH27" i="9"/>
  <c r="BO27" i="11" s="1"/>
  <c r="BJ23" i="10"/>
  <c r="AI58" i="7"/>
  <c r="AR58" i="11" s="1"/>
  <c r="V54" i="11"/>
  <c r="AW43" i="11"/>
  <c r="BF43" i="11"/>
  <c r="AV46" i="11"/>
  <c r="AK31" i="6"/>
  <c r="AH31" i="11" s="1"/>
  <c r="AA41" i="10"/>
  <c r="AI59" i="7"/>
  <c r="BO42" i="11"/>
  <c r="O57" i="4"/>
  <c r="AJ58" i="5"/>
  <c r="U58" i="11" s="1"/>
  <c r="AI23" i="7"/>
  <c r="AR23" i="11" s="1"/>
  <c r="AI15" i="9"/>
  <c r="BP15" i="11" s="1"/>
  <c r="AH22" i="9"/>
  <c r="BO22" i="11" s="1"/>
  <c r="AG53" i="9"/>
  <c r="BN53" i="11" s="1"/>
  <c r="BP47" i="11"/>
  <c r="AI57" i="9"/>
  <c r="BP57" i="11" s="1"/>
  <c r="AG22" i="9"/>
  <c r="BN22" i="11" s="1"/>
  <c r="AJ57" i="7"/>
  <c r="AS57" i="11" s="1"/>
  <c r="AH12" i="7"/>
  <c r="AQ12" i="11" s="1"/>
  <c r="AG58" i="7"/>
  <c r="AP58" i="11" s="1"/>
  <c r="AG57" i="6"/>
  <c r="AD57" i="11" s="1"/>
  <c r="AJ12" i="5"/>
  <c r="U12" i="11" s="1"/>
  <c r="AP28" i="11"/>
  <c r="AR47" i="11"/>
  <c r="BO13" i="11"/>
  <c r="T51" i="11"/>
  <c r="S29" i="11"/>
  <c r="AQ6" i="11"/>
  <c r="AQ42" i="11"/>
  <c r="BP42" i="11"/>
  <c r="R32" i="11"/>
  <c r="AQ39" i="11"/>
  <c r="R51" i="11"/>
  <c r="T47" i="11"/>
  <c r="S15" i="11"/>
  <c r="BO51" i="11"/>
  <c r="BN29" i="11"/>
  <c r="AS9" i="11"/>
  <c r="AE47" i="11"/>
  <c r="AS6" i="11"/>
  <c r="AC5" i="9"/>
  <c r="BJ5" i="11" s="1"/>
  <c r="AD5" i="5"/>
  <c r="O5" i="11" s="1"/>
  <c r="AC32" i="5"/>
  <c r="N32" i="11" s="1"/>
  <c r="AE15" i="5"/>
  <c r="P15" i="11" s="1"/>
  <c r="AC44" i="9"/>
  <c r="BJ44" i="11" s="1"/>
  <c r="AE20" i="7"/>
  <c r="AN20" i="11" s="1"/>
  <c r="AF20" i="5"/>
  <c r="Q20" i="11" s="1"/>
  <c r="AD42" i="8"/>
  <c r="AY42" i="11" s="1"/>
  <c r="AC27" i="9"/>
  <c r="BJ27" i="11" s="1"/>
  <c r="AF20" i="7"/>
  <c r="AO20" i="11" s="1"/>
  <c r="AD46" i="9"/>
  <c r="BK46" i="11" s="1"/>
  <c r="AE57" i="9"/>
  <c r="BL57" i="11" s="1"/>
  <c r="AE58" i="9"/>
  <c r="BL58" i="11" s="1"/>
  <c r="AI59" i="9"/>
  <c r="AI58" i="9"/>
  <c r="BP58" i="11" s="1"/>
  <c r="AD32" i="5"/>
  <c r="O32" i="11" s="1"/>
  <c r="AI37" i="5"/>
  <c r="T37" i="11" s="1"/>
  <c r="AG37" i="5"/>
  <c r="R37" i="11" s="1"/>
  <c r="AJ53" i="5"/>
  <c r="U53" i="11" s="1"/>
  <c r="AI19" i="6"/>
  <c r="AF19" i="11" s="1"/>
  <c r="AH49" i="7"/>
  <c r="AQ49" i="11" s="1"/>
  <c r="AN31" i="8"/>
  <c r="BI31" i="11" s="1"/>
  <c r="AG9" i="9"/>
  <c r="BN9" i="11" s="1"/>
  <c r="AI49" i="9"/>
  <c r="BP49" i="11" s="1"/>
  <c r="AG57" i="9"/>
  <c r="BN57" i="11" s="1"/>
  <c r="AH22" i="5"/>
  <c r="S22" i="11" s="1"/>
  <c r="AI58" i="5"/>
  <c r="T58" i="11" s="1"/>
  <c r="AH28" i="6"/>
  <c r="AE28" i="11" s="1"/>
  <c r="AN38" i="7"/>
  <c r="AW38" i="11" s="1"/>
  <c r="AJ50" i="7"/>
  <c r="AS50" i="11" s="1"/>
  <c r="AH50" i="7"/>
  <c r="AQ50" i="11" s="1"/>
  <c r="AI24" i="8"/>
  <c r="BD24" i="11" s="1"/>
  <c r="AI22" i="9"/>
  <c r="BP22" i="11" s="1"/>
  <c r="AH58" i="9"/>
  <c r="BO58" i="11" s="1"/>
  <c r="AI8" i="7"/>
  <c r="AR8" i="11" s="1"/>
  <c r="AG8" i="7"/>
  <c r="AP8" i="11" s="1"/>
  <c r="AJ44" i="7"/>
  <c r="AS44" i="11" s="1"/>
  <c r="AI36" i="9"/>
  <c r="BP36" i="11" s="1"/>
  <c r="AG52" i="9"/>
  <c r="BN52" i="11" s="1"/>
  <c r="AI59" i="6"/>
  <c r="AG19" i="7"/>
  <c r="AP19" i="11" s="1"/>
  <c r="AH25" i="8"/>
  <c r="BC25" i="11" s="1"/>
  <c r="AH49" i="8"/>
  <c r="BC49" i="11" s="1"/>
  <c r="AH57" i="8"/>
  <c r="BC57" i="11" s="1"/>
  <c r="AL31" i="9"/>
  <c r="BS31" i="11" s="1"/>
  <c r="AM38" i="6"/>
  <c r="AJ38" i="11" s="1"/>
  <c r="AH58" i="6"/>
  <c r="AE58" i="11" s="1"/>
  <c r="AJ12" i="7"/>
  <c r="AS12" i="11" s="1"/>
  <c r="AI24" i="7"/>
  <c r="AR24" i="11" s="1"/>
  <c r="AM40" i="7"/>
  <c r="AV40" i="11" s="1"/>
  <c r="AK38" i="8"/>
  <c r="BF38" i="11" s="1"/>
  <c r="AN38" i="8"/>
  <c r="BI38" i="11" s="1"/>
  <c r="AJ50" i="8"/>
  <c r="BE50" i="11" s="1"/>
  <c r="AH58" i="8"/>
  <c r="BC58" i="11" s="1"/>
  <c r="AI59" i="5"/>
  <c r="AG59" i="5"/>
  <c r="AI41" i="5"/>
  <c r="T41" i="11" s="1"/>
  <c r="AJ57" i="5"/>
  <c r="U57" i="11" s="1"/>
  <c r="AH57" i="5"/>
  <c r="S57" i="11" s="1"/>
  <c r="AG9" i="7"/>
  <c r="AP9" i="11" s="1"/>
  <c r="AG41" i="7"/>
  <c r="AP41" i="11" s="1"/>
  <c r="AI45" i="7"/>
  <c r="AR45" i="11" s="1"/>
  <c r="AI37" i="9"/>
  <c r="BP37" i="11" s="1"/>
  <c r="AH37" i="9"/>
  <c r="BO37" i="11" s="1"/>
  <c r="AI45" i="9"/>
  <c r="BP45" i="11" s="1"/>
  <c r="AH57" i="9"/>
  <c r="BO57" i="11" s="1"/>
  <c r="AH58" i="5"/>
  <c r="S58" i="11" s="1"/>
  <c r="AG58" i="5"/>
  <c r="R58" i="11" s="1"/>
  <c r="AI28" i="6"/>
  <c r="AF28" i="11" s="1"/>
  <c r="AH36" i="6"/>
  <c r="AE36" i="11" s="1"/>
  <c r="AJ22" i="7"/>
  <c r="AS22" i="11" s="1"/>
  <c r="AH58" i="7"/>
  <c r="AQ58" i="11" s="1"/>
  <c r="AJ36" i="8"/>
  <c r="BE36" i="11" s="1"/>
  <c r="AG14" i="9"/>
  <c r="BN14" i="11" s="1"/>
  <c r="AL38" i="9"/>
  <c r="BS38" i="11" s="1"/>
  <c r="AG24" i="5"/>
  <c r="R24" i="11" s="1"/>
  <c r="AG36" i="5"/>
  <c r="R36" i="11" s="1"/>
  <c r="AH22" i="6"/>
  <c r="AE22" i="11" s="1"/>
  <c r="AI34" i="6"/>
  <c r="AF34" i="11" s="1"/>
  <c r="AG34" i="6"/>
  <c r="AD34" i="11" s="1"/>
  <c r="AG36" i="7"/>
  <c r="AP36" i="11" s="1"/>
  <c r="AH52" i="9"/>
  <c r="BO52" i="11" s="1"/>
  <c r="AI37" i="6"/>
  <c r="AF37" i="11" s="1"/>
  <c r="AG9" i="8"/>
  <c r="BB9" i="11" s="1"/>
  <c r="AH15" i="9"/>
  <c r="BO15" i="11" s="1"/>
  <c r="AK40" i="5"/>
  <c r="V40" i="11" s="1"/>
  <c r="AI12" i="7"/>
  <c r="AR12" i="11" s="1"/>
  <c r="AI50" i="8"/>
  <c r="BD50" i="11" s="1"/>
  <c r="AG24" i="9"/>
  <c r="BN24" i="11" s="1"/>
  <c r="AC14" i="8"/>
  <c r="AX14" i="11" s="1"/>
  <c r="AE32" i="6"/>
  <c r="AB32" i="11" s="1"/>
  <c r="AG25" i="5"/>
  <c r="R25" i="11" s="1"/>
  <c r="AJ37" i="5"/>
  <c r="U37" i="11" s="1"/>
  <c r="AL35" i="6"/>
  <c r="AI35" i="11" s="1"/>
  <c r="AI41" i="7"/>
  <c r="AR41" i="11" s="1"/>
  <c r="AH57" i="7"/>
  <c r="AQ57" i="11" s="1"/>
  <c r="AI9" i="9"/>
  <c r="BP9" i="11" s="1"/>
  <c r="AI41" i="9"/>
  <c r="BP41" i="11" s="1"/>
  <c r="AI22" i="5"/>
  <c r="T22" i="11" s="1"/>
  <c r="AH8" i="6"/>
  <c r="AE8" i="11" s="1"/>
  <c r="AI36" i="6"/>
  <c r="AF36" i="11" s="1"/>
  <c r="AK40" i="6"/>
  <c r="AH40" i="11" s="1"/>
  <c r="AI44" i="6"/>
  <c r="AF44" i="11" s="1"/>
  <c r="AG28" i="8"/>
  <c r="BB28" i="11" s="1"/>
  <c r="AJ56" i="8"/>
  <c r="BE56" i="11" s="1"/>
  <c r="AG58" i="9"/>
  <c r="BN58" i="11" s="1"/>
  <c r="AI8" i="5"/>
  <c r="T8" i="11" s="1"/>
  <c r="AI36" i="5"/>
  <c r="T36" i="11" s="1"/>
  <c r="AI8" i="9"/>
  <c r="BP8" i="11" s="1"/>
  <c r="AG28" i="9"/>
  <c r="BN28" i="11" s="1"/>
  <c r="AG36" i="9"/>
  <c r="BN36" i="11" s="1"/>
  <c r="AH44" i="9"/>
  <c r="BO44" i="11" s="1"/>
  <c r="AH59" i="8"/>
  <c r="AH59" i="6"/>
  <c r="AH37" i="6"/>
  <c r="AE37" i="11" s="1"/>
  <c r="AI57" i="6"/>
  <c r="AF57" i="11" s="1"/>
  <c r="AH57" i="6"/>
  <c r="AE57" i="11" s="1"/>
  <c r="AG37" i="8"/>
  <c r="BB37" i="11" s="1"/>
  <c r="AI41" i="8"/>
  <c r="BD41" i="11" s="1"/>
  <c r="AG23" i="9"/>
  <c r="BN23" i="11" s="1"/>
  <c r="AI12" i="5"/>
  <c r="T12" i="11" s="1"/>
  <c r="AN38" i="6"/>
  <c r="AK38" i="11" s="1"/>
  <c r="AJ24" i="7"/>
  <c r="AS24" i="11" s="1"/>
  <c r="AE5" i="9"/>
  <c r="BL5" i="11" s="1"/>
  <c r="AC47" i="9"/>
  <c r="BJ47" i="11" s="1"/>
  <c r="AG62" i="5"/>
  <c r="AJ59" i="5"/>
  <c r="AH59" i="5"/>
  <c r="AJ45" i="5"/>
  <c r="U45" i="11" s="1"/>
  <c r="AH49" i="5"/>
  <c r="S49" i="11" s="1"/>
  <c r="AI57" i="5"/>
  <c r="T57" i="11" s="1"/>
  <c r="AG57" i="5"/>
  <c r="R57" i="11" s="1"/>
  <c r="AH19" i="6"/>
  <c r="AE19" i="11" s="1"/>
  <c r="AG23" i="6"/>
  <c r="AD23" i="11" s="1"/>
  <c r="AH45" i="7"/>
  <c r="AQ45" i="11" s="1"/>
  <c r="AI49" i="7"/>
  <c r="AR49" i="11" s="1"/>
  <c r="AG37" i="9"/>
  <c r="BN37" i="11" s="1"/>
  <c r="AG49" i="9"/>
  <c r="BN49" i="11" s="1"/>
  <c r="AH59" i="7"/>
  <c r="AK38" i="5"/>
  <c r="V38" i="11" s="1"/>
  <c r="AH50" i="5"/>
  <c r="S50" i="11" s="1"/>
  <c r="AG52" i="6"/>
  <c r="AD52" i="11" s="1"/>
  <c r="AH34" i="7"/>
  <c r="AQ34" i="11" s="1"/>
  <c r="AG8" i="8"/>
  <c r="BB8" i="11" s="1"/>
  <c r="AI28" i="8"/>
  <c r="BD28" i="11" s="1"/>
  <c r="AH28" i="8"/>
  <c r="BC28" i="11" s="1"/>
  <c r="AI52" i="8"/>
  <c r="BD52" i="11" s="1"/>
  <c r="AH52" i="8"/>
  <c r="BC52" i="11" s="1"/>
  <c r="AJ24" i="5"/>
  <c r="U24" i="11" s="1"/>
  <c r="AH36" i="5"/>
  <c r="S36" i="11" s="1"/>
  <c r="AH44" i="5"/>
  <c r="S44" i="11" s="1"/>
  <c r="AJ28" i="7"/>
  <c r="AS28" i="11" s="1"/>
  <c r="AH36" i="7"/>
  <c r="AQ36" i="11" s="1"/>
  <c r="AI52" i="7"/>
  <c r="AR52" i="11" s="1"/>
  <c r="AL31" i="5"/>
  <c r="W31" i="11" s="1"/>
  <c r="AM31" i="7"/>
  <c r="AV31" i="11" s="1"/>
  <c r="AM35" i="7"/>
  <c r="AV35" i="11" s="1"/>
  <c r="AI19" i="9"/>
  <c r="BP19" i="11" s="1"/>
  <c r="AH28" i="5"/>
  <c r="S28" i="11" s="1"/>
  <c r="AI32" i="7"/>
  <c r="AR32" i="11" s="1"/>
  <c r="AH32" i="9"/>
  <c r="BO32" i="11" s="1"/>
  <c r="BD47" i="11"/>
  <c r="AI59" i="8"/>
  <c r="AI58" i="8"/>
  <c r="BD58" i="11" s="1"/>
  <c r="AI57" i="8"/>
  <c r="BD57" i="11" s="1"/>
  <c r="AF58" i="5"/>
  <c r="Q58" i="11" s="1"/>
  <c r="AC62" i="5"/>
  <c r="AC60" i="5"/>
  <c r="AC61" i="5"/>
  <c r="AH61" i="6"/>
  <c r="AH60" i="6"/>
  <c r="AQ51" i="11"/>
  <c r="AF62" i="5"/>
  <c r="AF60" i="5"/>
  <c r="AF61" i="5"/>
  <c r="AE29" i="5"/>
  <c r="P29" i="11" s="1"/>
  <c r="AE62" i="5"/>
  <c r="AE60" i="5"/>
  <c r="AE61" i="5"/>
  <c r="AE59" i="5"/>
  <c r="AE58" i="5"/>
  <c r="P58" i="11" s="1"/>
  <c r="AE29" i="9"/>
  <c r="BL29" i="11" s="1"/>
  <c r="AC53" i="8"/>
  <c r="AX53" i="11" s="1"/>
  <c r="AE24" i="7"/>
  <c r="AN24" i="11" s="1"/>
  <c r="AD46" i="5"/>
  <c r="O46" i="11" s="1"/>
  <c r="AF46" i="7"/>
  <c r="AO46" i="11" s="1"/>
  <c r="AD53" i="7"/>
  <c r="AM53" i="11" s="1"/>
  <c r="AD43" i="7"/>
  <c r="AM43" i="11" s="1"/>
  <c r="AF56" i="7"/>
  <c r="AO56" i="11" s="1"/>
  <c r="AE56" i="7"/>
  <c r="AN56" i="11" s="1"/>
  <c r="AD42" i="5"/>
  <c r="O42" i="11" s="1"/>
  <c r="AF50" i="8"/>
  <c r="BA50" i="11" s="1"/>
  <c r="AC42" i="6"/>
  <c r="Z42" i="11" s="1"/>
  <c r="AC42" i="8"/>
  <c r="AX42" i="11" s="1"/>
  <c r="AC56" i="6"/>
  <c r="Z56" i="11" s="1"/>
  <c r="AG60" i="5"/>
  <c r="AC53" i="9"/>
  <c r="BJ53" i="11" s="1"/>
  <c r="AD10" i="9"/>
  <c r="BK10" i="11" s="1"/>
  <c r="AF19" i="6"/>
  <c r="AC19" i="11" s="1"/>
  <c r="AF51" i="8"/>
  <c r="BA51" i="11" s="1"/>
  <c r="BB25" i="11"/>
  <c r="AD30" i="9"/>
  <c r="BK30" i="11" s="1"/>
  <c r="AC41" i="6"/>
  <c r="Z41" i="11" s="1"/>
  <c r="AD27" i="8"/>
  <c r="AY27" i="11" s="1"/>
  <c r="AF30" i="5"/>
  <c r="Q30" i="11" s="1"/>
  <c r="AQ29" i="11"/>
  <c r="AD21" i="6"/>
  <c r="AA21" i="11" s="1"/>
  <c r="AD9" i="6"/>
  <c r="AA9" i="11" s="1"/>
  <c r="AE42" i="6"/>
  <c r="AB42" i="11" s="1"/>
  <c r="AC14" i="7"/>
  <c r="AL14" i="11" s="1"/>
  <c r="AE5" i="6"/>
  <c r="AB5" i="11" s="1"/>
  <c r="AF21" i="8"/>
  <c r="BA21" i="11" s="1"/>
  <c r="AF24" i="8"/>
  <c r="BA24" i="11" s="1"/>
  <c r="AC21" i="8"/>
  <c r="AX21" i="11" s="1"/>
  <c r="AS5" i="11"/>
  <c r="AD5" i="7"/>
  <c r="AM5" i="11" s="1"/>
  <c r="BC50" i="11"/>
  <c r="AC29" i="8"/>
  <c r="AX29" i="11" s="1"/>
  <c r="BP34" i="11"/>
  <c r="BC34" i="11"/>
  <c r="AS34" i="11"/>
  <c r="R44" i="11"/>
  <c r="R5" i="11"/>
  <c r="AC42" i="7"/>
  <c r="AL42" i="11" s="1"/>
  <c r="AF51" i="7"/>
  <c r="AO51" i="11" s="1"/>
  <c r="AD42" i="6"/>
  <c r="AA42" i="11" s="1"/>
  <c r="AC55" i="7"/>
  <c r="AL55" i="11" s="1"/>
  <c r="AE59" i="9"/>
  <c r="AD42" i="9"/>
  <c r="BK42" i="11" s="1"/>
  <c r="AF42" i="8"/>
  <c r="BA42" i="11" s="1"/>
  <c r="AE32" i="8"/>
  <c r="AZ32" i="11" s="1"/>
  <c r="AD24" i="8"/>
  <c r="AY24" i="11" s="1"/>
  <c r="AE15" i="7"/>
  <c r="AN15" i="11" s="1"/>
  <c r="AF21" i="7"/>
  <c r="AO21" i="11" s="1"/>
  <c r="U29" i="11"/>
  <c r="AV57" i="11"/>
  <c r="BE57" i="11"/>
  <c r="AJ62" i="5"/>
  <c r="AJ61" i="5"/>
  <c r="AJ60" i="5"/>
  <c r="AP42" i="11"/>
  <c r="AG60" i="6"/>
  <c r="AG62" i="6"/>
  <c r="AG61" i="6"/>
  <c r="AF32" i="11"/>
  <c r="AI61" i="6"/>
  <c r="AI62" i="6"/>
  <c r="AI60" i="6"/>
  <c r="AI61" i="5"/>
  <c r="AI60" i="5"/>
  <c r="AI62" i="5"/>
  <c r="AR19" i="11"/>
  <c r="AH60" i="5"/>
  <c r="AH62" i="5"/>
  <c r="AH61" i="5"/>
  <c r="S42" i="11"/>
  <c r="AP57" i="11"/>
  <c r="AE43" i="8"/>
  <c r="AZ43" i="11" s="1"/>
  <c r="BS35" i="11"/>
  <c r="AW57" i="11"/>
  <c r="AT58" i="11"/>
  <c r="AT57" i="11"/>
  <c r="AU58" i="11"/>
  <c r="AU57" i="11"/>
  <c r="AF29" i="5"/>
  <c r="Q29" i="11" s="1"/>
  <c r="AE51" i="5"/>
  <c r="P51" i="11" s="1"/>
  <c r="AE47" i="5"/>
  <c r="P47" i="11" s="1"/>
  <c r="AE24" i="5"/>
  <c r="P24" i="11" s="1"/>
  <c r="AD11" i="5"/>
  <c r="O11" i="11" s="1"/>
  <c r="AD29" i="5"/>
  <c r="O29" i="11" s="1"/>
  <c r="AE43" i="5"/>
  <c r="P43" i="11" s="1"/>
  <c r="AD30" i="5"/>
  <c r="O30" i="11" s="1"/>
  <c r="AE29" i="6"/>
  <c r="AB29" i="11" s="1"/>
  <c r="AE46" i="6"/>
  <c r="AB46" i="11" s="1"/>
  <c r="AE43" i="6"/>
  <c r="AB43" i="11" s="1"/>
  <c r="AD29" i="6"/>
  <c r="AA29" i="11" s="1"/>
  <c r="AC15" i="6"/>
  <c r="Z15" i="11" s="1"/>
  <c r="AF5" i="7"/>
  <c r="AO5" i="11" s="1"/>
  <c r="AF43" i="7"/>
  <c r="AO43" i="11" s="1"/>
  <c r="AF50" i="7"/>
  <c r="AO50" i="11" s="1"/>
  <c r="AE43" i="7"/>
  <c r="AN43" i="11" s="1"/>
  <c r="AE51" i="7"/>
  <c r="AN51" i="11" s="1"/>
  <c r="AD47" i="7"/>
  <c r="AM47" i="11" s="1"/>
  <c r="AC29" i="7"/>
  <c r="AL29" i="11" s="1"/>
  <c r="AF5" i="8"/>
  <c r="BA5" i="11" s="1"/>
  <c r="AD51" i="8"/>
  <c r="AY51" i="11" s="1"/>
  <c r="AC51" i="8"/>
  <c r="AX51" i="11" s="1"/>
  <c r="AC24" i="8"/>
  <c r="AX24" i="11" s="1"/>
  <c r="AC24" i="9"/>
  <c r="BJ24" i="11" s="1"/>
  <c r="AD50" i="5"/>
  <c r="O50" i="11" s="1"/>
  <c r="AD34" i="6"/>
  <c r="AA34" i="11" s="1"/>
  <c r="AE39" i="8"/>
  <c r="AZ39" i="11" s="1"/>
  <c r="AE15" i="8"/>
  <c r="AZ15" i="11" s="1"/>
  <c r="AC32" i="6"/>
  <c r="Z32" i="11" s="1"/>
  <c r="AE42" i="7"/>
  <c r="AN42" i="11" s="1"/>
  <c r="AC41" i="9"/>
  <c r="BJ41" i="11" s="1"/>
  <c r="AE21" i="9"/>
  <c r="BL21" i="11" s="1"/>
  <c r="AD5" i="8"/>
  <c r="AY5" i="11" s="1"/>
  <c r="AF14" i="7"/>
  <c r="AO14" i="11" s="1"/>
  <c r="AD44" i="7"/>
  <c r="AM44" i="11" s="1"/>
  <c r="AC21" i="6"/>
  <c r="Z21" i="11" s="1"/>
  <c r="AE16" i="9"/>
  <c r="BL16" i="11" s="1"/>
  <c r="AE14" i="9"/>
  <c r="BL14" i="11" s="1"/>
  <c r="AF62" i="6"/>
  <c r="AF61" i="6"/>
  <c r="AF60" i="6"/>
  <c r="AF59" i="6"/>
  <c r="AF57" i="6"/>
  <c r="AC57" i="11" s="1"/>
  <c r="AD22" i="9"/>
  <c r="BK22" i="11" s="1"/>
  <c r="AD19" i="9"/>
  <c r="BK19" i="11" s="1"/>
  <c r="AE19" i="8"/>
  <c r="AZ19" i="11" s="1"/>
  <c r="AF58" i="6"/>
  <c r="AC58" i="11" s="1"/>
  <c r="AD14" i="8"/>
  <c r="AY14" i="11" s="1"/>
  <c r="AF19" i="5"/>
  <c r="Q19" i="11" s="1"/>
  <c r="AE47" i="7"/>
  <c r="AN47" i="11" s="1"/>
  <c r="AD19" i="6"/>
  <c r="AA19" i="11" s="1"/>
  <c r="AD47" i="9"/>
  <c r="BK47" i="11" s="1"/>
  <c r="AF47" i="6"/>
  <c r="AC47" i="11" s="1"/>
  <c r="AC19" i="8"/>
  <c r="AX19" i="11" s="1"/>
  <c r="AE55" i="7"/>
  <c r="AN55" i="11" s="1"/>
  <c r="AD21" i="7"/>
  <c r="AM21" i="11" s="1"/>
  <c r="AC44" i="6"/>
  <c r="Z44" i="11" s="1"/>
  <c r="AF14" i="8"/>
  <c r="BA14" i="11" s="1"/>
  <c r="AC15" i="5"/>
  <c r="N15" i="11" s="1"/>
  <c r="AE19" i="5"/>
  <c r="P19" i="11" s="1"/>
  <c r="AE42" i="8"/>
  <c r="AZ42" i="11" s="1"/>
  <c r="AE15" i="6"/>
  <c r="AB15" i="11" s="1"/>
  <c r="AD15" i="7"/>
  <c r="AM15" i="11" s="1"/>
  <c r="AC20" i="6"/>
  <c r="Z20" i="11" s="1"/>
  <c r="AF53" i="6"/>
  <c r="AC53" i="11" s="1"/>
  <c r="AF14" i="5"/>
  <c r="Q14" i="11" s="1"/>
  <c r="AF5" i="6"/>
  <c r="AC5" i="11" s="1"/>
  <c r="AD47" i="6"/>
  <c r="AA47" i="11" s="1"/>
  <c r="AD41" i="6"/>
  <c r="AA41" i="11" s="1"/>
  <c r="AC27" i="7"/>
  <c r="AL27" i="11" s="1"/>
  <c r="AE53" i="8"/>
  <c r="AZ53" i="11" s="1"/>
  <c r="AE10" i="6"/>
  <c r="AB10" i="11" s="1"/>
  <c r="AE46" i="9"/>
  <c r="BL46" i="11" s="1"/>
  <c r="AF32" i="6"/>
  <c r="AC32" i="11" s="1"/>
  <c r="AC46" i="5"/>
  <c r="N46" i="11" s="1"/>
  <c r="AD46" i="6"/>
  <c r="AA46" i="11" s="1"/>
  <c r="AD29" i="8"/>
  <c r="AY29" i="11" s="1"/>
  <c r="AF27" i="5"/>
  <c r="Q27" i="11" s="1"/>
  <c r="AF53" i="7"/>
  <c r="AO53" i="11" s="1"/>
  <c r="AE29" i="7"/>
  <c r="AN29" i="11" s="1"/>
  <c r="AD32" i="9"/>
  <c r="BK32" i="11" s="1"/>
  <c r="AF19" i="8"/>
  <c r="BA19" i="11" s="1"/>
  <c r="AD42" i="7"/>
  <c r="AM42" i="11" s="1"/>
  <c r="AC43" i="6"/>
  <c r="Z43" i="11" s="1"/>
  <c r="AE19" i="7"/>
  <c r="AN19" i="11" s="1"/>
  <c r="AD20" i="9"/>
  <c r="BK20" i="11" s="1"/>
  <c r="AD52" i="7"/>
  <c r="AM52" i="11" s="1"/>
  <c r="AD46" i="7"/>
  <c r="AM46" i="11" s="1"/>
  <c r="AF10" i="6"/>
  <c r="AC10" i="11" s="1"/>
  <c r="AB60" i="6"/>
  <c r="AB62" i="6"/>
  <c r="AB61" i="6"/>
  <c r="AE53" i="5"/>
  <c r="P53" i="11" s="1"/>
  <c r="AA62" i="5"/>
  <c r="AA61" i="5"/>
  <c r="AA60" i="5"/>
  <c r="Z62" i="6"/>
  <c r="Z61" i="6"/>
  <c r="Z60" i="6"/>
  <c r="AB62" i="5"/>
  <c r="AB60" i="5"/>
  <c r="AB61" i="5"/>
  <c r="O4" i="4"/>
  <c r="AE23" i="6"/>
  <c r="AB23" i="11" s="1"/>
  <c r="AA62" i="6"/>
  <c r="AA60" i="6"/>
  <c r="AA61" i="6"/>
  <c r="V61" i="5"/>
  <c r="Y60" i="5"/>
  <c r="V62" i="5"/>
  <c r="Y61" i="5"/>
  <c r="Y62" i="5"/>
  <c r="V60" i="5"/>
  <c r="AC20" i="8"/>
  <c r="AX20" i="11" s="1"/>
  <c r="V61" i="6"/>
  <c r="Y61" i="6"/>
  <c r="Y60" i="6"/>
  <c r="V62" i="6"/>
  <c r="V60" i="6"/>
  <c r="Y62" i="6"/>
  <c r="Z61" i="5"/>
  <c r="Z62" i="5"/>
  <c r="Z60" i="5"/>
  <c r="AE48" i="7"/>
  <c r="AN48" i="11" s="1"/>
  <c r="S26" i="11"/>
  <c r="AD53" i="9"/>
  <c r="BK53" i="11" s="1"/>
  <c r="AC49" i="6"/>
  <c r="Z49" i="11" s="1"/>
  <c r="AF22" i="8"/>
  <c r="BA22" i="11" s="1"/>
  <c r="AD23" i="9"/>
  <c r="BK23" i="11" s="1"/>
  <c r="AE25" i="5"/>
  <c r="P25" i="11" s="1"/>
  <c r="AF12" i="7"/>
  <c r="AO12" i="11" s="1"/>
  <c r="AD33" i="8"/>
  <c r="AY33" i="11" s="1"/>
  <c r="AJ46" i="11"/>
  <c r="AH35" i="11"/>
  <c r="W35" i="11"/>
  <c r="AR22" i="11"/>
  <c r="BP56" i="11"/>
  <c r="AS41" i="11"/>
  <c r="AQ13" i="11"/>
  <c r="AQ41" i="11"/>
  <c r="BE41" i="11"/>
  <c r="AP22" i="11"/>
  <c r="AD49" i="8"/>
  <c r="AY49" i="11" s="1"/>
  <c r="AF37" i="8"/>
  <c r="BA37" i="11" s="1"/>
  <c r="AD39" i="8"/>
  <c r="AY39" i="11" s="1"/>
  <c r="AC5" i="7"/>
  <c r="AL5" i="11" s="1"/>
  <c r="AE37" i="7"/>
  <c r="AN37" i="11" s="1"/>
  <c r="AD48" i="9"/>
  <c r="BK48" i="11" s="1"/>
  <c r="AD10" i="7"/>
  <c r="AM10" i="11" s="1"/>
  <c r="AD37" i="7"/>
  <c r="AM37" i="11" s="1"/>
  <c r="AD11" i="9"/>
  <c r="BK11" i="11" s="1"/>
  <c r="AE17" i="5"/>
  <c r="P17" i="11" s="1"/>
  <c r="AE39" i="5"/>
  <c r="P39" i="11" s="1"/>
  <c r="AF17" i="5"/>
  <c r="Q17" i="11" s="1"/>
  <c r="AD11" i="7"/>
  <c r="AM11" i="11" s="1"/>
  <c r="AD11" i="8"/>
  <c r="AY11" i="11" s="1"/>
  <c r="AF16" i="7"/>
  <c r="AO16" i="11" s="1"/>
  <c r="AC52" i="5"/>
  <c r="N52" i="11" s="1"/>
  <c r="AC59" i="5"/>
  <c r="AE37" i="6"/>
  <c r="AB37" i="11" s="1"/>
  <c r="AE11" i="6"/>
  <c r="AB11" i="11" s="1"/>
  <c r="AF11" i="8"/>
  <c r="BA11" i="11" s="1"/>
  <c r="AF11" i="6"/>
  <c r="AC11" i="11" s="1"/>
  <c r="AE11" i="5"/>
  <c r="P11" i="11" s="1"/>
  <c r="AD25" i="9"/>
  <c r="BK25" i="11" s="1"/>
  <c r="AC25" i="7"/>
  <c r="AL25" i="11" s="1"/>
  <c r="AD53" i="5"/>
  <c r="O53" i="11" s="1"/>
  <c r="AC59" i="7"/>
  <c r="AC10" i="5"/>
  <c r="N10" i="11" s="1"/>
  <c r="AF10" i="7"/>
  <c r="AO10" i="11" s="1"/>
  <c r="AD25" i="7"/>
  <c r="AM25" i="11" s="1"/>
  <c r="AD50" i="7"/>
  <c r="AM50" i="11" s="1"/>
  <c r="AC37" i="6"/>
  <c r="Z37" i="11" s="1"/>
  <c r="AE33" i="5"/>
  <c r="P33" i="11" s="1"/>
  <c r="AE33" i="7"/>
  <c r="AN33" i="11" s="1"/>
  <c r="AF23" i="7"/>
  <c r="AO23" i="11" s="1"/>
  <c r="AD48" i="6"/>
  <c r="AA48" i="11" s="1"/>
  <c r="AD17" i="8"/>
  <c r="AY17" i="11" s="1"/>
  <c r="AE53" i="7"/>
  <c r="AN53" i="11" s="1"/>
  <c r="AD5" i="9"/>
  <c r="BK5" i="11" s="1"/>
  <c r="AE22" i="7"/>
  <c r="AN22" i="11" s="1"/>
  <c r="Z29" i="8"/>
  <c r="AA11" i="6"/>
  <c r="AA23" i="8"/>
  <c r="AA44" i="9"/>
  <c r="AA27" i="5"/>
  <c r="Y50" i="6"/>
  <c r="AA14" i="9"/>
  <c r="Z45" i="7"/>
  <c r="Z11" i="9"/>
  <c r="R6" i="11"/>
  <c r="BO26" i="11"/>
  <c r="AR51" i="11"/>
  <c r="BN42" i="11"/>
  <c r="AA13" i="9"/>
  <c r="AA59" i="9"/>
  <c r="Y30" i="6"/>
  <c r="Z51" i="8"/>
  <c r="AZ9" i="11"/>
  <c r="AA21" i="9"/>
  <c r="AA41" i="9"/>
  <c r="AA43" i="9"/>
  <c r="AH38" i="11"/>
  <c r="U42" i="11"/>
  <c r="AR26" i="11"/>
  <c r="BO29" i="11"/>
  <c r="Z20" i="8"/>
  <c r="AA46" i="6"/>
  <c r="AA56" i="9"/>
  <c r="AA34" i="9"/>
  <c r="AA37" i="9"/>
  <c r="AA51" i="9"/>
  <c r="AA50" i="9"/>
  <c r="AA9" i="9"/>
  <c r="Z20" i="7"/>
  <c r="T42" i="11"/>
  <c r="AE31" i="7"/>
  <c r="AN31" i="11" s="1"/>
  <c r="Z48" i="8"/>
  <c r="AA52" i="9"/>
  <c r="AA33" i="9"/>
  <c r="AA11" i="9"/>
  <c r="AA25" i="9"/>
  <c r="Z18" i="7"/>
  <c r="Z24" i="8"/>
  <c r="AA23" i="6"/>
  <c r="AA16" i="9"/>
  <c r="AA46" i="9"/>
  <c r="AA30" i="9"/>
  <c r="AA26" i="9"/>
  <c r="Z37" i="8"/>
  <c r="AA45" i="9"/>
  <c r="AA4" i="9"/>
  <c r="AA42" i="9"/>
  <c r="AA48" i="9"/>
  <c r="AA40" i="9"/>
  <c r="Y29" i="6"/>
  <c r="BT40" i="11"/>
  <c r="Z33" i="9"/>
  <c r="Z25" i="8"/>
  <c r="Z9" i="8"/>
  <c r="Z21" i="8"/>
  <c r="Z44" i="8"/>
  <c r="AA40" i="8"/>
  <c r="Z14" i="8"/>
  <c r="Z45" i="8"/>
  <c r="Z28" i="8"/>
  <c r="Z23" i="8"/>
  <c r="AB48" i="7"/>
  <c r="AA18" i="6"/>
  <c r="AA34" i="6"/>
  <c r="AB6" i="6"/>
  <c r="AB52" i="6"/>
  <c r="Y38" i="6"/>
  <c r="AB25" i="7"/>
  <c r="AA38" i="7"/>
  <c r="AA18" i="7"/>
  <c r="Z4" i="8"/>
  <c r="Z58" i="8"/>
  <c r="Z49" i="8"/>
  <c r="Z33" i="8"/>
  <c r="Z17" i="8"/>
  <c r="Z5" i="8"/>
  <c r="AA22" i="8"/>
  <c r="AA21" i="8"/>
  <c r="Z38" i="8"/>
  <c r="AA38" i="8"/>
  <c r="AA15" i="8"/>
  <c r="Z10" i="8"/>
  <c r="Z40" i="8"/>
  <c r="Z41" i="8"/>
  <c r="AB28" i="7"/>
  <c r="AB16" i="7"/>
  <c r="Z43" i="7"/>
  <c r="AA11" i="7"/>
  <c r="AB29" i="7"/>
  <c r="AB25" i="6"/>
  <c r="AB23" i="6"/>
  <c r="Y20" i="6"/>
  <c r="AA41" i="6"/>
  <c r="AA13" i="6"/>
  <c r="AB29" i="6"/>
  <c r="Y22" i="6"/>
  <c r="AB37" i="6"/>
  <c r="AA6" i="6"/>
  <c r="AA44" i="6"/>
  <c r="AA59" i="6"/>
  <c r="Y40" i="6"/>
  <c r="Y48" i="6"/>
  <c r="AB51" i="6"/>
  <c r="AA48" i="6"/>
  <c r="AA36" i="6"/>
  <c r="AB44" i="6"/>
  <c r="AB35" i="6"/>
  <c r="AA14" i="6"/>
  <c r="AA32" i="6"/>
  <c r="AA42" i="6"/>
  <c r="AA31" i="6"/>
  <c r="AA28" i="6"/>
  <c r="AA35" i="6"/>
  <c r="AA22" i="6"/>
  <c r="AA10" i="6"/>
  <c r="AA50" i="6"/>
  <c r="AA9" i="6"/>
  <c r="AA29" i="6"/>
  <c r="AB10" i="6"/>
  <c r="AB16" i="6"/>
  <c r="AB31" i="6"/>
  <c r="AA24" i="6"/>
  <c r="AA19" i="6"/>
  <c r="AA39" i="6"/>
  <c r="AB34" i="6"/>
  <c r="AB14" i="6"/>
  <c r="AB28" i="6"/>
  <c r="AA40" i="6"/>
  <c r="AA5" i="6"/>
  <c r="AA33" i="6"/>
  <c r="AA52" i="6"/>
  <c r="AA26" i="6"/>
  <c r="AA47" i="6"/>
  <c r="AA25" i="6"/>
  <c r="AA15" i="6"/>
  <c r="AA43" i="6"/>
  <c r="AA21" i="6"/>
  <c r="AA30" i="6"/>
  <c r="AA58" i="6"/>
  <c r="AB15" i="6"/>
  <c r="AB13" i="6"/>
  <c r="AB33" i="6"/>
  <c r="AB20" i="6"/>
  <c r="AB59" i="6"/>
  <c r="AB21" i="6"/>
  <c r="AB9" i="6"/>
  <c r="AA4" i="6"/>
  <c r="AA38" i="6"/>
  <c r="AA17" i="6"/>
  <c r="AA16" i="6"/>
  <c r="AA7" i="6"/>
  <c r="AA45" i="6"/>
  <c r="AA27" i="6"/>
  <c r="AA8" i="6"/>
  <c r="AA37" i="6"/>
  <c r="AA51" i="6"/>
  <c r="AB7" i="6"/>
  <c r="AB58" i="6"/>
  <c r="AB11" i="6"/>
  <c r="AB41" i="6"/>
  <c r="AA20" i="6"/>
  <c r="Y44" i="6"/>
  <c r="AB18" i="5"/>
  <c r="AA7" i="8"/>
  <c r="AA26" i="8"/>
  <c r="AA42" i="8"/>
  <c r="AA31" i="8"/>
  <c r="AA39" i="8"/>
  <c r="AA29" i="8"/>
  <c r="AA47" i="8"/>
  <c r="AA58" i="8"/>
  <c r="AA28" i="8"/>
  <c r="AA35" i="8"/>
  <c r="AA30" i="8"/>
  <c r="AA46" i="8"/>
  <c r="AA43" i="8"/>
  <c r="AA12" i="8"/>
  <c r="AA51" i="8"/>
  <c r="AA11" i="8"/>
  <c r="AA9" i="8"/>
  <c r="AA37" i="8"/>
  <c r="AA4" i="8"/>
  <c r="AA44" i="8"/>
  <c r="AA18" i="8"/>
  <c r="AA34" i="8"/>
  <c r="AA50" i="8"/>
  <c r="AA24" i="8"/>
  <c r="AA10" i="8"/>
  <c r="AA52" i="8"/>
  <c r="AA45" i="8"/>
  <c r="Z57" i="9"/>
  <c r="Y6" i="9"/>
  <c r="Z20" i="9"/>
  <c r="Z17" i="9"/>
  <c r="AA12" i="9"/>
  <c r="AA31" i="9"/>
  <c r="AA15" i="9"/>
  <c r="AA8" i="9"/>
  <c r="AA24" i="9"/>
  <c r="AA49" i="9"/>
  <c r="AA32" i="9"/>
  <c r="AA58" i="9"/>
  <c r="AA10" i="9"/>
  <c r="AA5" i="9"/>
  <c r="AA54" i="9"/>
  <c r="AA29" i="9"/>
  <c r="AA22" i="9"/>
  <c r="AA7" i="9"/>
  <c r="AA18" i="9"/>
  <c r="AA36" i="9"/>
  <c r="AA19" i="9"/>
  <c r="AA20" i="9"/>
  <c r="AA53" i="9"/>
  <c r="AA23" i="9"/>
  <c r="AA39" i="9"/>
  <c r="AA57" i="9"/>
  <c r="Z59" i="9"/>
  <c r="Z21" i="9"/>
  <c r="Z23" i="9"/>
  <c r="Z16" i="9"/>
  <c r="Z22" i="9"/>
  <c r="Z54" i="9"/>
  <c r="Z48" i="9"/>
  <c r="V12" i="9"/>
  <c r="M12" i="4" s="1"/>
  <c r="Z37" i="9"/>
  <c r="Z40" i="9"/>
  <c r="Z38" i="9"/>
  <c r="Z18" i="9"/>
  <c r="Z31" i="9"/>
  <c r="Z28" i="9"/>
  <c r="Z42" i="9"/>
  <c r="Y44" i="9"/>
  <c r="Y11" i="9"/>
  <c r="Y45" i="9"/>
  <c r="AB58" i="5"/>
  <c r="AB33" i="5"/>
  <c r="V53" i="9"/>
  <c r="M53" i="4" s="1"/>
  <c r="Y37" i="9"/>
  <c r="AB16" i="5"/>
  <c r="AB44" i="5"/>
  <c r="AB26" i="5"/>
  <c r="V43" i="9"/>
  <c r="M43" i="4" s="1"/>
  <c r="V44" i="9"/>
  <c r="M44" i="4" s="1"/>
  <c r="AA19" i="7"/>
  <c r="Z7" i="5"/>
  <c r="AA36" i="7"/>
  <c r="AA32" i="7"/>
  <c r="AA59" i="7"/>
  <c r="AB47" i="7"/>
  <c r="AA58" i="7"/>
  <c r="AA12" i="7"/>
  <c r="Z59" i="8"/>
  <c r="V44" i="8"/>
  <c r="L44" i="4" s="1"/>
  <c r="V53" i="8"/>
  <c r="L53" i="4" s="1"/>
  <c r="V10" i="8"/>
  <c r="L10" i="4" s="1"/>
  <c r="Y54" i="9"/>
  <c r="V30" i="9"/>
  <c r="M30" i="4" s="1"/>
  <c r="V4" i="9"/>
  <c r="M4" i="4" s="1"/>
  <c r="Y50" i="9"/>
  <c r="Y53" i="9"/>
  <c r="Y38" i="9"/>
  <c r="Y22" i="9"/>
  <c r="Y36" i="9"/>
  <c r="Y5" i="9"/>
  <c r="Y21" i="9"/>
  <c r="V16" i="9"/>
  <c r="M16" i="4" s="1"/>
  <c r="Y57" i="9"/>
  <c r="Y51" i="9"/>
  <c r="Y18" i="9"/>
  <c r="V39" i="9"/>
  <c r="M39" i="4" s="1"/>
  <c r="Y13" i="9"/>
  <c r="V25" i="9"/>
  <c r="M25" i="4" s="1"/>
  <c r="V51" i="9"/>
  <c r="M51" i="4" s="1"/>
  <c r="V5" i="9"/>
  <c r="M5" i="4" s="1"/>
  <c r="V21" i="9"/>
  <c r="M21" i="4" s="1"/>
  <c r="V27" i="9"/>
  <c r="M27" i="4" s="1"/>
  <c r="Y59" i="9"/>
  <c r="V22" i="9"/>
  <c r="M22" i="4" s="1"/>
  <c r="V10" i="9"/>
  <c r="M10" i="4" s="1"/>
  <c r="Y56" i="9"/>
  <c r="V59" i="9"/>
  <c r="V19" i="9"/>
  <c r="M19" i="4" s="1"/>
  <c r="Y27" i="9"/>
  <c r="Y28" i="9"/>
  <c r="Z4" i="5"/>
  <c r="Z16" i="5"/>
  <c r="AB5" i="7"/>
  <c r="AB23" i="7"/>
  <c r="AB26" i="7"/>
  <c r="AB32" i="7"/>
  <c r="AB35" i="7"/>
  <c r="AB18" i="7"/>
  <c r="AB7" i="7"/>
  <c r="AB52" i="7"/>
  <c r="AB6" i="7"/>
  <c r="AB59" i="7"/>
  <c r="AB41" i="7"/>
  <c r="AB8" i="7"/>
  <c r="AB33" i="7"/>
  <c r="AB15" i="7"/>
  <c r="AB24" i="7"/>
  <c r="AB20" i="7"/>
  <c r="AB17" i="7"/>
  <c r="AB19" i="7"/>
  <c r="AB21" i="7"/>
  <c r="AB43" i="7"/>
  <c r="AB49" i="7"/>
  <c r="AB11" i="7"/>
  <c r="AB12" i="7"/>
  <c r="AB9" i="7"/>
  <c r="AB46" i="7"/>
  <c r="AB40" i="7"/>
  <c r="AB45" i="7"/>
  <c r="AB37" i="7"/>
  <c r="AB13" i="7"/>
  <c r="AB39" i="7"/>
  <c r="AB38" i="7"/>
  <c r="AB44" i="7"/>
  <c r="AB27" i="7"/>
  <c r="AB58" i="7"/>
  <c r="AB36" i="7"/>
  <c r="AB42" i="7"/>
  <c r="AB50" i="7"/>
  <c r="AB10" i="7"/>
  <c r="AB34" i="7"/>
  <c r="AB51" i="7"/>
  <c r="AB4" i="7"/>
  <c r="AB30" i="7"/>
  <c r="AB31" i="7"/>
  <c r="AB14" i="7"/>
  <c r="AB22" i="7"/>
  <c r="AA23" i="7"/>
  <c r="AA40" i="7"/>
  <c r="AA13" i="7"/>
  <c r="AA47" i="7"/>
  <c r="AA34" i="7"/>
  <c r="V55" i="7"/>
  <c r="K55" i="4" s="1"/>
  <c r="V44" i="7"/>
  <c r="K44" i="4" s="1"/>
  <c r="AA27" i="7"/>
  <c r="AA44" i="7"/>
  <c r="AA10" i="7"/>
  <c r="AA31" i="7"/>
  <c r="AA16" i="7"/>
  <c r="AA48" i="7"/>
  <c r="AA35" i="7"/>
  <c r="AA20" i="7"/>
  <c r="AA52" i="7"/>
  <c r="AA5" i="7"/>
  <c r="AA7" i="7"/>
  <c r="AA17" i="7"/>
  <c r="AA21" i="7"/>
  <c r="AA24" i="7"/>
  <c r="AA6" i="7"/>
  <c r="AA51" i="7"/>
  <c r="AA28" i="7"/>
  <c r="AA8" i="7"/>
  <c r="AA37" i="7"/>
  <c r="AA50" i="7"/>
  <c r="V43" i="7"/>
  <c r="K43" i="4" s="1"/>
  <c r="V51" i="7"/>
  <c r="K51" i="4" s="1"/>
  <c r="V22" i="7"/>
  <c r="K22" i="4" s="1"/>
  <c r="V39" i="7"/>
  <c r="K39" i="4" s="1"/>
  <c r="V20" i="7"/>
  <c r="K20" i="4" s="1"/>
  <c r="V9" i="7"/>
  <c r="K9" i="4" s="1"/>
  <c r="V21" i="7"/>
  <c r="K21" i="4" s="1"/>
  <c r="AA8" i="8"/>
  <c r="BD42" i="11"/>
  <c r="V22" i="8"/>
  <c r="L22" i="4" s="1"/>
  <c r="V49" i="8"/>
  <c r="L49" i="4" s="1"/>
  <c r="AB12" i="8"/>
  <c r="AB59" i="8"/>
  <c r="V34" i="8"/>
  <c r="L34" i="4" s="1"/>
  <c r="Z50" i="8"/>
  <c r="Z8" i="8"/>
  <c r="V33" i="8"/>
  <c r="L33" i="4" s="1"/>
  <c r="V17" i="8"/>
  <c r="L17" i="4" s="1"/>
  <c r="V28" i="8"/>
  <c r="L28" i="4" s="1"/>
  <c r="V35" i="8"/>
  <c r="L35" i="4" s="1"/>
  <c r="V51" i="8"/>
  <c r="L51" i="4" s="1"/>
  <c r="V26" i="8"/>
  <c r="L26" i="4" s="1"/>
  <c r="V54" i="8"/>
  <c r="L54" i="4" s="1"/>
  <c r="V12" i="8"/>
  <c r="L12" i="4" s="1"/>
  <c r="V19" i="8"/>
  <c r="L19" i="4" s="1"/>
  <c r="V59" i="8"/>
  <c r="Y34" i="6"/>
  <c r="Y42" i="6"/>
  <c r="Y32" i="6"/>
  <c r="Y4" i="6"/>
  <c r="Y27" i="6"/>
  <c r="Y10" i="6"/>
  <c r="Y41" i="6"/>
  <c r="Y7" i="6"/>
  <c r="Y35" i="6"/>
  <c r="Y14" i="6"/>
  <c r="Y17" i="6"/>
  <c r="Y49" i="6"/>
  <c r="Y45" i="6"/>
  <c r="Y26" i="6"/>
  <c r="Y43" i="6"/>
  <c r="Y51" i="6"/>
  <c r="Y8" i="6"/>
  <c r="Y47" i="6"/>
  <c r="Y13" i="6"/>
  <c r="Y59" i="6"/>
  <c r="Y28" i="6"/>
  <c r="Y19" i="6"/>
  <c r="Y5" i="6"/>
  <c r="Y25" i="6"/>
  <c r="Y23" i="6"/>
  <c r="AA25" i="5"/>
  <c r="AA50" i="5"/>
  <c r="AA31" i="5"/>
  <c r="AA59" i="5"/>
  <c r="AA58" i="5"/>
  <c r="O49" i="4"/>
  <c r="AB25" i="5"/>
  <c r="AB48" i="5"/>
  <c r="AB12" i="5"/>
  <c r="AB51" i="5"/>
  <c r="AB28" i="5"/>
  <c r="AB39" i="5"/>
  <c r="AB4" i="5"/>
  <c r="O52" i="4"/>
  <c r="O55" i="4"/>
  <c r="O16" i="4"/>
  <c r="AB8" i="5"/>
  <c r="O50" i="4"/>
  <c r="O27" i="4"/>
  <c r="O8" i="4"/>
  <c r="AB13" i="5"/>
  <c r="AB29" i="5"/>
  <c r="AB35" i="5"/>
  <c r="AB50" i="5"/>
  <c r="AB46" i="5"/>
  <c r="AB43" i="5"/>
  <c r="AA12" i="5"/>
  <c r="AA47" i="5"/>
  <c r="AA35" i="5"/>
  <c r="AA39" i="5"/>
  <c r="AA16" i="5"/>
  <c r="AA11" i="5"/>
  <c r="AA51" i="5"/>
  <c r="AA5" i="5"/>
  <c r="AA9" i="5"/>
  <c r="V45" i="5"/>
  <c r="W45" i="5" s="1"/>
  <c r="V53" i="5"/>
  <c r="I53" i="4" s="1"/>
  <c r="V31" i="5"/>
  <c r="W31" i="5" s="1"/>
  <c r="Y33" i="9"/>
  <c r="V47" i="8"/>
  <c r="L47" i="4" s="1"/>
  <c r="V23" i="8"/>
  <c r="L23" i="4" s="1"/>
  <c r="V8" i="8"/>
  <c r="L8" i="4" s="1"/>
  <c r="V14" i="8"/>
  <c r="L14" i="4" s="1"/>
  <c r="V39" i="8"/>
  <c r="L39" i="4" s="1"/>
  <c r="AC28" i="7"/>
  <c r="AL28" i="11" s="1"/>
  <c r="Y55" i="9"/>
  <c r="Y26" i="9"/>
  <c r="Y19" i="9"/>
  <c r="Y30" i="9"/>
  <c r="Z4" i="9"/>
  <c r="AA36" i="8"/>
  <c r="AA15" i="7"/>
  <c r="AA32" i="8"/>
  <c r="AA29" i="7"/>
  <c r="AA26" i="7"/>
  <c r="AA27" i="8"/>
  <c r="AA17" i="8"/>
  <c r="AA33" i="8"/>
  <c r="AA49" i="8"/>
  <c r="Z12" i="9"/>
  <c r="AB46" i="6"/>
  <c r="AB32" i="6"/>
  <c r="AB12" i="6"/>
  <c r="AB30" i="6"/>
  <c r="AB36" i="6"/>
  <c r="AB8" i="6"/>
  <c r="AB27" i="6"/>
  <c r="AB17" i="6"/>
  <c r="Y6" i="6"/>
  <c r="Y15" i="6"/>
  <c r="Y46" i="6"/>
  <c r="Y21" i="6"/>
  <c r="Y31" i="6"/>
  <c r="AB37" i="5"/>
  <c r="AB41" i="5"/>
  <c r="AB42" i="5"/>
  <c r="AB14" i="5"/>
  <c r="AA12" i="6"/>
  <c r="AA49" i="6"/>
  <c r="Z28" i="7"/>
  <c r="AA48" i="8"/>
  <c r="Y16" i="9"/>
  <c r="AB38" i="5"/>
  <c r="AB36" i="5"/>
  <c r="Z36" i="8"/>
  <c r="Z27" i="8"/>
  <c r="AB47" i="5"/>
  <c r="Y24" i="9"/>
  <c r="Y7" i="9"/>
  <c r="AA9" i="7"/>
  <c r="AA48" i="5"/>
  <c r="AB38" i="6"/>
  <c r="AA25" i="7"/>
  <c r="Z17" i="7"/>
  <c r="AB4" i="6"/>
  <c r="Z42" i="7"/>
  <c r="Y18" i="6"/>
  <c r="Z31" i="7"/>
  <c r="Z19" i="8"/>
  <c r="AE22" i="9"/>
  <c r="BL22" i="11" s="1"/>
  <c r="AA30" i="7"/>
  <c r="AA22" i="7"/>
  <c r="Y24" i="8"/>
  <c r="BH13" i="11"/>
  <c r="V11" i="9"/>
  <c r="M11" i="4" s="1"/>
  <c r="Z41" i="5"/>
  <c r="AE25" i="8"/>
  <c r="AZ25" i="11" s="1"/>
  <c r="AF28" i="5"/>
  <c r="Q28" i="11" s="1"/>
  <c r="AD59" i="8"/>
  <c r="V13" i="8"/>
  <c r="L13" i="4" s="1"/>
  <c r="AB4" i="8"/>
  <c r="Y10" i="9"/>
  <c r="Y39" i="9"/>
  <c r="AA6" i="8"/>
  <c r="AA4" i="7"/>
  <c r="AA39" i="7"/>
  <c r="AA45" i="7"/>
  <c r="AA42" i="7"/>
  <c r="AA59" i="8"/>
  <c r="AA20" i="8"/>
  <c r="AA25" i="8"/>
  <c r="AA41" i="8"/>
  <c r="AA43" i="7"/>
  <c r="Z58" i="9"/>
  <c r="AB43" i="6"/>
  <c r="AB49" i="6"/>
  <c r="AB19" i="6"/>
  <c r="AB47" i="6"/>
  <c r="AB22" i="6"/>
  <c r="AB42" i="6"/>
  <c r="AB40" i="6"/>
  <c r="Y33" i="6"/>
  <c r="Y9" i="6"/>
  <c r="Y24" i="6"/>
  <c r="Y36" i="6"/>
  <c r="AB59" i="5"/>
  <c r="AB27" i="5"/>
  <c r="AB32" i="5"/>
  <c r="AB45" i="5"/>
  <c r="Z23" i="7"/>
  <c r="AB20" i="5"/>
  <c r="Y29" i="9"/>
  <c r="AB11" i="5"/>
  <c r="Z18" i="8"/>
  <c r="Z6" i="8"/>
  <c r="AB21" i="5"/>
  <c r="Y58" i="9"/>
  <c r="AA13" i="5"/>
  <c r="AA47" i="9"/>
  <c r="AA49" i="7"/>
  <c r="Y17" i="9"/>
  <c r="AC52" i="6"/>
  <c r="Z52" i="11" s="1"/>
  <c r="Y26" i="5"/>
  <c r="V8" i="5"/>
  <c r="I8" i="4" s="1"/>
  <c r="V35" i="5"/>
  <c r="W35" i="5" s="1"/>
  <c r="Y15" i="5"/>
  <c r="V10" i="5"/>
  <c r="W10" i="5" s="1"/>
  <c r="V11" i="5"/>
  <c r="I11" i="4" s="1"/>
  <c r="Y59" i="5"/>
  <c r="V4" i="5"/>
  <c r="I4" i="4" s="1"/>
  <c r="V40" i="5"/>
  <c r="W40" i="5" s="1"/>
  <c r="V40" i="6"/>
  <c r="J40" i="4" s="1"/>
  <c r="Y29" i="5"/>
  <c r="V58" i="5"/>
  <c r="I58" i="4" s="1"/>
  <c r="V53" i="6"/>
  <c r="J53" i="4" s="1"/>
  <c r="V21" i="6"/>
  <c r="J21" i="4" s="1"/>
  <c r="V26" i="5"/>
  <c r="I26" i="4" s="1"/>
  <c r="Z37" i="6"/>
  <c r="Y12" i="5"/>
  <c r="Y35" i="5"/>
  <c r="Y47" i="5"/>
  <c r="V14" i="5"/>
  <c r="I14" i="4" s="1"/>
  <c r="V56" i="5"/>
  <c r="W56" i="5" s="1"/>
  <c r="V5" i="5"/>
  <c r="W5" i="5" s="1"/>
  <c r="V51" i="5"/>
  <c r="W51" i="5" s="1"/>
  <c r="V46" i="6"/>
  <c r="J46" i="4" s="1"/>
  <c r="V16" i="6"/>
  <c r="J16" i="4" s="1"/>
  <c r="V27" i="5"/>
  <c r="W27" i="5" s="1"/>
  <c r="Y14" i="5"/>
  <c r="Y7" i="5"/>
  <c r="Y20" i="5"/>
  <c r="V7" i="5"/>
  <c r="W7" i="5" s="1"/>
  <c r="V22" i="5"/>
  <c r="W22" i="5" s="1"/>
  <c r="V39" i="5"/>
  <c r="I39" i="4" s="1"/>
  <c r="V30" i="5"/>
  <c r="I30" i="4" s="1"/>
  <c r="V27" i="6"/>
  <c r="J27" i="4" s="1"/>
  <c r="V32" i="5"/>
  <c r="W32" i="5" s="1"/>
  <c r="V55" i="5"/>
  <c r="V21" i="5"/>
  <c r="V28" i="6"/>
  <c r="J28" i="4" s="1"/>
  <c r="V13" i="5"/>
  <c r="W13" i="5" s="1"/>
  <c r="Z36" i="6"/>
  <c r="Y58" i="5"/>
  <c r="V59" i="5"/>
  <c r="AD37" i="6"/>
  <c r="AA37" i="11" s="1"/>
  <c r="V34" i="5"/>
  <c r="I34" i="4" s="1"/>
  <c r="V18" i="5"/>
  <c r="W18" i="5" s="1"/>
  <c r="Z42" i="6"/>
  <c r="Z27" i="6"/>
  <c r="Y25" i="5"/>
  <c r="Y41" i="5"/>
  <c r="Y6" i="5"/>
  <c r="Y38" i="5"/>
  <c r="AF36" i="7"/>
  <c r="AO36" i="11" s="1"/>
  <c r="AF37" i="5"/>
  <c r="Q37" i="11" s="1"/>
  <c r="Y46" i="5"/>
  <c r="Z58" i="6"/>
  <c r="AE12" i="9"/>
  <c r="BL12" i="11" s="1"/>
  <c r="AD48" i="7"/>
  <c r="AM48" i="11" s="1"/>
  <c r="AD36" i="5"/>
  <c r="O36" i="11" s="1"/>
  <c r="AC25" i="6"/>
  <c r="Z25" i="11" s="1"/>
  <c r="AC37" i="8"/>
  <c r="AX37" i="11" s="1"/>
  <c r="AF39" i="6"/>
  <c r="AC39" i="11" s="1"/>
  <c r="V23" i="5"/>
  <c r="W23" i="5" s="1"/>
  <c r="V24" i="5"/>
  <c r="V37" i="5"/>
  <c r="V46" i="5"/>
  <c r="W46" i="5" s="1"/>
  <c r="Z5" i="5"/>
  <c r="V15" i="5"/>
  <c r="I15" i="4" s="1"/>
  <c r="V16" i="5"/>
  <c r="W16" i="5" s="1"/>
  <c r="V29" i="5"/>
  <c r="I29" i="4" s="1"/>
  <c r="V38" i="5"/>
  <c r="W38" i="5" s="1"/>
  <c r="Z59" i="5"/>
  <c r="V38" i="9"/>
  <c r="M38" i="4" s="1"/>
  <c r="V35" i="9"/>
  <c r="M35" i="4" s="1"/>
  <c r="V57" i="9"/>
  <c r="M57" i="4" s="1"/>
  <c r="V14" i="9"/>
  <c r="M14" i="4" s="1"/>
  <c r="V7" i="9"/>
  <c r="M7" i="4" s="1"/>
  <c r="V36" i="9"/>
  <c r="M36" i="4" s="1"/>
  <c r="V42" i="9"/>
  <c r="M42" i="4" s="1"/>
  <c r="Z24" i="6"/>
  <c r="V33" i="5"/>
  <c r="W33" i="5" s="1"/>
  <c r="V19" i="5"/>
  <c r="W19" i="5" s="1"/>
  <c r="O12" i="4"/>
  <c r="O18" i="4"/>
  <c r="V48" i="6"/>
  <c r="J48" i="4" s="1"/>
  <c r="Z32" i="5"/>
  <c r="V49" i="5"/>
  <c r="I49" i="4" s="1"/>
  <c r="Z36" i="5"/>
  <c r="V41" i="5"/>
  <c r="W41" i="5" s="1"/>
  <c r="Z44" i="5"/>
  <c r="V25" i="5"/>
  <c r="W25" i="5" s="1"/>
  <c r="Z31" i="6"/>
  <c r="Z48" i="5"/>
  <c r="V9" i="5"/>
  <c r="I9" i="4" s="1"/>
  <c r="Z40" i="5"/>
  <c r="V44" i="5"/>
  <c r="I44" i="4" s="1"/>
  <c r="Z10" i="5"/>
  <c r="V36" i="5"/>
  <c r="I36" i="4" s="1"/>
  <c r="Z13" i="5"/>
  <c r="Z31" i="5"/>
  <c r="V26" i="6"/>
  <c r="J26" i="4" s="1"/>
  <c r="V47" i="5"/>
  <c r="I47" i="4" s="1"/>
  <c r="V52" i="5"/>
  <c r="I52" i="4" s="1"/>
  <c r="V6" i="5"/>
  <c r="W6" i="5" s="1"/>
  <c r="V56" i="9"/>
  <c r="M56" i="4" s="1"/>
  <c r="V34" i="9"/>
  <c r="M34" i="4" s="1"/>
  <c r="V41" i="9"/>
  <c r="M41" i="4" s="1"/>
  <c r="V29" i="9"/>
  <c r="M29" i="4" s="1"/>
  <c r="V48" i="9"/>
  <c r="M48" i="4" s="1"/>
  <c r="V54" i="9"/>
  <c r="M54" i="4" s="1"/>
  <c r="Z46" i="6"/>
  <c r="V25" i="6"/>
  <c r="J25" i="4" s="1"/>
  <c r="V42" i="5"/>
  <c r="W42" i="5" s="1"/>
  <c r="V20" i="5"/>
  <c r="I20" i="4" s="1"/>
  <c r="O46" i="4"/>
  <c r="O29" i="4"/>
  <c r="V49" i="6"/>
  <c r="J49" i="4" s="1"/>
  <c r="V55" i="6"/>
  <c r="J55" i="4" s="1"/>
  <c r="V6" i="6"/>
  <c r="J6" i="4" s="1"/>
  <c r="V28" i="9"/>
  <c r="M28" i="4" s="1"/>
  <c r="V58" i="9"/>
  <c r="M58" i="4" s="1"/>
  <c r="V12" i="5"/>
  <c r="I12" i="4" s="1"/>
  <c r="Z58" i="5"/>
  <c r="V54" i="5"/>
  <c r="I54" i="4" s="1"/>
  <c r="Z51" i="5"/>
  <c r="V48" i="5"/>
  <c r="I48" i="4" s="1"/>
  <c r="Z25" i="6"/>
  <c r="V43" i="5"/>
  <c r="W43" i="5" s="1"/>
  <c r="V28" i="5"/>
  <c r="I28" i="4" s="1"/>
  <c r="Z50" i="5"/>
  <c r="Z28" i="5"/>
  <c r="Z17" i="5"/>
  <c r="AE48" i="9"/>
  <c r="BL48" i="11" s="1"/>
  <c r="AD31" i="5"/>
  <c r="O31" i="11" s="1"/>
  <c r="AD25" i="6"/>
  <c r="AA25" i="11" s="1"/>
  <c r="Z38" i="5"/>
  <c r="Z27" i="5"/>
  <c r="Z25" i="5"/>
  <c r="AE49" i="8"/>
  <c r="AZ49" i="11" s="1"/>
  <c r="AF25" i="5"/>
  <c r="Q25" i="11" s="1"/>
  <c r="Z6" i="5"/>
  <c r="Z29" i="5"/>
  <c r="Z26" i="5"/>
  <c r="AE49" i="7"/>
  <c r="AN49" i="11" s="1"/>
  <c r="AC31" i="8"/>
  <c r="AX31" i="11" s="1"/>
  <c r="Z33" i="5"/>
  <c r="Z46" i="5"/>
  <c r="AC10" i="7"/>
  <c r="AL10" i="11" s="1"/>
  <c r="AF31" i="6"/>
  <c r="AC31" i="11" s="1"/>
  <c r="Z37" i="7"/>
  <c r="Z58" i="7"/>
  <c r="Y21" i="5"/>
  <c r="AB49" i="5"/>
  <c r="AB34" i="5"/>
  <c r="AB9" i="5"/>
  <c r="Z39" i="8"/>
  <c r="Z7" i="8"/>
  <c r="Z16" i="8"/>
  <c r="Z32" i="8"/>
  <c r="Z12" i="8"/>
  <c r="V17" i="5"/>
  <c r="I17" i="4" s="1"/>
  <c r="AB7" i="5"/>
  <c r="AB6" i="5"/>
  <c r="Y42" i="5"/>
  <c r="Y51" i="5"/>
  <c r="Y22" i="5"/>
  <c r="Y31" i="5"/>
  <c r="Y36" i="5"/>
  <c r="AB24" i="5"/>
  <c r="AB22" i="5"/>
  <c r="Y32" i="5"/>
  <c r="Z35" i="8"/>
  <c r="AF48" i="7"/>
  <c r="AO48" i="11" s="1"/>
  <c r="Z8" i="7"/>
  <c r="Z34" i="7"/>
  <c r="Y4" i="5"/>
  <c r="V50" i="5"/>
  <c r="I50" i="4" s="1"/>
  <c r="AB40" i="5"/>
  <c r="AB15" i="5"/>
  <c r="Z27" i="9"/>
  <c r="AB10" i="5"/>
  <c r="AB31" i="5"/>
  <c r="Z13" i="8"/>
  <c r="Z34" i="8"/>
  <c r="Z43" i="8"/>
  <c r="Z22" i="8"/>
  <c r="AB52" i="5"/>
  <c r="AB23" i="5"/>
  <c r="Y33" i="5"/>
  <c r="Y19" i="5"/>
  <c r="Y24" i="5"/>
  <c r="Y11" i="5"/>
  <c r="Y8" i="5"/>
  <c r="AB30" i="5"/>
  <c r="AB19" i="5"/>
  <c r="AB17" i="5"/>
  <c r="Y9" i="5"/>
  <c r="AE25" i="9"/>
  <c r="BL25" i="11" s="1"/>
  <c r="AE10" i="7"/>
  <c r="AN10" i="11" s="1"/>
  <c r="AE31" i="6"/>
  <c r="AB31" i="11" s="1"/>
  <c r="AD16" i="6"/>
  <c r="AA16" i="11" s="1"/>
  <c r="AD25" i="5"/>
  <c r="O25" i="11" s="1"/>
  <c r="AF16" i="8"/>
  <c r="BA16" i="11" s="1"/>
  <c r="AD31" i="7"/>
  <c r="AM31" i="11" s="1"/>
  <c r="AD10" i="8"/>
  <c r="AY10" i="11" s="1"/>
  <c r="Z32" i="7"/>
  <c r="Y31" i="9"/>
  <c r="Y52" i="9"/>
  <c r="Y25" i="9"/>
  <c r="Y12" i="9"/>
  <c r="Y23" i="8"/>
  <c r="AC42" i="9"/>
  <c r="BJ42" i="11" s="1"/>
  <c r="AE49" i="9"/>
  <c r="BL49" i="11" s="1"/>
  <c r="AF28" i="8"/>
  <c r="BA28" i="11" s="1"/>
  <c r="AD16" i="7"/>
  <c r="AM16" i="11" s="1"/>
  <c r="AC23" i="6"/>
  <c r="Z23" i="11" s="1"/>
  <c r="Y9" i="8"/>
  <c r="Y30" i="8"/>
  <c r="AB23" i="8"/>
  <c r="AB19" i="8"/>
  <c r="AC25" i="5"/>
  <c r="N25" i="11" s="1"/>
  <c r="AD16" i="5"/>
  <c r="O16" i="11" s="1"/>
  <c r="AC52" i="7"/>
  <c r="AL52" i="11" s="1"/>
  <c r="AC10" i="6"/>
  <c r="Z10" i="11" s="1"/>
  <c r="AC16" i="5"/>
  <c r="N16" i="11" s="1"/>
  <c r="AC10" i="8"/>
  <c r="AX10" i="11" s="1"/>
  <c r="AF53" i="8"/>
  <c r="BA53" i="11" s="1"/>
  <c r="AD52" i="5"/>
  <c r="O52" i="11" s="1"/>
  <c r="AD16" i="8"/>
  <c r="AY16" i="11" s="1"/>
  <c r="AA4" i="5"/>
  <c r="AE10" i="5"/>
  <c r="P10" i="11" s="1"/>
  <c r="AC10" i="9"/>
  <c r="BJ10" i="11" s="1"/>
  <c r="AF11" i="7"/>
  <c r="AO11" i="11" s="1"/>
  <c r="AD23" i="8"/>
  <c r="AY23" i="11" s="1"/>
  <c r="AC23" i="7"/>
  <c r="AL23" i="11" s="1"/>
  <c r="AF50" i="6"/>
  <c r="AC50" i="11" s="1"/>
  <c r="AC16" i="6"/>
  <c r="Z16" i="11" s="1"/>
  <c r="AD6" i="6"/>
  <c r="AA6" i="11" s="1"/>
  <c r="AC47" i="5"/>
  <c r="N47" i="11" s="1"/>
  <c r="AE59" i="7"/>
  <c r="AC57" i="7"/>
  <c r="AL57" i="11" s="1"/>
  <c r="AA41" i="7"/>
  <c r="AA14" i="7"/>
  <c r="AE36" i="6"/>
  <c r="AB36" i="11" s="1"/>
  <c r="AA33" i="7"/>
  <c r="AA46" i="7"/>
  <c r="AD6" i="7"/>
  <c r="AM6" i="11" s="1"/>
  <c r="AD36" i="8"/>
  <c r="AY36" i="11" s="1"/>
  <c r="AE9" i="9"/>
  <c r="BL9" i="11" s="1"/>
  <c r="AC9" i="6"/>
  <c r="Z9" i="11" s="1"/>
  <c r="AA37" i="5"/>
  <c r="AA44" i="5"/>
  <c r="AA34" i="5"/>
  <c r="AE9" i="6"/>
  <c r="AB9" i="11" s="1"/>
  <c r="AC57" i="5"/>
  <c r="N57" i="11" s="1"/>
  <c r="AC48" i="7"/>
  <c r="AL48" i="11" s="1"/>
  <c r="Z30" i="5"/>
  <c r="Z22" i="5"/>
  <c r="Z47" i="5"/>
  <c r="Z23" i="5"/>
  <c r="Z43" i="5"/>
  <c r="Z8" i="5"/>
  <c r="Z19" i="5"/>
  <c r="Z45" i="5"/>
  <c r="Z18" i="5"/>
  <c r="Z24" i="5"/>
  <c r="AE34" i="9"/>
  <c r="BL34" i="11" s="1"/>
  <c r="AE28" i="5"/>
  <c r="P28" i="11" s="1"/>
  <c r="Z52" i="5"/>
  <c r="Z39" i="5"/>
  <c r="Z14" i="5"/>
  <c r="Z42" i="5"/>
  <c r="AF49" i="8"/>
  <c r="BA49" i="11" s="1"/>
  <c r="Z21" i="5"/>
  <c r="Z15" i="5"/>
  <c r="Z12" i="5"/>
  <c r="Z49" i="5"/>
  <c r="Z20" i="5"/>
  <c r="Z11" i="5"/>
  <c r="Z37" i="5"/>
  <c r="Z34" i="5"/>
  <c r="Z9" i="5"/>
  <c r="Z35" i="5"/>
  <c r="Y49" i="5"/>
  <c r="AD59" i="7"/>
  <c r="AD28" i="6"/>
  <c r="AA28" i="11" s="1"/>
  <c r="AC16" i="9"/>
  <c r="BJ16" i="11" s="1"/>
  <c r="AD22" i="6"/>
  <c r="AA22" i="11" s="1"/>
  <c r="Y41" i="9"/>
  <c r="AC36" i="7"/>
  <c r="AL36" i="11" s="1"/>
  <c r="AF28" i="7"/>
  <c r="AO28" i="11" s="1"/>
  <c r="AE16" i="5"/>
  <c r="P16" i="11" s="1"/>
  <c r="Y15" i="9"/>
  <c r="Z17" i="6"/>
  <c r="V55" i="9"/>
  <c r="M55" i="4" s="1"/>
  <c r="Y9" i="9"/>
  <c r="Y34" i="9"/>
  <c r="Y32" i="9"/>
  <c r="Y35" i="9"/>
  <c r="Y46" i="9"/>
  <c r="AC31" i="6"/>
  <c r="Z31" i="11" s="1"/>
  <c r="Z50" i="6"/>
  <c r="Z5" i="6"/>
  <c r="Z44" i="6"/>
  <c r="Y14" i="9"/>
  <c r="Y40" i="9"/>
  <c r="Z6" i="6"/>
  <c r="Y49" i="9"/>
  <c r="Z14" i="6"/>
  <c r="Y47" i="9"/>
  <c r="Z9" i="9"/>
  <c r="Y48" i="9"/>
  <c r="Y43" i="9"/>
  <c r="Y8" i="9"/>
  <c r="Y20" i="9"/>
  <c r="Y23" i="9"/>
  <c r="Y4" i="9"/>
  <c r="Z10" i="6"/>
  <c r="AD22" i="5"/>
  <c r="O22" i="11" s="1"/>
  <c r="AF36" i="6"/>
  <c r="AC36" i="11" s="1"/>
  <c r="AC49" i="7"/>
  <c r="AL49" i="11" s="1"/>
  <c r="AE53" i="9"/>
  <c r="BL53" i="11" s="1"/>
  <c r="AF9" i="7"/>
  <c r="AO9" i="11" s="1"/>
  <c r="AC9" i="9"/>
  <c r="BJ9" i="11" s="1"/>
  <c r="AD56" i="7"/>
  <c r="AM56" i="11" s="1"/>
  <c r="AC48" i="6"/>
  <c r="Z48" i="11" s="1"/>
  <c r="AE48" i="8"/>
  <c r="AZ48" i="11" s="1"/>
  <c r="AC48" i="5"/>
  <c r="N48" i="11" s="1"/>
  <c r="AC52" i="8"/>
  <c r="AX52" i="11" s="1"/>
  <c r="Y18" i="5"/>
  <c r="AF6" i="5"/>
  <c r="Q6" i="11" s="1"/>
  <c r="AC6" i="9"/>
  <c r="BJ6" i="11" s="1"/>
  <c r="N9" i="11"/>
  <c r="Y44" i="5"/>
  <c r="Y40" i="5"/>
  <c r="AC59" i="8"/>
  <c r="AD16" i="9"/>
  <c r="BK16" i="11" s="1"/>
  <c r="Y42" i="9"/>
  <c r="AF57" i="7"/>
  <c r="AO57" i="11" s="1"/>
  <c r="AC16" i="7"/>
  <c r="AL16" i="11" s="1"/>
  <c r="V57" i="5"/>
  <c r="I57" i="4" s="1"/>
  <c r="Y10" i="5"/>
  <c r="Y16" i="5"/>
  <c r="Y43" i="5"/>
  <c r="AE34" i="6"/>
  <c r="AB34" i="11" s="1"/>
  <c r="AD57" i="6"/>
  <c r="AA57" i="11" s="1"/>
  <c r="AB5" i="6"/>
  <c r="AC22" i="7"/>
  <c r="AL22" i="11" s="1"/>
  <c r="Y37" i="7"/>
  <c r="Y8" i="7"/>
  <c r="AE31" i="9"/>
  <c r="BL31" i="11" s="1"/>
  <c r="AF23" i="6"/>
  <c r="AC23" i="11" s="1"/>
  <c r="AC23" i="9"/>
  <c r="BJ23" i="11" s="1"/>
  <c r="AD11" i="6"/>
  <c r="AA11" i="11" s="1"/>
  <c r="AC23" i="5"/>
  <c r="N23" i="11" s="1"/>
  <c r="AC49" i="8"/>
  <c r="AX49" i="11" s="1"/>
  <c r="AF59" i="5"/>
  <c r="AD52" i="8"/>
  <c r="AY52" i="11" s="1"/>
  <c r="AD49" i="7"/>
  <c r="AM49" i="11" s="1"/>
  <c r="AD49" i="5"/>
  <c r="O49" i="11" s="1"/>
  <c r="Y50" i="5"/>
  <c r="Y52" i="5"/>
  <c r="Y23" i="5"/>
  <c r="Y17" i="5"/>
  <c r="Y34" i="5"/>
  <c r="Y27" i="5"/>
  <c r="Y28" i="5"/>
  <c r="T29" i="11"/>
  <c r="R56" i="11"/>
  <c r="AP26" i="11"/>
  <c r="AD5" i="11"/>
  <c r="BN47" i="11"/>
  <c r="BB5" i="11"/>
  <c r="Y27" i="8"/>
  <c r="S39" i="11"/>
  <c r="V26" i="7"/>
  <c r="K26" i="4" s="1"/>
  <c r="V34" i="7"/>
  <c r="K34" i="4" s="1"/>
  <c r="V41" i="7"/>
  <c r="K41" i="4" s="1"/>
  <c r="V15" i="7"/>
  <c r="K15" i="4" s="1"/>
  <c r="V52" i="7"/>
  <c r="K52" i="4" s="1"/>
  <c r="V42" i="7"/>
  <c r="K42" i="4" s="1"/>
  <c r="V35" i="7"/>
  <c r="K35" i="4" s="1"/>
  <c r="V35" i="6"/>
  <c r="J35" i="4" s="1"/>
  <c r="V50" i="6"/>
  <c r="J50" i="4" s="1"/>
  <c r="V36" i="6"/>
  <c r="J36" i="4" s="1"/>
  <c r="V36" i="7"/>
  <c r="K36" i="4" s="1"/>
  <c r="Z30" i="6"/>
  <c r="Z19" i="6"/>
  <c r="Z52" i="6"/>
  <c r="V54" i="6"/>
  <c r="J54" i="4" s="1"/>
  <c r="V9" i="6"/>
  <c r="J9" i="4" s="1"/>
  <c r="V8" i="6"/>
  <c r="J8" i="4" s="1"/>
  <c r="V58" i="6"/>
  <c r="J58" i="4" s="1"/>
  <c r="V29" i="7"/>
  <c r="K29" i="4" s="1"/>
  <c r="V10" i="7"/>
  <c r="K10" i="4" s="1"/>
  <c r="V14" i="6"/>
  <c r="J14" i="4" s="1"/>
  <c r="V44" i="6"/>
  <c r="V22" i="6"/>
  <c r="J22" i="4" s="1"/>
  <c r="V15" i="6"/>
  <c r="J15" i="4" s="1"/>
  <c r="V34" i="6"/>
  <c r="J34" i="4" s="1"/>
  <c r="V52" i="6"/>
  <c r="J52" i="4" s="1"/>
  <c r="V18" i="6"/>
  <c r="J18" i="4" s="1"/>
  <c r="AE51" i="11"/>
  <c r="Z26" i="6"/>
  <c r="Z9" i="6"/>
  <c r="Z22" i="6"/>
  <c r="Z48" i="6"/>
  <c r="Z29" i="6"/>
  <c r="Z43" i="6"/>
  <c r="Z11" i="6"/>
  <c r="Z44" i="7"/>
  <c r="Z30" i="7"/>
  <c r="Z39" i="7"/>
  <c r="Z12" i="7"/>
  <c r="Z50" i="7"/>
  <c r="Z6" i="7"/>
  <c r="Z48" i="7"/>
  <c r="Z38" i="7"/>
  <c r="Z47" i="7"/>
  <c r="Z35" i="6"/>
  <c r="Z34" i="6"/>
  <c r="Z39" i="6"/>
  <c r="Z49" i="7"/>
  <c r="Z51" i="7"/>
  <c r="Z26" i="7"/>
  <c r="V59" i="6"/>
  <c r="V12" i="7"/>
  <c r="K12" i="4" s="1"/>
  <c r="V24" i="7"/>
  <c r="K24" i="4" s="1"/>
  <c r="V13" i="7"/>
  <c r="K13" i="4" s="1"/>
  <c r="V11" i="6"/>
  <c r="J11" i="4" s="1"/>
  <c r="V12" i="6"/>
  <c r="J12" i="4" s="1"/>
  <c r="Z8" i="6"/>
  <c r="Z23" i="6"/>
  <c r="V57" i="6"/>
  <c r="J57" i="4" s="1"/>
  <c r="V39" i="6"/>
  <c r="J39" i="4" s="1"/>
  <c r="V32" i="7"/>
  <c r="K32" i="4" s="1"/>
  <c r="V38" i="6"/>
  <c r="J38" i="4" s="1"/>
  <c r="V45" i="6"/>
  <c r="J45" i="4" s="1"/>
  <c r="V24" i="6"/>
  <c r="J24" i="4" s="1"/>
  <c r="V33" i="6"/>
  <c r="J33" i="4" s="1"/>
  <c r="V19" i="7"/>
  <c r="K19" i="4" s="1"/>
  <c r="Z49" i="6"/>
  <c r="Z15" i="6"/>
  <c r="Z45" i="6"/>
  <c r="Z13" i="6"/>
  <c r="Z21" i="6"/>
  <c r="Z38" i="6"/>
  <c r="Z20" i="6"/>
  <c r="Z10" i="7"/>
  <c r="Z46" i="7"/>
  <c r="Z16" i="7"/>
  <c r="Z25" i="7"/>
  <c r="Z13" i="7"/>
  <c r="Z4" i="7"/>
  <c r="Z14" i="7"/>
  <c r="Z22" i="7"/>
  <c r="Z36" i="7"/>
  <c r="Z28" i="6"/>
  <c r="V31" i="6"/>
  <c r="J31" i="4" s="1"/>
  <c r="Z33" i="7"/>
  <c r="Z35" i="7"/>
  <c r="Z9" i="7"/>
  <c r="V16" i="7"/>
  <c r="K16" i="4" s="1"/>
  <c r="V47" i="7"/>
  <c r="K47" i="4" s="1"/>
  <c r="V40" i="7"/>
  <c r="K40" i="4" s="1"/>
  <c r="V43" i="6"/>
  <c r="J43" i="4" s="1"/>
  <c r="V37" i="7"/>
  <c r="K37" i="4" s="1"/>
  <c r="Z12" i="6"/>
  <c r="V30" i="6"/>
  <c r="J30" i="4" s="1"/>
  <c r="V31" i="7"/>
  <c r="K31" i="4" s="1"/>
  <c r="V56" i="7"/>
  <c r="K56" i="4" s="1"/>
  <c r="V29" i="6"/>
  <c r="J29" i="4" s="1"/>
  <c r="V42" i="6"/>
  <c r="J42" i="4" s="1"/>
  <c r="V37" i="6"/>
  <c r="J37" i="4" s="1"/>
  <c r="V59" i="7"/>
  <c r="V7" i="7"/>
  <c r="K7" i="4" s="1"/>
  <c r="V11" i="7"/>
  <c r="K11" i="4" s="1"/>
  <c r="V48" i="7"/>
  <c r="K48" i="4" s="1"/>
  <c r="V17" i="7"/>
  <c r="K17" i="4" s="1"/>
  <c r="V38" i="7"/>
  <c r="K38" i="4" s="1"/>
  <c r="V53" i="7"/>
  <c r="K53" i="4" s="1"/>
  <c r="V33" i="7"/>
  <c r="K33" i="4" s="1"/>
  <c r="V19" i="6"/>
  <c r="J19" i="4" s="1"/>
  <c r="V51" i="6"/>
  <c r="V20" i="6"/>
  <c r="J20" i="4" s="1"/>
  <c r="V4" i="6"/>
  <c r="J4" i="4" s="1"/>
  <c r="V49" i="7"/>
  <c r="K49" i="4" s="1"/>
  <c r="Z47" i="6"/>
  <c r="Z41" i="6"/>
  <c r="Z7" i="6"/>
  <c r="Z33" i="6"/>
  <c r="V41" i="6"/>
  <c r="J41" i="4" s="1"/>
  <c r="V56" i="6"/>
  <c r="J56" i="4" s="1"/>
  <c r="V7" i="6"/>
  <c r="J7" i="4" s="1"/>
  <c r="V50" i="7"/>
  <c r="K50" i="4" s="1"/>
  <c r="V54" i="7"/>
  <c r="K54" i="4" s="1"/>
  <c r="V5" i="6"/>
  <c r="J5" i="4" s="1"/>
  <c r="V23" i="6"/>
  <c r="J23" i="4" s="1"/>
  <c r="V10" i="6"/>
  <c r="J10" i="4" s="1"/>
  <c r="V32" i="6"/>
  <c r="J32" i="4" s="1"/>
  <c r="V17" i="6"/>
  <c r="J17" i="4" s="1"/>
  <c r="V47" i="6"/>
  <c r="J47" i="4" s="1"/>
  <c r="V13" i="6"/>
  <c r="J13" i="4" s="1"/>
  <c r="Z32" i="6"/>
  <c r="Z59" i="6"/>
  <c r="Z40" i="6"/>
  <c r="Z51" i="6"/>
  <c r="Z18" i="6"/>
  <c r="Z4" i="6"/>
  <c r="Z21" i="7"/>
  <c r="Z11" i="7"/>
  <c r="Z7" i="7"/>
  <c r="Z59" i="7"/>
  <c r="Z41" i="7"/>
  <c r="Z27" i="7"/>
  <c r="Z40" i="7"/>
  <c r="Z29" i="7"/>
  <c r="Z15" i="7"/>
  <c r="Z24" i="7"/>
  <c r="Z5" i="7"/>
  <c r="Z52" i="7"/>
  <c r="Z19" i="7"/>
  <c r="V57" i="8"/>
  <c r="L57" i="4" s="1"/>
  <c r="V25" i="8"/>
  <c r="L25" i="4" s="1"/>
  <c r="V30" i="8"/>
  <c r="L30" i="4" s="1"/>
  <c r="V36" i="8"/>
  <c r="L36" i="4" s="1"/>
  <c r="V58" i="8"/>
  <c r="L58" i="4" s="1"/>
  <c r="V43" i="8"/>
  <c r="L43" i="4" s="1"/>
  <c r="V11" i="8"/>
  <c r="L11" i="4" s="1"/>
  <c r="V4" i="8"/>
  <c r="L4" i="4" s="1"/>
  <c r="V18" i="8"/>
  <c r="L18" i="4" s="1"/>
  <c r="V40" i="8"/>
  <c r="L40" i="4" s="1"/>
  <c r="O45" i="4"/>
  <c r="O41" i="4"/>
  <c r="O48" i="4"/>
  <c r="O35" i="4"/>
  <c r="O43" i="4"/>
  <c r="O53" i="4"/>
  <c r="V24" i="8"/>
  <c r="L24" i="4" s="1"/>
  <c r="V56" i="8"/>
  <c r="L56" i="4" s="1"/>
  <c r="Y59" i="8"/>
  <c r="V55" i="8"/>
  <c r="L55" i="4" s="1"/>
  <c r="AB36" i="8"/>
  <c r="AB6" i="8"/>
  <c r="O19" i="4"/>
  <c r="Y5" i="8"/>
  <c r="Y29" i="8"/>
  <c r="AB39" i="8"/>
  <c r="Y31" i="8"/>
  <c r="Y58" i="8"/>
  <c r="AB25" i="8"/>
  <c r="AB51" i="8"/>
  <c r="AB58" i="8"/>
  <c r="O39" i="4"/>
  <c r="Y21" i="8"/>
  <c r="Y50" i="8"/>
  <c r="Y47" i="8"/>
  <c r="AB47" i="8"/>
  <c r="V50" i="8"/>
  <c r="L50" i="4" s="1"/>
  <c r="V41" i="8"/>
  <c r="L41" i="4" s="1"/>
  <c r="V9" i="8"/>
  <c r="L9" i="4" s="1"/>
  <c r="V52" i="8"/>
  <c r="L52" i="4" s="1"/>
  <c r="V20" i="8"/>
  <c r="L20" i="4" s="1"/>
  <c r="V6" i="8"/>
  <c r="L6" i="4" s="1"/>
  <c r="V27" i="8"/>
  <c r="L27" i="4" s="1"/>
  <c r="V21" i="8"/>
  <c r="L21" i="4" s="1"/>
  <c r="V7" i="8"/>
  <c r="L7" i="4" s="1"/>
  <c r="O32" i="4"/>
  <c r="O38" i="4"/>
  <c r="O6" i="4"/>
  <c r="O11" i="4"/>
  <c r="V48" i="8"/>
  <c r="L48" i="4" s="1"/>
  <c r="V38" i="8"/>
  <c r="L38" i="4" s="1"/>
  <c r="V5" i="8"/>
  <c r="L5" i="4" s="1"/>
  <c r="Y4" i="8"/>
  <c r="AB7" i="8"/>
  <c r="Y18" i="8"/>
  <c r="Y49" i="8"/>
  <c r="Y45" i="8"/>
  <c r="Y7" i="8"/>
  <c r="Y17" i="8"/>
  <c r="Y16" i="8"/>
  <c r="AP27" i="11"/>
  <c r="S9" i="11"/>
  <c r="U13" i="11"/>
  <c r="BN13" i="11"/>
  <c r="BB42" i="11"/>
  <c r="BE26" i="11"/>
  <c r="AP47" i="11"/>
  <c r="AR42" i="11"/>
  <c r="AF42" i="11"/>
  <c r="U26" i="11"/>
  <c r="R53" i="11"/>
  <c r="U51" i="11"/>
  <c r="BE29" i="11"/>
  <c r="Y37" i="5"/>
  <c r="AF5" i="11"/>
  <c r="BB27" i="11"/>
  <c r="Y39" i="5"/>
  <c r="AB5" i="5"/>
  <c r="AR29" i="11"/>
  <c r="AP29" i="11"/>
  <c r="Y20" i="7"/>
  <c r="Y38" i="7"/>
  <c r="Y44" i="7"/>
  <c r="Y28" i="7"/>
  <c r="Y11" i="7"/>
  <c r="AA6" i="9"/>
  <c r="AA35" i="9"/>
  <c r="AA38" i="9"/>
  <c r="AA55" i="9"/>
  <c r="AA17" i="9"/>
  <c r="BN39" i="11"/>
  <c r="AS42" i="11"/>
  <c r="V30" i="7"/>
  <c r="K30" i="4" s="1"/>
  <c r="V25" i="7"/>
  <c r="K25" i="4" s="1"/>
  <c r="V4" i="7"/>
  <c r="K4" i="4" s="1"/>
  <c r="V57" i="7"/>
  <c r="K57" i="4" s="1"/>
  <c r="V18" i="7"/>
  <c r="K18" i="4" s="1"/>
  <c r="V46" i="7"/>
  <c r="K46" i="4" s="1"/>
  <c r="V8" i="7"/>
  <c r="K8" i="4" s="1"/>
  <c r="V23" i="7"/>
  <c r="K23" i="4" s="1"/>
  <c r="V5" i="7"/>
  <c r="K5" i="4" s="1"/>
  <c r="V27" i="7"/>
  <c r="K27" i="4" s="1"/>
  <c r="Y25" i="7"/>
  <c r="Y30" i="7"/>
  <c r="Y52" i="7"/>
  <c r="Y17" i="7"/>
  <c r="Y31" i="7"/>
  <c r="V28" i="7"/>
  <c r="K28" i="4" s="1"/>
  <c r="V45" i="7"/>
  <c r="K45" i="4" s="1"/>
  <c r="V6" i="7"/>
  <c r="K6" i="4" s="1"/>
  <c r="V58" i="7"/>
  <c r="K58" i="4" s="1"/>
  <c r="V14" i="7"/>
  <c r="K14" i="4" s="1"/>
  <c r="Y59" i="7"/>
  <c r="Y13" i="7"/>
  <c r="Y39" i="7"/>
  <c r="Y23" i="7"/>
  <c r="Y9" i="7"/>
  <c r="Y49" i="7"/>
  <c r="Y5" i="7"/>
  <c r="Y22" i="7"/>
  <c r="BD51" i="11"/>
  <c r="AA5" i="8"/>
  <c r="AP51" i="11"/>
  <c r="Y58" i="7"/>
  <c r="Y19" i="7"/>
  <c r="Y21" i="7"/>
  <c r="Y6" i="7"/>
  <c r="Y42" i="7"/>
  <c r="Y51" i="7"/>
  <c r="Y32" i="7"/>
  <c r="Y29" i="7"/>
  <c r="Y27" i="7"/>
  <c r="Y18" i="7"/>
  <c r="Y7" i="7"/>
  <c r="Y40" i="7"/>
  <c r="Y4" i="7"/>
  <c r="Y16" i="7"/>
  <c r="Y12" i="7"/>
  <c r="Y43" i="7"/>
  <c r="Y50" i="7"/>
  <c r="Y26" i="7"/>
  <c r="Y35" i="7"/>
  <c r="Y34" i="7"/>
  <c r="Y10" i="7"/>
  <c r="Y48" i="7"/>
  <c r="Y15" i="7"/>
  <c r="Y24" i="7"/>
  <c r="Y41" i="7"/>
  <c r="Y33" i="7"/>
  <c r="Y46" i="7"/>
  <c r="Y36" i="7"/>
  <c r="Y14" i="7"/>
  <c r="Y45" i="7"/>
  <c r="Y47" i="7"/>
  <c r="AA28" i="9"/>
  <c r="AA27" i="9"/>
  <c r="Y48" i="8"/>
  <c r="Y37" i="8"/>
  <c r="Y34" i="8"/>
  <c r="AD53" i="11"/>
  <c r="AS53" i="11"/>
  <c r="U5" i="11"/>
  <c r="Y39" i="6"/>
  <c r="BB50" i="11"/>
  <c r="Y12" i="6"/>
  <c r="BE10" i="11"/>
  <c r="AB48" i="6"/>
  <c r="AB39" i="6"/>
  <c r="Z47" i="8"/>
  <c r="AA23" i="5"/>
  <c r="AA42" i="5"/>
  <c r="AA14" i="5"/>
  <c r="Z11" i="8"/>
  <c r="Y48" i="5"/>
  <c r="Y30" i="5"/>
  <c r="AA26" i="5"/>
  <c r="AA43" i="5"/>
  <c r="AA36" i="5"/>
  <c r="AB38" i="8"/>
  <c r="AJ43" i="11"/>
  <c r="BI58" i="11"/>
  <c r="AI34" i="11"/>
  <c r="AA30" i="5"/>
  <c r="AA20" i="5"/>
  <c r="Z31" i="8"/>
  <c r="AB45" i="6"/>
  <c r="AA46" i="5"/>
  <c r="Y45" i="5"/>
  <c r="AI40" i="11"/>
  <c r="AB50" i="6"/>
  <c r="Z26" i="8"/>
  <c r="Z42" i="8"/>
  <c r="AA15" i="5"/>
  <c r="AA6" i="5"/>
  <c r="AA19" i="5"/>
  <c r="Y13" i="5"/>
  <c r="AK58" i="11"/>
  <c r="BH43" i="11"/>
  <c r="AV13" i="11"/>
  <c r="V8" i="9"/>
  <c r="M8" i="4" s="1"/>
  <c r="V23" i="9"/>
  <c r="M23" i="4" s="1"/>
  <c r="V15" i="9"/>
  <c r="M15" i="4" s="1"/>
  <c r="V49" i="9"/>
  <c r="M49" i="4" s="1"/>
  <c r="V32" i="9"/>
  <c r="M32" i="4" s="1"/>
  <c r="V24" i="9"/>
  <c r="M24" i="4" s="1"/>
  <c r="V40" i="9"/>
  <c r="M40" i="4" s="1"/>
  <c r="V33" i="9"/>
  <c r="M33" i="4" s="1"/>
  <c r="Z55" i="9"/>
  <c r="V32" i="8"/>
  <c r="L32" i="4" s="1"/>
  <c r="Z44" i="9"/>
  <c r="Z26" i="9"/>
  <c r="Z39" i="9"/>
  <c r="V45" i="9"/>
  <c r="M45" i="4" s="1"/>
  <c r="Z56" i="9"/>
  <c r="V46" i="8"/>
  <c r="L46" i="4" s="1"/>
  <c r="Z5" i="9"/>
  <c r="Z52" i="9"/>
  <c r="Z49" i="9"/>
  <c r="Z13" i="9"/>
  <c r="O37" i="4"/>
  <c r="O22" i="4"/>
  <c r="O33" i="4"/>
  <c r="O5" i="4"/>
  <c r="O30" i="4"/>
  <c r="O56" i="4"/>
  <c r="O25" i="4"/>
  <c r="O36" i="4"/>
  <c r="O10" i="4"/>
  <c r="O40" i="4"/>
  <c r="V47" i="9"/>
  <c r="M47" i="4" s="1"/>
  <c r="V50" i="9"/>
  <c r="M50" i="4" s="1"/>
  <c r="AB49" i="8"/>
  <c r="V37" i="8"/>
  <c r="L37" i="4" s="1"/>
  <c r="V17" i="9"/>
  <c r="M17" i="4" s="1"/>
  <c r="Z47" i="9"/>
  <c r="V6" i="9"/>
  <c r="M6" i="4" s="1"/>
  <c r="Z8" i="9"/>
  <c r="Z43" i="9"/>
  <c r="Z24" i="9"/>
  <c r="Z46" i="9"/>
  <c r="Z53" i="9"/>
  <c r="Z7" i="9"/>
  <c r="V45" i="8"/>
  <c r="L45" i="4" s="1"/>
  <c r="AB14" i="8"/>
  <c r="AB42" i="8"/>
  <c r="AB26" i="8"/>
  <c r="AB24" i="8"/>
  <c r="AB43" i="8"/>
  <c r="AB13" i="8"/>
  <c r="AB41" i="8"/>
  <c r="AB28" i="8"/>
  <c r="Z15" i="9"/>
  <c r="O34" i="4"/>
  <c r="O54" i="4"/>
  <c r="Z50" i="9"/>
  <c r="AB40" i="8"/>
  <c r="AB20" i="8"/>
  <c r="AB10" i="8"/>
  <c r="V52" i="9"/>
  <c r="M52" i="4" s="1"/>
  <c r="V31" i="8"/>
  <c r="L31" i="4" s="1"/>
  <c r="V29" i="8"/>
  <c r="L29" i="4" s="1"/>
  <c r="Z51" i="9"/>
  <c r="Z10" i="9"/>
  <c r="Z6" i="9"/>
  <c r="V42" i="8"/>
  <c r="L42" i="4" s="1"/>
  <c r="O26" i="4"/>
  <c r="O20" i="4"/>
  <c r="O21" i="4"/>
  <c r="O44" i="4"/>
  <c r="O7" i="4"/>
  <c r="O23" i="4"/>
  <c r="O24" i="4"/>
  <c r="O28" i="4"/>
  <c r="O14" i="4"/>
  <c r="O31" i="4"/>
  <c r="O17" i="4"/>
  <c r="V26" i="9"/>
  <c r="M26" i="4" s="1"/>
  <c r="V37" i="9"/>
  <c r="M37" i="4" s="1"/>
  <c r="V9" i="9"/>
  <c r="M9" i="4" s="1"/>
  <c r="V31" i="9"/>
  <c r="M31" i="4" s="1"/>
  <c r="V16" i="8"/>
  <c r="L16" i="4" s="1"/>
  <c r="Z29" i="9"/>
  <c r="V15" i="8"/>
  <c r="L15" i="4" s="1"/>
  <c r="Z30" i="9"/>
  <c r="V18" i="9"/>
  <c r="M18" i="4" s="1"/>
  <c r="Z19" i="9"/>
  <c r="Z32" i="9"/>
  <c r="Z25" i="9"/>
  <c r="Z34" i="9"/>
  <c r="Z41" i="9"/>
  <c r="AB45" i="8"/>
  <c r="AB30" i="8"/>
  <c r="AB15" i="8"/>
  <c r="AB8" i="8"/>
  <c r="AB16" i="8"/>
  <c r="AB35" i="8"/>
  <c r="AB34" i="8"/>
  <c r="AB29" i="8"/>
  <c r="AB9" i="8"/>
  <c r="O47" i="4"/>
  <c r="O15" i="4"/>
  <c r="O13" i="4"/>
  <c r="AB33" i="8"/>
  <c r="AB32" i="8"/>
  <c r="AB52" i="8"/>
  <c r="AK24" i="11"/>
  <c r="V13" i="9"/>
  <c r="M13" i="4" s="1"/>
  <c r="Z35" i="9"/>
  <c r="V46" i="9"/>
  <c r="M46" i="4" s="1"/>
  <c r="Z45" i="9"/>
  <c r="Z36" i="9"/>
  <c r="Z14" i="9"/>
  <c r="V20" i="9"/>
  <c r="M20" i="4" s="1"/>
  <c r="AB37" i="8"/>
  <c r="AB44" i="8"/>
  <c r="AB17" i="8"/>
  <c r="AB48" i="8"/>
  <c r="AB5" i="8"/>
  <c r="AB27" i="8"/>
  <c r="AB18" i="8"/>
  <c r="AB21" i="8"/>
  <c r="AB11" i="8"/>
  <c r="O51" i="4"/>
  <c r="O42" i="4"/>
  <c r="AB22" i="8"/>
  <c r="O9" i="4"/>
  <c r="Y16" i="6"/>
  <c r="Y52" i="6"/>
  <c r="AB46" i="8"/>
  <c r="AA24" i="5"/>
  <c r="AK54" i="11"/>
  <c r="BT43" i="11"/>
  <c r="AK14" i="11"/>
  <c r="AH46" i="11"/>
  <c r="AB31" i="8"/>
  <c r="AI46" i="11"/>
  <c r="AB50" i="8"/>
  <c r="AA16" i="8"/>
  <c r="AA13" i="8"/>
  <c r="AA19" i="8"/>
  <c r="AA14" i="8"/>
  <c r="BI12" i="11"/>
  <c r="Y11" i="6"/>
  <c r="Y58" i="6"/>
  <c r="Y37" i="6"/>
  <c r="Z46" i="8"/>
  <c r="AA10" i="5"/>
  <c r="AA38" i="5"/>
  <c r="AA29" i="5"/>
  <c r="AA17" i="5"/>
  <c r="AA52" i="5"/>
  <c r="Z30" i="8"/>
  <c r="AA21" i="5"/>
  <c r="AA7" i="5"/>
  <c r="AA33" i="5"/>
  <c r="AA8" i="5"/>
  <c r="AA18" i="5"/>
  <c r="AA32" i="5"/>
  <c r="AA28" i="5"/>
  <c r="AA45" i="5"/>
  <c r="AA40" i="5"/>
  <c r="Z52" i="8"/>
  <c r="Z15" i="8"/>
  <c r="AA49" i="5"/>
  <c r="AA22" i="5"/>
  <c r="AA41" i="5"/>
  <c r="Y5" i="5"/>
  <c r="BF21" i="11"/>
  <c r="Y42" i="8"/>
  <c r="AB18" i="6"/>
  <c r="Y6" i="8"/>
  <c r="Y51" i="8"/>
  <c r="Y14" i="8"/>
  <c r="Y32" i="8"/>
  <c r="Y33" i="8"/>
  <c r="Y15" i="8"/>
  <c r="Y36" i="8"/>
  <c r="Y25" i="8"/>
  <c r="Y26" i="8"/>
  <c r="AB24" i="6"/>
  <c r="Y46" i="8"/>
  <c r="Y41" i="8"/>
  <c r="Y10" i="8"/>
  <c r="Y13" i="8"/>
  <c r="Y52" i="8"/>
  <c r="Y22" i="8"/>
  <c r="Y39" i="8"/>
  <c r="Y43" i="8"/>
  <c r="Y19" i="8"/>
  <c r="Z16" i="6"/>
  <c r="Y44" i="8"/>
  <c r="AB26" i="6"/>
  <c r="Y11" i="8"/>
  <c r="Y28" i="8"/>
  <c r="Y8" i="8"/>
  <c r="Y35" i="8"/>
  <c r="Y38" i="8"/>
  <c r="Y12" i="8"/>
  <c r="Y40" i="8"/>
  <c r="Y20" i="8"/>
  <c r="T4" i="4"/>
  <c r="T13" i="4" l="1"/>
  <c r="V58" i="4"/>
  <c r="Z39" i="4"/>
  <c r="X32" i="4"/>
  <c r="X14" i="4"/>
  <c r="R13" i="4"/>
  <c r="Z58" i="4"/>
  <c r="X58" i="4"/>
  <c r="T58" i="4"/>
  <c r="R58" i="4"/>
  <c r="V18" i="4"/>
  <c r="Z18" i="4"/>
  <c r="AB18" i="4"/>
  <c r="X18" i="4"/>
  <c r="R18" i="4"/>
  <c r="Z49" i="4"/>
  <c r="AD23" i="4"/>
  <c r="Z52" i="4"/>
  <c r="Z5" i="4"/>
  <c r="AB25" i="4"/>
  <c r="T54" i="4"/>
  <c r="AB6" i="4"/>
  <c r="W21" i="5"/>
  <c r="I21" i="4"/>
  <c r="X22" i="4"/>
  <c r="AB8" i="4"/>
  <c r="AB57" i="4"/>
  <c r="N59" i="4"/>
  <c r="Z57" i="4"/>
  <c r="T57" i="4"/>
  <c r="X57" i="4"/>
  <c r="V57" i="4"/>
  <c r="R57" i="4"/>
  <c r="V40" i="4"/>
  <c r="R38" i="4"/>
  <c r="T30" i="4"/>
  <c r="Z8" i="4"/>
  <c r="V55" i="4"/>
  <c r="X30" i="4"/>
  <c r="V30" i="4"/>
  <c r="R30" i="4"/>
  <c r="X8" i="4"/>
  <c r="T8" i="4"/>
  <c r="V8" i="4"/>
  <c r="R8" i="4"/>
  <c r="V26" i="4"/>
  <c r="V51" i="4"/>
  <c r="R26" i="4"/>
  <c r="Z56" i="4"/>
  <c r="T12" i="4"/>
  <c r="X38" i="4"/>
  <c r="T35" i="4"/>
  <c r="T38" i="4"/>
  <c r="Z38" i="4"/>
  <c r="V38" i="4"/>
  <c r="X35" i="4"/>
  <c r="R35" i="4"/>
  <c r="Z35" i="4"/>
  <c r="V35" i="4"/>
  <c r="T24" i="4"/>
  <c r="Z54" i="4"/>
  <c r="X54" i="4"/>
  <c r="V54" i="4"/>
  <c r="R54" i="4"/>
  <c r="T40" i="4"/>
  <c r="X40" i="4"/>
  <c r="Z40" i="4"/>
  <c r="R40" i="4"/>
  <c r="X24" i="4"/>
  <c r="V24" i="4"/>
  <c r="R24" i="4"/>
  <c r="R43" i="4"/>
  <c r="T45" i="4"/>
  <c r="T26" i="4"/>
  <c r="R51" i="4"/>
  <c r="V45" i="4"/>
  <c r="X26" i="4"/>
  <c r="X51" i="4"/>
  <c r="T51" i="4"/>
  <c r="R45" i="4"/>
  <c r="R41" i="4"/>
  <c r="X45" i="4"/>
  <c r="R44" i="4"/>
  <c r="R21" i="4"/>
  <c r="AB21" i="4"/>
  <c r="V14" i="4"/>
  <c r="T14" i="4"/>
  <c r="T55" i="4"/>
  <c r="Z21" i="4"/>
  <c r="X21" i="4"/>
  <c r="T44" i="4"/>
  <c r="X15" i="4"/>
  <c r="X55" i="4"/>
  <c r="R55" i="4"/>
  <c r="V21" i="4"/>
  <c r="T21" i="4"/>
  <c r="AB19" i="4"/>
  <c r="AB44" i="4"/>
  <c r="T42" i="4"/>
  <c r="Z41" i="4"/>
  <c r="Z44" i="4"/>
  <c r="X44" i="4"/>
  <c r="R15" i="4"/>
  <c r="R14" i="4"/>
  <c r="T15" i="4"/>
  <c r="V44" i="4"/>
  <c r="Z14" i="4"/>
  <c r="Z15" i="4"/>
  <c r="T41" i="4"/>
  <c r="AB41" i="4"/>
  <c r="V41" i="4"/>
  <c r="X41" i="4"/>
  <c r="V46" i="4"/>
  <c r="V15" i="4"/>
  <c r="AB15" i="4"/>
  <c r="Z27" i="4"/>
  <c r="T32" i="4"/>
  <c r="Z29" i="4"/>
  <c r="X29" i="4"/>
  <c r="R32" i="4"/>
  <c r="R29" i="4"/>
  <c r="V29" i="4"/>
  <c r="T29" i="4"/>
  <c r="T27" i="4"/>
  <c r="AB27" i="4"/>
  <c r="V27" i="4"/>
  <c r="V32" i="4"/>
  <c r="R27" i="4"/>
  <c r="X27" i="4"/>
  <c r="Z19" i="4"/>
  <c r="Z43" i="4"/>
  <c r="T34" i="4"/>
  <c r="X43" i="4"/>
  <c r="T43" i="4"/>
  <c r="V43" i="4"/>
  <c r="X46" i="4"/>
  <c r="T19" i="4"/>
  <c r="R19" i="4"/>
  <c r="R46" i="4"/>
  <c r="T46" i="4"/>
  <c r="X19" i="4"/>
  <c r="V19" i="4"/>
  <c r="X50" i="4"/>
  <c r="AB42" i="4"/>
  <c r="X12" i="4"/>
  <c r="V20" i="4"/>
  <c r="V36" i="4"/>
  <c r="T53" i="4"/>
  <c r="X11" i="4"/>
  <c r="R34" i="4"/>
  <c r="X34" i="4"/>
  <c r="R31" i="4"/>
  <c r="AB37" i="4"/>
  <c r="Z12" i="4"/>
  <c r="T37" i="4"/>
  <c r="V22" i="4"/>
  <c r="AB28" i="4"/>
  <c r="R53" i="4"/>
  <c r="X36" i="4"/>
  <c r="V50" i="4"/>
  <c r="V39" i="4"/>
  <c r="R42" i="4"/>
  <c r="X47" i="4"/>
  <c r="T47" i="4"/>
  <c r="V47" i="4"/>
  <c r="Z47" i="4"/>
  <c r="R47" i="4"/>
  <c r="W62" i="5"/>
  <c r="W62" i="6"/>
  <c r="V49" i="4"/>
  <c r="Z11" i="4"/>
  <c r="X20" i="4"/>
  <c r="X48" i="4"/>
  <c r="V48" i="4"/>
  <c r="R48" i="4"/>
  <c r="T48" i="4"/>
  <c r="V37" i="4"/>
  <c r="AB53" i="4"/>
  <c r="Z31" i="4"/>
  <c r="AB56" i="4"/>
  <c r="W60" i="5"/>
  <c r="W60" i="6"/>
  <c r="T50" i="4"/>
  <c r="T31" i="4"/>
  <c r="T20" i="4"/>
  <c r="R12" i="4"/>
  <c r="V12" i="4"/>
  <c r="T49" i="4"/>
  <c r="AB9" i="4"/>
  <c r="X9" i="4"/>
  <c r="T9" i="4"/>
  <c r="Z9" i="4"/>
  <c r="V9" i="4"/>
  <c r="R9" i="4"/>
  <c r="Z22" i="4"/>
  <c r="AB22" i="4"/>
  <c r="R28" i="4"/>
  <c r="X28" i="4"/>
  <c r="T52" i="4"/>
  <c r="V52" i="4"/>
  <c r="R52" i="4"/>
  <c r="X52" i="4"/>
  <c r="R11" i="4"/>
  <c r="X39" i="4"/>
  <c r="T39" i="4"/>
  <c r="T23" i="4"/>
  <c r="Z23" i="4"/>
  <c r="V23" i="4"/>
  <c r="R23" i="4"/>
  <c r="X23" i="4"/>
  <c r="AB23" i="4"/>
  <c r="T36" i="4"/>
  <c r="V53" i="4"/>
  <c r="T11" i="4"/>
  <c r="V31" i="4"/>
  <c r="Z34" i="4"/>
  <c r="X42" i="4"/>
  <c r="Z37" i="4"/>
  <c r="X56" i="4"/>
  <c r="Z36" i="4"/>
  <c r="W61" i="5"/>
  <c r="W61" i="6"/>
  <c r="T28" i="4"/>
  <c r="R20" i="4"/>
  <c r="R49" i="4"/>
  <c r="R22" i="4"/>
  <c r="Z10" i="4"/>
  <c r="T10" i="4"/>
  <c r="R10" i="4"/>
  <c r="AB10" i="4"/>
  <c r="X10" i="4"/>
  <c r="V10" i="4"/>
  <c r="Z28" i="4"/>
  <c r="V28" i="4"/>
  <c r="R33" i="4"/>
  <c r="X49" i="4"/>
  <c r="R16" i="4"/>
  <c r="T25" i="4"/>
  <c r="Z25" i="4"/>
  <c r="V25" i="4"/>
  <c r="R25" i="4"/>
  <c r="X25" i="4"/>
  <c r="X31" i="4"/>
  <c r="X37" i="4"/>
  <c r="T22" i="4"/>
  <c r="R56" i="4"/>
  <c r="R36" i="4"/>
  <c r="R39" i="4"/>
  <c r="Z42" i="4"/>
  <c r="V11" i="4"/>
  <c r="V34" i="4"/>
  <c r="V42" i="4"/>
  <c r="R37" i="4"/>
  <c r="T56" i="4"/>
  <c r="X53" i="4"/>
  <c r="AB36" i="4"/>
  <c r="R50" i="4"/>
  <c r="Z53" i="4"/>
  <c r="V56" i="4"/>
  <c r="X5" i="4"/>
  <c r="Z6" i="4"/>
  <c r="R6" i="4"/>
  <c r="T5" i="4"/>
  <c r="V6" i="4"/>
  <c r="R5" i="4"/>
  <c r="V5" i="4"/>
  <c r="X6" i="4"/>
  <c r="I31" i="4"/>
  <c r="I25" i="4"/>
  <c r="I35" i="4"/>
  <c r="I45" i="4"/>
  <c r="I51" i="4"/>
  <c r="W35" i="6"/>
  <c r="I56" i="4"/>
  <c r="W10" i="6"/>
  <c r="I10" i="4"/>
  <c r="I7" i="4"/>
  <c r="N7" i="4" s="1"/>
  <c r="W8" i="5"/>
  <c r="W52" i="5"/>
  <c r="I5" i="4"/>
  <c r="I23" i="4"/>
  <c r="I38" i="4"/>
  <c r="W49" i="7"/>
  <c r="I27" i="4"/>
  <c r="W49" i="8"/>
  <c r="W8" i="8"/>
  <c r="W48" i="9"/>
  <c r="C48" i="4" s="1"/>
  <c r="G48" i="4" s="1"/>
  <c r="W27" i="6"/>
  <c r="W25" i="6"/>
  <c r="W22" i="8"/>
  <c r="W40" i="6"/>
  <c r="W31" i="6"/>
  <c r="W12" i="6"/>
  <c r="W10" i="9"/>
  <c r="C10" i="4" s="1"/>
  <c r="G10" i="4" s="1"/>
  <c r="W52" i="6"/>
  <c r="W23" i="6"/>
  <c r="W11" i="7"/>
  <c r="W45" i="6"/>
  <c r="W31" i="7"/>
  <c r="W37" i="6"/>
  <c r="W55" i="6"/>
  <c r="W34" i="9"/>
  <c r="C34" i="4" s="1"/>
  <c r="G34" i="4" s="1"/>
  <c r="W53" i="8"/>
  <c r="W58" i="5"/>
  <c r="W53" i="5"/>
  <c r="W21" i="7"/>
  <c r="W47" i="5"/>
  <c r="W22" i="7"/>
  <c r="W50" i="6"/>
  <c r="W26" i="8"/>
  <c r="W51" i="6"/>
  <c r="W26" i="5"/>
  <c r="I22" i="4"/>
  <c r="W22" i="6"/>
  <c r="W15" i="5"/>
  <c r="I32" i="4"/>
  <c r="W16" i="7"/>
  <c r="W14" i="9"/>
  <c r="C14" i="4" s="1"/>
  <c r="G14" i="4" s="1"/>
  <c r="W39" i="8"/>
  <c r="W58" i="6"/>
  <c r="W12" i="5"/>
  <c r="I37" i="4"/>
  <c r="W33" i="8"/>
  <c r="W53" i="6"/>
  <c r="W33" i="6"/>
  <c r="W4" i="5"/>
  <c r="W53" i="9"/>
  <c r="C53" i="4" s="1"/>
  <c r="G53" i="4" s="1"/>
  <c r="W14" i="8"/>
  <c r="W34" i="5"/>
  <c r="W46" i="6"/>
  <c r="W21" i="9"/>
  <c r="C21" i="4" s="1"/>
  <c r="G21" i="4" s="1"/>
  <c r="I40" i="4"/>
  <c r="W20" i="5"/>
  <c r="W22" i="9"/>
  <c r="C22" i="4" s="1"/>
  <c r="G22" i="4" s="1"/>
  <c r="W15" i="6"/>
  <c r="I13" i="4"/>
  <c r="W6" i="6"/>
  <c r="W44" i="5"/>
  <c r="W17" i="5"/>
  <c r="W51" i="8"/>
  <c r="W15" i="7"/>
  <c r="I6" i="4"/>
  <c r="W44" i="8"/>
  <c r="W12" i="7"/>
  <c r="W50" i="5"/>
  <c r="W59" i="9"/>
  <c r="W12" i="8"/>
  <c r="W11" i="5"/>
  <c r="W48" i="5"/>
  <c r="W12" i="9"/>
  <c r="C12" i="4" s="1"/>
  <c r="G12" i="4" s="1"/>
  <c r="W59" i="5"/>
  <c r="W17" i="7"/>
  <c r="W39" i="5"/>
  <c r="W14" i="6"/>
  <c r="W55" i="5"/>
  <c r="W4" i="6"/>
  <c r="W37" i="5"/>
  <c r="W14" i="5"/>
  <c r="I33" i="4"/>
  <c r="W41" i="7"/>
  <c r="I41" i="4"/>
  <c r="W16" i="6"/>
  <c r="W34" i="8"/>
  <c r="W39" i="7"/>
  <c r="W39" i="9"/>
  <c r="C39" i="4" s="1"/>
  <c r="G39" i="4" s="1"/>
  <c r="I55" i="4"/>
  <c r="W54" i="8"/>
  <c r="W34" i="6"/>
  <c r="I43" i="4"/>
  <c r="W39" i="6"/>
  <c r="I16" i="4"/>
  <c r="W34" i="7"/>
  <c r="W43" i="8"/>
  <c r="I42" i="4"/>
  <c r="W54" i="5"/>
  <c r="W48" i="7"/>
  <c r="W24" i="8"/>
  <c r="W20" i="7"/>
  <c r="W36" i="5"/>
  <c r="W57" i="7"/>
  <c r="W28" i="6"/>
  <c r="W30" i="5"/>
  <c r="W21" i="6"/>
  <c r="W29" i="5"/>
  <c r="W56" i="6"/>
  <c r="W28" i="8"/>
  <c r="W19" i="6"/>
  <c r="W57" i="9"/>
  <c r="C57" i="4" s="1"/>
  <c r="G57" i="4" s="1"/>
  <c r="I19" i="4"/>
  <c r="I18" i="4"/>
  <c r="W28" i="5"/>
  <c r="I46" i="4"/>
  <c r="W28" i="7"/>
  <c r="W24" i="7"/>
  <c r="W24" i="5"/>
  <c r="W24" i="6"/>
  <c r="I24" i="4"/>
  <c r="W50" i="7"/>
  <c r="W21" i="8"/>
  <c r="W43" i="9"/>
  <c r="C43" i="4" s="1"/>
  <c r="G43" i="4" s="1"/>
  <c r="W36" i="6"/>
  <c r="W38" i="6"/>
  <c r="W55" i="7"/>
  <c r="W9" i="5"/>
  <c r="W8" i="7"/>
  <c r="W58" i="7"/>
  <c r="W47" i="6"/>
  <c r="W4" i="8"/>
  <c r="W43" i="6"/>
  <c r="W23" i="7"/>
  <c r="W9" i="8"/>
  <c r="W7" i="6"/>
  <c r="W48" i="8"/>
  <c r="W11" i="9"/>
  <c r="C11" i="4" s="1"/>
  <c r="G11" i="4" s="1"/>
  <c r="W37" i="7"/>
  <c r="W23" i="8"/>
  <c r="W10" i="8"/>
  <c r="W8" i="6"/>
  <c r="W10" i="7"/>
  <c r="W48" i="6"/>
  <c r="W49" i="5"/>
  <c r="W38" i="7"/>
  <c r="W44" i="6"/>
  <c r="W54" i="7"/>
  <c r="W51" i="7"/>
  <c r="W44" i="9"/>
  <c r="C44" i="4" s="1"/>
  <c r="G44" i="4" s="1"/>
  <c r="W36" i="9"/>
  <c r="C36" i="4" s="1"/>
  <c r="G36" i="4" s="1"/>
  <c r="W41" i="8"/>
  <c r="W47" i="8"/>
  <c r="J44" i="4"/>
  <c r="T6" i="4"/>
  <c r="W51" i="9"/>
  <c r="C51" i="4" s="1"/>
  <c r="G51" i="4" s="1"/>
  <c r="W36" i="8"/>
  <c r="W35" i="7"/>
  <c r="W41" i="9"/>
  <c r="C41" i="4" s="1"/>
  <c r="G41" i="4" s="1"/>
  <c r="J51" i="4"/>
  <c r="W32" i="6"/>
  <c r="W44" i="7"/>
  <c r="W52" i="8"/>
  <c r="W38" i="9"/>
  <c r="C38" i="4" s="1"/>
  <c r="G38" i="4" s="1"/>
  <c r="W26" i="7"/>
  <c r="W29" i="6"/>
  <c r="W36" i="7"/>
  <c r="W42" i="8"/>
  <c r="W43" i="7"/>
  <c r="W52" i="7"/>
  <c r="W33" i="7"/>
  <c r="W26" i="6"/>
  <c r="W45" i="7"/>
  <c r="W32" i="7"/>
  <c r="W32" i="8"/>
  <c r="W54" i="6"/>
  <c r="W40" i="9"/>
  <c r="C40" i="4" s="1"/>
  <c r="G40" i="4" s="1"/>
  <c r="W17" i="9"/>
  <c r="C17" i="4" s="1"/>
  <c r="W55" i="8"/>
  <c r="W29" i="9"/>
  <c r="C29" i="4" s="1"/>
  <c r="G29" i="4" s="1"/>
  <c r="W7" i="7"/>
  <c r="W47" i="7"/>
  <c r="W4" i="9"/>
  <c r="C4" i="4" s="1"/>
  <c r="G4" i="4" s="1"/>
  <c r="W54" i="9"/>
  <c r="C54" i="4" s="1"/>
  <c r="G54" i="4" s="1"/>
  <c r="W41" i="6"/>
  <c r="W23" i="9"/>
  <c r="C23" i="4" s="1"/>
  <c r="G23" i="4" s="1"/>
  <c r="W49" i="6"/>
  <c r="W35" i="8"/>
  <c r="W58" i="9"/>
  <c r="C58" i="4" s="1"/>
  <c r="G58" i="4" s="1"/>
  <c r="W30" i="9"/>
  <c r="C30" i="4" s="1"/>
  <c r="G30" i="4" s="1"/>
  <c r="W11" i="8"/>
  <c r="W29" i="8"/>
  <c r="W50" i="8"/>
  <c r="W35" i="9"/>
  <c r="C35" i="4" s="1"/>
  <c r="G35" i="4" s="1"/>
  <c r="W42" i="9"/>
  <c r="C42" i="4" s="1"/>
  <c r="G42" i="4" s="1"/>
  <c r="W13" i="8"/>
  <c r="W30" i="6"/>
  <c r="W25" i="9"/>
  <c r="C25" i="4" s="1"/>
  <c r="G25" i="4" s="1"/>
  <c r="W40" i="8"/>
  <c r="W5" i="6"/>
  <c r="W53" i="7"/>
  <c r="W40" i="7"/>
  <c r="W18" i="8"/>
  <c r="W20" i="6"/>
  <c r="W56" i="7"/>
  <c r="W29" i="7"/>
  <c r="W42" i="7"/>
  <c r="W59" i="6"/>
  <c r="W13" i="6"/>
  <c r="W19" i="7"/>
  <c r="W59" i="7"/>
  <c r="W9" i="7"/>
  <c r="W30" i="8"/>
  <c r="W19" i="8"/>
  <c r="W59" i="8"/>
  <c r="W47" i="9"/>
  <c r="C47" i="4" s="1"/>
  <c r="G47" i="4" s="1"/>
  <c r="W19" i="9"/>
  <c r="C19" i="4" s="1"/>
  <c r="G19" i="4" s="1"/>
  <c r="W5" i="8"/>
  <c r="W55" i="9"/>
  <c r="C55" i="4" s="1"/>
  <c r="G55" i="4" s="1"/>
  <c r="W11" i="6"/>
  <c r="W57" i="6"/>
  <c r="W9" i="6"/>
  <c r="W18" i="6"/>
  <c r="W17" i="6"/>
  <c r="W57" i="8"/>
  <c r="W56" i="8"/>
  <c r="W30" i="7"/>
  <c r="W7" i="9"/>
  <c r="C7" i="4" s="1"/>
  <c r="W7" i="8"/>
  <c r="W17" i="8"/>
  <c r="W13" i="7"/>
  <c r="W5" i="7"/>
  <c r="W18" i="7"/>
  <c r="W42" i="6"/>
  <c r="W56" i="9"/>
  <c r="C56" i="4" s="1"/>
  <c r="G56" i="4" s="1"/>
  <c r="W57" i="5"/>
  <c r="W58" i="8"/>
  <c r="W4" i="7"/>
  <c r="W5" i="9"/>
  <c r="C5" i="4" s="1"/>
  <c r="G5" i="4" s="1"/>
  <c r="W27" i="7"/>
  <c r="W45" i="8"/>
  <c r="W45" i="9"/>
  <c r="C45" i="4" s="1"/>
  <c r="G45" i="4" s="1"/>
  <c r="W6" i="7"/>
  <c r="W25" i="8"/>
  <c r="W31" i="9"/>
  <c r="C31" i="4" s="1"/>
  <c r="G31" i="4" s="1"/>
  <c r="W26" i="9"/>
  <c r="C26" i="4" s="1"/>
  <c r="G26" i="4" s="1"/>
  <c r="W15" i="8"/>
  <c r="W6" i="8"/>
  <c r="W6" i="9"/>
  <c r="C6" i="4" s="1"/>
  <c r="G6" i="4" s="1"/>
  <c r="W16" i="8"/>
  <c r="W46" i="7"/>
  <c r="W38" i="8"/>
  <c r="W27" i="8"/>
  <c r="W8" i="9"/>
  <c r="C8" i="4" s="1"/>
  <c r="G8" i="4" s="1"/>
  <c r="W25" i="7"/>
  <c r="W20" i="8"/>
  <c r="W27" i="9"/>
  <c r="C27" i="4" s="1"/>
  <c r="G27" i="4" s="1"/>
  <c r="W15" i="9"/>
  <c r="C15" i="4" s="1"/>
  <c r="G15" i="4" s="1"/>
  <c r="W37" i="8"/>
  <c r="W24" i="9"/>
  <c r="C24" i="4" s="1"/>
  <c r="G24" i="4" s="1"/>
  <c r="W28" i="9"/>
  <c r="C28" i="4" s="1"/>
  <c r="G28" i="4" s="1"/>
  <c r="W14" i="7"/>
  <c r="W32" i="9"/>
  <c r="C32" i="4" s="1"/>
  <c r="G32" i="4" s="1"/>
  <c r="W31" i="8"/>
  <c r="W9" i="9"/>
  <c r="C9" i="4" s="1"/>
  <c r="G9" i="4" s="1"/>
  <c r="W37" i="9"/>
  <c r="C37" i="4" s="1"/>
  <c r="G37" i="4" s="1"/>
  <c r="W52" i="9"/>
  <c r="C52" i="4" s="1"/>
  <c r="G52" i="4" s="1"/>
  <c r="W46" i="9"/>
  <c r="C46" i="4" s="1"/>
  <c r="G46" i="4" s="1"/>
  <c r="W13" i="9"/>
  <c r="C13" i="4" s="1"/>
  <c r="G13" i="4" s="1"/>
  <c r="W46" i="8"/>
  <c r="W33" i="9"/>
  <c r="C33" i="4" s="1"/>
  <c r="G33" i="4" s="1"/>
  <c r="W18" i="9"/>
  <c r="C18" i="4" s="1"/>
  <c r="G18" i="4" s="1"/>
  <c r="W16" i="9"/>
  <c r="C16" i="4" s="1"/>
  <c r="G16" i="4" s="1"/>
  <c r="W49" i="9"/>
  <c r="C49" i="4" s="1"/>
  <c r="G49" i="4" s="1"/>
  <c r="W20" i="9"/>
  <c r="C20" i="4" s="1"/>
  <c r="G20" i="4" s="1"/>
  <c r="W50" i="9"/>
  <c r="C50" i="4" s="1"/>
  <c r="G50" i="4" s="1"/>
  <c r="N4" i="4"/>
  <c r="N18" i="4" l="1"/>
  <c r="N58" i="4"/>
  <c r="N57" i="4"/>
  <c r="N8" i="4"/>
  <c r="N30" i="4"/>
  <c r="N55" i="4"/>
  <c r="N15" i="4"/>
  <c r="N44" i="4"/>
  <c r="N41" i="4"/>
  <c r="N19" i="4"/>
  <c r="N20" i="4"/>
  <c r="N35" i="4"/>
  <c r="N33" i="4"/>
  <c r="N17" i="4"/>
  <c r="N39" i="4"/>
  <c r="N47" i="4"/>
  <c r="N38" i="4"/>
  <c r="N54" i="4"/>
  <c r="N9" i="4"/>
  <c r="N40" i="4"/>
  <c r="N11" i="4"/>
  <c r="N25" i="4"/>
  <c r="N26" i="4"/>
  <c r="N21" i="4"/>
  <c r="N46" i="4"/>
  <c r="N50" i="4"/>
  <c r="N22" i="4"/>
  <c r="N37" i="4"/>
  <c r="N43" i="4"/>
  <c r="N16" i="4"/>
  <c r="N56" i="4"/>
  <c r="N53" i="4"/>
  <c r="N24" i="4"/>
  <c r="N45" i="4"/>
  <c r="N34" i="4"/>
  <c r="N6" i="4"/>
  <c r="N51" i="4"/>
  <c r="N48" i="4"/>
  <c r="N23" i="4"/>
  <c r="N52" i="4"/>
  <c r="N10" i="4"/>
  <c r="N28" i="4"/>
  <c r="N12" i="4"/>
  <c r="N27" i="4"/>
  <c r="N36" i="4"/>
  <c r="N42" i="4"/>
  <c r="N49" i="4"/>
  <c r="N29" i="4"/>
  <c r="N31" i="4"/>
  <c r="N13" i="4"/>
  <c r="N32" i="4"/>
  <c r="N5" i="4"/>
  <c r="N14" i="4"/>
</calcChain>
</file>

<file path=xl/sharedStrings.xml><?xml version="1.0" encoding="utf-8"?>
<sst xmlns="http://schemas.openxmlformats.org/spreadsheetml/2006/main" count="4429" uniqueCount="527">
  <si>
    <t>Monday</t>
  </si>
  <si>
    <t>Hourly count of classes</t>
  </si>
  <si>
    <t>V Semester</t>
  </si>
  <si>
    <t>III Semester</t>
  </si>
  <si>
    <t>I Semester</t>
  </si>
  <si>
    <t xml:space="preserve"> TIME TABLE FOR THE YEAR 2020 - 2021</t>
  </si>
  <si>
    <t>LEAVE</t>
  </si>
  <si>
    <t>Teachers</t>
  </si>
  <si>
    <t>Number of classes</t>
  </si>
  <si>
    <t>1st hour</t>
  </si>
  <si>
    <t>2nd hour</t>
  </si>
  <si>
    <t>3rd hour</t>
  </si>
  <si>
    <t>4th hour</t>
  </si>
  <si>
    <t>1st hour V sem</t>
  </si>
  <si>
    <t>2nd hour V sem</t>
  </si>
  <si>
    <t>3rd hour V sem</t>
  </si>
  <si>
    <t>4th hour V sem</t>
  </si>
  <si>
    <t>1st hour III Sem</t>
  </si>
  <si>
    <t>2nd hour III Sem</t>
  </si>
  <si>
    <t>3rd hour III Sem</t>
  </si>
  <si>
    <t>4th hour III Sem</t>
  </si>
  <si>
    <t>1st hour I Sem</t>
  </si>
  <si>
    <t>2nd hour I Sem</t>
  </si>
  <si>
    <t>3rd hour I Sem</t>
  </si>
  <si>
    <t>4th hour I Sem</t>
  </si>
  <si>
    <t>(SHA)red subjects dropdown</t>
  </si>
  <si>
    <t>Semester</t>
  </si>
  <si>
    <t>Section</t>
  </si>
  <si>
    <t>8:30-9:20</t>
  </si>
  <si>
    <t>9:30-10:20</t>
  </si>
  <si>
    <t>10:20-10:50</t>
  </si>
  <si>
    <t>10:50-11:40</t>
  </si>
  <si>
    <t>11:50-12:40</t>
  </si>
  <si>
    <t>Planned</t>
  </si>
  <si>
    <t>(AB)</t>
  </si>
  <si>
    <t>Things to do</t>
  </si>
  <si>
    <t>A, B, C</t>
  </si>
  <si>
    <t>D</t>
  </si>
  <si>
    <t>E</t>
  </si>
  <si>
    <t>F, G</t>
  </si>
  <si>
    <t>F+ECOM</t>
  </si>
  <si>
    <t>A</t>
  </si>
  <si>
    <t>(KR)</t>
  </si>
  <si>
    <t>(SUN)</t>
  </si>
  <si>
    <t>BREAK</t>
  </si>
  <si>
    <t>(SUP)</t>
  </si>
  <si>
    <t>(AV)</t>
  </si>
  <si>
    <t>(AD)</t>
  </si>
  <si>
    <t>Balancing of classes</t>
  </si>
  <si>
    <t>B</t>
  </si>
  <si>
    <t>(SRN)</t>
  </si>
  <si>
    <t>(SR)</t>
  </si>
  <si>
    <t>(UK)</t>
  </si>
  <si>
    <t>(MS)</t>
  </si>
  <si>
    <t>(AG)</t>
  </si>
  <si>
    <t>C</t>
  </si>
  <si>
    <t>(AW)</t>
  </si>
  <si>
    <t>(RG)</t>
  </si>
  <si>
    <t>(VAR)</t>
  </si>
  <si>
    <t>(ANU)</t>
  </si>
  <si>
    <t>(MEG)</t>
  </si>
  <si>
    <t>(AS)</t>
  </si>
  <si>
    <t>(DT)</t>
  </si>
  <si>
    <t>(EC)</t>
  </si>
  <si>
    <t>F+PR</t>
  </si>
  <si>
    <t>F</t>
  </si>
  <si>
    <t>(NG)</t>
  </si>
  <si>
    <t>Unplanned</t>
  </si>
  <si>
    <t>MKG+ECOM</t>
  </si>
  <si>
    <t>G</t>
  </si>
  <si>
    <t>(KM)</t>
  </si>
  <si>
    <t>(BB)</t>
  </si>
  <si>
    <t>H</t>
  </si>
  <si>
    <t>(LK)</t>
  </si>
  <si>
    <t>(SRS)</t>
  </si>
  <si>
    <t>(BD)</t>
  </si>
  <si>
    <t>I</t>
  </si>
  <si>
    <t>(CG)</t>
  </si>
  <si>
    <t>MKG+PR</t>
  </si>
  <si>
    <t>J</t>
  </si>
  <si>
    <t>MKG+ECOM+PR</t>
  </si>
  <si>
    <t>K</t>
  </si>
  <si>
    <t>(SP)</t>
  </si>
  <si>
    <t>HR+ED+PR+ECOM</t>
  </si>
  <si>
    <t>L</t>
  </si>
  <si>
    <t>(HEM)</t>
  </si>
  <si>
    <t>(HK)</t>
  </si>
  <si>
    <t>BAJ</t>
  </si>
  <si>
    <t>FS</t>
  </si>
  <si>
    <t>(AGK)</t>
  </si>
  <si>
    <t>AICS</t>
  </si>
  <si>
    <t>(BH)</t>
  </si>
  <si>
    <t>FMW</t>
  </si>
  <si>
    <t>MGHR</t>
  </si>
  <si>
    <t>(SH)</t>
  </si>
  <si>
    <t>(JAY)</t>
  </si>
  <si>
    <t>CS</t>
  </si>
  <si>
    <t>PMR</t>
  </si>
  <si>
    <t>(NJ)</t>
  </si>
  <si>
    <t>DP</t>
  </si>
  <si>
    <t>(AMJ)</t>
  </si>
  <si>
    <t>STCI</t>
  </si>
  <si>
    <t>CM+OP</t>
  </si>
  <si>
    <t>(YL)</t>
  </si>
  <si>
    <t>(SUH)</t>
  </si>
  <si>
    <t>(MB)</t>
  </si>
  <si>
    <t>(TK)</t>
  </si>
  <si>
    <t>(SAK)</t>
  </si>
  <si>
    <t>(LV)</t>
  </si>
  <si>
    <t>(SB)</t>
  </si>
  <si>
    <t>(VA)</t>
  </si>
  <si>
    <t>(RR)</t>
  </si>
  <si>
    <t>(SW)</t>
  </si>
  <si>
    <t>(MH)</t>
  </si>
  <si>
    <t>NEW</t>
  </si>
  <si>
    <t>(MK)</t>
  </si>
  <si>
    <t>OP/CM/CP</t>
  </si>
  <si>
    <t>CP+OP</t>
  </si>
  <si>
    <t>(RT)</t>
  </si>
  <si>
    <t>(ND)</t>
  </si>
  <si>
    <t>(PM)</t>
  </si>
  <si>
    <t>CM+SP</t>
  </si>
  <si>
    <t>(New)</t>
  </si>
  <si>
    <t>(PR)</t>
  </si>
  <si>
    <t>CM+SP+CP</t>
  </si>
  <si>
    <t>CP+SP</t>
  </si>
  <si>
    <t>M</t>
  </si>
  <si>
    <t>(RP)</t>
  </si>
  <si>
    <t>N</t>
  </si>
  <si>
    <t>AD</t>
  </si>
  <si>
    <t>PR</t>
  </si>
  <si>
    <t>(AA)</t>
  </si>
  <si>
    <t>CE</t>
  </si>
  <si>
    <t>(SA)</t>
  </si>
  <si>
    <t>PJ PRAC</t>
  </si>
  <si>
    <t>PJ</t>
  </si>
  <si>
    <t>Room</t>
  </si>
  <si>
    <t>11:45-12:35</t>
  </si>
  <si>
    <t>12:35-1:25</t>
  </si>
  <si>
    <t>1:25-2:05</t>
  </si>
  <si>
    <t>2:05-2:55</t>
  </si>
  <si>
    <t>2:55-3:45</t>
  </si>
  <si>
    <t>AE</t>
  </si>
  <si>
    <t>Break</t>
  </si>
  <si>
    <t>(SC)</t>
  </si>
  <si>
    <t>(VIN)</t>
  </si>
  <si>
    <t>(SE)</t>
  </si>
  <si>
    <t>(SN)</t>
  </si>
  <si>
    <t>(VRL)</t>
  </si>
  <si>
    <t>(DRP)</t>
  </si>
  <si>
    <t>Y</t>
  </si>
  <si>
    <t>X</t>
  </si>
  <si>
    <t>HIN</t>
  </si>
  <si>
    <t>(SV)</t>
  </si>
  <si>
    <t>KAN</t>
  </si>
  <si>
    <t>SAN</t>
  </si>
  <si>
    <t>LANG</t>
  </si>
  <si>
    <t>ITC</t>
  </si>
  <si>
    <t>GE</t>
  </si>
  <si>
    <t>RE</t>
  </si>
  <si>
    <t>(NEW)</t>
  </si>
  <si>
    <t>A Section</t>
  </si>
  <si>
    <t>B Section</t>
  </si>
  <si>
    <t>C Section</t>
  </si>
  <si>
    <t>D Section</t>
  </si>
  <si>
    <t>E Section</t>
  </si>
  <si>
    <t>F Section</t>
  </si>
  <si>
    <t>G Section</t>
  </si>
  <si>
    <t>H Section</t>
  </si>
  <si>
    <t>I Section</t>
  </si>
  <si>
    <t>J Section</t>
  </si>
  <si>
    <t>K Section</t>
  </si>
  <si>
    <t>L Section</t>
  </si>
  <si>
    <t>M Section</t>
  </si>
  <si>
    <t>N Section</t>
  </si>
  <si>
    <t>Teacher</t>
  </si>
  <si>
    <t>Subject</t>
  </si>
  <si>
    <t>HOJ</t>
  </si>
  <si>
    <t>BT</t>
  </si>
  <si>
    <t>RE PRAC</t>
  </si>
  <si>
    <t>BM</t>
  </si>
  <si>
    <t>FA</t>
  </si>
  <si>
    <t>x</t>
  </si>
  <si>
    <t>QT</t>
  </si>
  <si>
    <t>BAJ III</t>
  </si>
  <si>
    <t>MM</t>
  </si>
  <si>
    <t>HR</t>
  </si>
  <si>
    <t>ED</t>
  </si>
  <si>
    <t>GS</t>
  </si>
  <si>
    <t>CA</t>
  </si>
  <si>
    <t>SP</t>
  </si>
  <si>
    <t>EVS</t>
  </si>
  <si>
    <t>(BH</t>
  </si>
  <si>
    <t>CM</t>
  </si>
  <si>
    <t>CP</t>
  </si>
  <si>
    <t>(SS)</t>
  </si>
  <si>
    <t>OP</t>
  </si>
  <si>
    <t>CW</t>
  </si>
  <si>
    <t>TH</t>
  </si>
  <si>
    <t>BAJ V</t>
  </si>
  <si>
    <t>L Section split</t>
  </si>
  <si>
    <t>IB</t>
  </si>
  <si>
    <t>EBO</t>
  </si>
  <si>
    <t>RM</t>
  </si>
  <si>
    <t>IT</t>
  </si>
  <si>
    <t>ES</t>
  </si>
  <si>
    <t>MA</t>
  </si>
  <si>
    <t>LE</t>
  </si>
  <si>
    <t>FMS</t>
  </si>
  <si>
    <t>CB</t>
  </si>
  <si>
    <t>HRD</t>
  </si>
  <si>
    <t>IF</t>
  </si>
  <si>
    <t>MIP</t>
  </si>
  <si>
    <t>IHRM</t>
  </si>
  <si>
    <t>AA</t>
  </si>
  <si>
    <t>CHRM</t>
  </si>
  <si>
    <t>ECOM</t>
  </si>
  <si>
    <t>Tuesday</t>
  </si>
  <si>
    <t>Total so far</t>
  </si>
  <si>
    <t xml:space="preserve">RG SEC H </t>
  </si>
  <si>
    <t>Wednesday</t>
  </si>
  <si>
    <t>Dual Programme</t>
  </si>
  <si>
    <t xml:space="preserve"> </t>
  </si>
  <si>
    <t>Thursday</t>
  </si>
  <si>
    <t>FMW/DP</t>
  </si>
  <si>
    <t>(AMJ)/(AGK)</t>
  </si>
  <si>
    <t>AICS/PMR</t>
  </si>
  <si>
    <t>(BH)/(NJ)</t>
  </si>
  <si>
    <t>SA</t>
  </si>
  <si>
    <t>(BH)/(SN)</t>
  </si>
  <si>
    <t>TM</t>
  </si>
  <si>
    <t>Friday</t>
  </si>
  <si>
    <t>STCI/MGHR</t>
  </si>
  <si>
    <t>/(SH)</t>
  </si>
  <si>
    <t>GS/CW</t>
  </si>
  <si>
    <t>SP/TH</t>
  </si>
  <si>
    <t>(SS)/(MH)</t>
  </si>
  <si>
    <t>Saturday</t>
  </si>
  <si>
    <t>Column1</t>
  </si>
  <si>
    <t>Dual program faculties should not be given classes in last hour</t>
  </si>
  <si>
    <t>ND,RG,AV,AS</t>
  </si>
  <si>
    <t>10:30-11:45 (Dual)</t>
  </si>
  <si>
    <t>12:40-1:30</t>
  </si>
  <si>
    <t>Weekly Report</t>
  </si>
  <si>
    <t>Count of classes/day</t>
  </si>
  <si>
    <t>Count of classes in each section</t>
  </si>
  <si>
    <t>BBA</t>
  </si>
  <si>
    <t>Name of Faculty</t>
  </si>
  <si>
    <t>Total number of classes to be taken</t>
  </si>
  <si>
    <t>Number of given</t>
  </si>
  <si>
    <t>Unplanned Leave count</t>
  </si>
  <si>
    <t>Planned Leave count</t>
  </si>
  <si>
    <t>Comments</t>
  </si>
  <si>
    <t>Difference in classes taken vs allocated</t>
  </si>
  <si>
    <t>Mon</t>
  </si>
  <si>
    <t>Tue</t>
  </si>
  <si>
    <t>Wed</t>
  </si>
  <si>
    <t>Thu</t>
  </si>
  <si>
    <t>Fri</t>
  </si>
  <si>
    <t>Sat</t>
  </si>
  <si>
    <t>Clash Check</t>
  </si>
  <si>
    <t>Number of Last Hour</t>
  </si>
  <si>
    <t>Sections</t>
  </si>
  <si>
    <t>Count</t>
  </si>
  <si>
    <t>BT (G)</t>
  </si>
  <si>
    <t>BT (J)</t>
  </si>
  <si>
    <t>IT (E)</t>
  </si>
  <si>
    <t>RM (I)</t>
  </si>
  <si>
    <t>IT (J)</t>
  </si>
  <si>
    <t>IT (K)</t>
  </si>
  <si>
    <t>IT (L)</t>
  </si>
  <si>
    <t>BM (G)</t>
  </si>
  <si>
    <t>BM (K)</t>
  </si>
  <si>
    <t>BM (N)</t>
  </si>
  <si>
    <t>EVS (C)</t>
  </si>
  <si>
    <t>EVS (J)</t>
  </si>
  <si>
    <t>EVS (M)</t>
  </si>
  <si>
    <t>-</t>
  </si>
  <si>
    <t>BM (A)</t>
  </si>
  <si>
    <t>HR (C)</t>
  </si>
  <si>
    <t>HR (G)</t>
  </si>
  <si>
    <t>HR (K)</t>
  </si>
  <si>
    <t>HR (L)</t>
  </si>
  <si>
    <t>HR (J)</t>
  </si>
  <si>
    <t>CM (A)</t>
  </si>
  <si>
    <t>IB (A)</t>
  </si>
  <si>
    <t>IB (I)</t>
  </si>
  <si>
    <t>MIP (J)</t>
  </si>
  <si>
    <t>CM (K)</t>
  </si>
  <si>
    <t>IB (L)</t>
  </si>
  <si>
    <t>BT (A)</t>
  </si>
  <si>
    <t>ECOM (A)</t>
  </si>
  <si>
    <t>BT (C)</t>
  </si>
  <si>
    <t>ECOM (C)</t>
  </si>
  <si>
    <t>BT (H)</t>
  </si>
  <si>
    <t>BT (K)</t>
  </si>
  <si>
    <t>QT (B)</t>
  </si>
  <si>
    <t>QT (C)</t>
  </si>
  <si>
    <t>QT (G)</t>
  </si>
  <si>
    <t>ECOM (L)</t>
  </si>
  <si>
    <t>QT (L)</t>
  </si>
  <si>
    <t>HR (N)</t>
  </si>
  <si>
    <t>QT (J)</t>
  </si>
  <si>
    <t>QT (K)</t>
  </si>
  <si>
    <t>HR (B)</t>
  </si>
  <si>
    <t>HR (F)</t>
  </si>
  <si>
    <t>GE (E)</t>
  </si>
  <si>
    <t>GE (I)</t>
  </si>
  <si>
    <t>ECOM (E)</t>
  </si>
  <si>
    <t>MIP (G)</t>
  </si>
  <si>
    <t>ECOM (I)</t>
  </si>
  <si>
    <t>EBO (L)</t>
  </si>
  <si>
    <t>MIP (K)</t>
  </si>
  <si>
    <t>ED (E)</t>
  </si>
  <si>
    <t>IB (E)</t>
  </si>
  <si>
    <t>IB (G)</t>
  </si>
  <si>
    <t>IB (J)</t>
  </si>
  <si>
    <t>IB (K)</t>
  </si>
  <si>
    <t>HRD (L)</t>
  </si>
  <si>
    <t>KAN (M)</t>
  </si>
  <si>
    <t>BM (C)</t>
  </si>
  <si>
    <t>BT (D)</t>
  </si>
  <si>
    <t>BT (E)</t>
  </si>
  <si>
    <t>BT (F)</t>
  </si>
  <si>
    <t>BT (I)</t>
  </si>
  <si>
    <t>BT (N)</t>
  </si>
  <si>
    <t>MM (A)</t>
  </si>
  <si>
    <t>IB (B)</t>
  </si>
  <si>
    <t>CB (G)</t>
  </si>
  <si>
    <t>CB (I)</t>
  </si>
  <si>
    <t>CB (J)</t>
  </si>
  <si>
    <t>MM (N)</t>
  </si>
  <si>
    <t>MA (A)</t>
  </si>
  <si>
    <t>MA (E)</t>
  </si>
  <si>
    <t>CA (G)</t>
  </si>
  <si>
    <t>MA (H)</t>
  </si>
  <si>
    <t>RM (G)</t>
  </si>
  <si>
    <t>MIP (H)</t>
  </si>
  <si>
    <t>MIP (I)</t>
  </si>
  <si>
    <t>RM (J)</t>
  </si>
  <si>
    <t>RM (K)</t>
  </si>
  <si>
    <t>LE (L)</t>
  </si>
  <si>
    <t>ED (B)</t>
  </si>
  <si>
    <t>MM (E)</t>
  </si>
  <si>
    <t>ED (H)</t>
  </si>
  <si>
    <t>ED (J)</t>
  </si>
  <si>
    <t>ED (L)</t>
  </si>
  <si>
    <t>ED (M)</t>
  </si>
  <si>
    <t>EVS (B)</t>
  </si>
  <si>
    <t>EVS (N)</t>
  </si>
  <si>
    <t>EVS (G)</t>
  </si>
  <si>
    <t>CP (H)</t>
  </si>
  <si>
    <t>EVS (D)</t>
  </si>
  <si>
    <t>CP (J)</t>
  </si>
  <si>
    <t>CP (L)</t>
  </si>
  <si>
    <t>CA (D)</t>
  </si>
  <si>
    <t>MA (D)</t>
  </si>
  <si>
    <t>CA (L)</t>
  </si>
  <si>
    <t>MA (J)</t>
  </si>
  <si>
    <t>SP (H)</t>
  </si>
  <si>
    <t>SP (F)</t>
  </si>
  <si>
    <t>SP (L)</t>
  </si>
  <si>
    <t>SP (N)</t>
  </si>
  <si>
    <t>SP (M)</t>
  </si>
  <si>
    <t>FA (A)</t>
  </si>
  <si>
    <t>FA (C)</t>
  </si>
  <si>
    <t>FA (H)</t>
  </si>
  <si>
    <t>FA (N)</t>
  </si>
  <si>
    <t>FMS (B)</t>
  </si>
  <si>
    <t>ED (C)</t>
  </si>
  <si>
    <t>AA (C)</t>
  </si>
  <si>
    <t>AA (F)</t>
  </si>
  <si>
    <t>ED (I)</t>
  </si>
  <si>
    <t>FMS (E)</t>
  </si>
  <si>
    <t>OP (A)</t>
  </si>
  <si>
    <t>OP (C)</t>
  </si>
  <si>
    <t>OP (J)</t>
  </si>
  <si>
    <t>OP (L)</t>
  </si>
  <si>
    <t>OP (K)</t>
  </si>
  <si>
    <t>ES (L)</t>
  </si>
  <si>
    <t>FMS (C)</t>
  </si>
  <si>
    <t>FMS (F)</t>
  </si>
  <si>
    <t>MA (G)</t>
  </si>
  <si>
    <t>MA (I)</t>
  </si>
  <si>
    <t>MA (K)</t>
  </si>
  <si>
    <t>QT (E)</t>
  </si>
  <si>
    <t>QT (F)</t>
  </si>
  <si>
    <t>MA (F)</t>
  </si>
  <si>
    <t>QT (I)</t>
  </si>
  <si>
    <t>GE (B)</t>
  </si>
  <si>
    <t>AE (C)</t>
  </si>
  <si>
    <t>AE (D)</t>
  </si>
  <si>
    <t>GE (F)</t>
  </si>
  <si>
    <t>GE (L)</t>
  </si>
  <si>
    <t>CA (A)</t>
  </si>
  <si>
    <t>MA (C)</t>
  </si>
  <si>
    <t>MA (L)</t>
  </si>
  <si>
    <t>SAN (N)</t>
  </si>
  <si>
    <t>HR (A)</t>
  </si>
  <si>
    <t>HR (H)</t>
  </si>
  <si>
    <t>CHRM (L)</t>
  </si>
  <si>
    <t>HR (M)</t>
  </si>
  <si>
    <t>GE (A)</t>
  </si>
  <si>
    <t>AE (B)</t>
  </si>
  <si>
    <t>GE (H)</t>
  </si>
  <si>
    <t>GE (M)</t>
  </si>
  <si>
    <t>GE (N)</t>
  </si>
  <si>
    <t>CM (B)</t>
  </si>
  <si>
    <t>MM (D)</t>
  </si>
  <si>
    <t>CM (E)</t>
  </si>
  <si>
    <t>MM (K)</t>
  </si>
  <si>
    <t>CM (F)</t>
  </si>
  <si>
    <t>MM (I)</t>
  </si>
  <si>
    <t>OP (B)</t>
  </si>
  <si>
    <t>MM (C)</t>
  </si>
  <si>
    <t>MM (F)</t>
  </si>
  <si>
    <t>OP (G)</t>
  </si>
  <si>
    <t>OP (I)</t>
  </si>
  <si>
    <t>MM (M)</t>
  </si>
  <si>
    <t>AE (A)</t>
  </si>
  <si>
    <t>GE (D)</t>
  </si>
  <si>
    <t>AE (E)</t>
  </si>
  <si>
    <t>AE (F)</t>
  </si>
  <si>
    <t>GE (G)</t>
  </si>
  <si>
    <t>BM (B)</t>
  </si>
  <si>
    <t>BM (E)</t>
  </si>
  <si>
    <t>BM (F)</t>
  </si>
  <si>
    <t>BM (J)</t>
  </si>
  <si>
    <t>BT (M)</t>
  </si>
  <si>
    <t>GE (C)</t>
  </si>
  <si>
    <t>AE (G)</t>
  </si>
  <si>
    <t>AE (H)</t>
  </si>
  <si>
    <t>GE (K)</t>
  </si>
  <si>
    <t>GE (J)</t>
  </si>
  <si>
    <t>K and L combined class</t>
  </si>
  <si>
    <t>PR (F)</t>
  </si>
  <si>
    <t>CP (G)</t>
  </si>
  <si>
    <t>PR (K)</t>
  </si>
  <si>
    <t>CP (I)</t>
  </si>
  <si>
    <t>PR (L)</t>
  </si>
  <si>
    <t>ECOM (B)</t>
  </si>
  <si>
    <t>ECOM (D)</t>
  </si>
  <si>
    <t>ECOM (G)</t>
  </si>
  <si>
    <t>ECOM (H)</t>
  </si>
  <si>
    <t>PR (J)</t>
  </si>
  <si>
    <t>IHRM (L)</t>
  </si>
  <si>
    <t>IT (A)</t>
  </si>
  <si>
    <t>IF (B)</t>
  </si>
  <si>
    <t>IT (D)</t>
  </si>
  <si>
    <t>IF (E)</t>
  </si>
  <si>
    <t>IT (H)</t>
  </si>
  <si>
    <t>MM (B)</t>
  </si>
  <si>
    <t>MM (H)</t>
  </si>
  <si>
    <t>CB (H)</t>
  </si>
  <si>
    <t>MM (J)</t>
  </si>
  <si>
    <t>CB (K)</t>
  </si>
  <si>
    <t>MM (L)</t>
  </si>
  <si>
    <t>EVS (A)</t>
  </si>
  <si>
    <t>CM (C)</t>
  </si>
  <si>
    <t>HR (D)</t>
  </si>
  <si>
    <t>HR (E)</t>
  </si>
  <si>
    <t>FMS (A)</t>
  </si>
  <si>
    <t>IB (C)</t>
  </si>
  <si>
    <t>FMS (D)</t>
  </si>
  <si>
    <t>IB (H)</t>
  </si>
  <si>
    <t>AA (A)</t>
  </si>
  <si>
    <t>IT (C)</t>
  </si>
  <si>
    <t>AA (D)</t>
  </si>
  <si>
    <t>AA (E)</t>
  </si>
  <si>
    <t>IT (I)</t>
  </si>
  <si>
    <t>HIN (I)</t>
  </si>
  <si>
    <t>HIN (J)</t>
  </si>
  <si>
    <t>HIN (K)</t>
  </si>
  <si>
    <t>HIN (L)</t>
  </si>
  <si>
    <t>CM (D)</t>
  </si>
  <si>
    <t>CA (E)</t>
  </si>
  <si>
    <t>CA (H)</t>
  </si>
  <si>
    <t>CA (J)</t>
  </si>
  <si>
    <t>CA (M)</t>
  </si>
  <si>
    <t>CA (B)</t>
  </si>
  <si>
    <t>MA (B)</t>
  </si>
  <si>
    <t>CA (K)</t>
  </si>
  <si>
    <t>CA (N)</t>
  </si>
  <si>
    <t>IT (B)</t>
  </si>
  <si>
    <t>IT (F)</t>
  </si>
  <si>
    <t>IT (G)</t>
  </si>
  <si>
    <t>CA (I)</t>
  </si>
  <si>
    <t>FA (J)</t>
  </si>
  <si>
    <t>CA (C)</t>
  </si>
  <si>
    <t>CA (F)</t>
  </si>
  <si>
    <t>FA (K)</t>
  </si>
  <si>
    <t>IF (A)</t>
  </si>
  <si>
    <t>AA (B)</t>
  </si>
  <si>
    <t>IF (C)</t>
  </si>
  <si>
    <t>IF (D)</t>
  </si>
  <si>
    <t>MM (G)</t>
  </si>
  <si>
    <t>IF (F)</t>
  </si>
  <si>
    <t>FA (B)</t>
  </si>
  <si>
    <t>FA (G)</t>
  </si>
  <si>
    <t>FA (I)</t>
  </si>
  <si>
    <t>FA (M)</t>
  </si>
  <si>
    <t>FA (L)</t>
  </si>
  <si>
    <t>QT (A)</t>
  </si>
  <si>
    <t>QT (D)</t>
  </si>
  <si>
    <t>QT (H)</t>
  </si>
  <si>
    <t>RM (H)</t>
  </si>
  <si>
    <t>ED (A)</t>
  </si>
  <si>
    <t>BT (B)</t>
  </si>
  <si>
    <t>IB (D)</t>
  </si>
  <si>
    <t>IB (F)</t>
  </si>
  <si>
    <t>ED (F)</t>
  </si>
  <si>
    <t>ED (N)</t>
  </si>
  <si>
    <t>ED (D)</t>
  </si>
  <si>
    <t>EVS (E)</t>
  </si>
  <si>
    <t>ED (K)</t>
  </si>
  <si>
    <t>EVS (F)</t>
  </si>
  <si>
    <t>ED (G)</t>
  </si>
  <si>
    <t>EVS (L)</t>
  </si>
  <si>
    <t>BM (D)</t>
  </si>
  <si>
    <t>BM (H)</t>
  </si>
  <si>
    <t>BM (I)</t>
  </si>
  <si>
    <t>BM (L)</t>
  </si>
  <si>
    <t>BM (M)</t>
  </si>
  <si>
    <t>9:55-10:40</t>
  </si>
  <si>
    <t>10:40-11:25</t>
  </si>
  <si>
    <t>Dual Program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</si>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</sst>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7"/>
      <color rgb="FF0000F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</fills>
  <borders count="1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26" applyBorder="0">
      <alignment horizontal="left" vertical="top" wrapText="1"/>
    </xf>
  </cellStyleXfs>
  <cellXfs count="4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8" fillId="0" borderId="10" xfId="0" applyFont="1" applyBorder="1" applyAlignment="1">
      <alignment horizontal="center" vertical="center" wrapText="1"/>
    </xf>
    <xf numFmtId="0" fontId="0" fillId="0" borderId="22" xfId="0" applyBorder="1"/>
    <xf numFmtId="0" fontId="18" fillId="0" borderId="13" xfId="0" applyFont="1" applyBorder="1" applyAlignment="1">
      <alignment vertical="center" wrapText="1"/>
    </xf>
    <xf numFmtId="0" fontId="18" fillId="0" borderId="11" xfId="0" applyFont="1" applyBorder="1" applyAlignment="1">
      <alignment horizontal="righ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28" xfId="0" applyFont="1" applyBorder="1" applyAlignment="1">
      <alignment vertical="center" wrapText="1"/>
    </xf>
    <xf numFmtId="0" fontId="0" fillId="0" borderId="29" xfId="0" applyBorder="1" applyAlignment="1">
      <alignment horizontal="left"/>
    </xf>
    <xf numFmtId="0" fontId="17" fillId="33" borderId="35" xfId="42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30" xfId="0" applyBorder="1"/>
    <xf numFmtId="0" fontId="0" fillId="0" borderId="31" xfId="0" applyBorder="1"/>
    <xf numFmtId="0" fontId="0" fillId="0" borderId="53" xfId="0" applyBorder="1" applyAlignment="1">
      <alignment horizontal="center"/>
    </xf>
    <xf numFmtId="0" fontId="18" fillId="0" borderId="20" xfId="0" applyFont="1" applyBorder="1" applyAlignment="1">
      <alignment horizontal="right" vertical="center" wrapText="1"/>
    </xf>
    <xf numFmtId="0" fontId="18" fillId="0" borderId="21" xfId="0" applyFont="1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right" vertical="center"/>
    </xf>
    <xf numFmtId="0" fontId="20" fillId="0" borderId="62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right" vertical="center" wrapText="1"/>
    </xf>
    <xf numFmtId="0" fontId="18" fillId="0" borderId="66" xfId="0" applyFont="1" applyBorder="1" applyAlignment="1">
      <alignment horizontal="right" vertical="center" wrapText="1"/>
    </xf>
    <xf numFmtId="0" fontId="18" fillId="0" borderId="67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right" vertical="center" wrapText="1"/>
    </xf>
    <xf numFmtId="0" fontId="18" fillId="0" borderId="79" xfId="0" applyFont="1" applyBorder="1" applyAlignment="1">
      <alignment horizontal="left" vertical="center" wrapText="1"/>
    </xf>
    <xf numFmtId="0" fontId="18" fillId="0" borderId="71" xfId="0" applyFont="1" applyBorder="1" applyAlignment="1">
      <alignment horizontal="left" vertical="center" wrapText="1"/>
    </xf>
    <xf numFmtId="0" fontId="20" fillId="0" borderId="39" xfId="0" applyFont="1" applyBorder="1" applyAlignment="1">
      <alignment wrapText="1"/>
    </xf>
    <xf numFmtId="0" fontId="20" fillId="0" borderId="32" xfId="0" applyFont="1" applyBorder="1" applyAlignment="1">
      <alignment horizontal="center" vertical="center" wrapText="1"/>
    </xf>
    <xf numFmtId="0" fontId="18" fillId="0" borderId="0" xfId="0" applyFont="1"/>
    <xf numFmtId="0" fontId="18" fillId="0" borderId="81" xfId="0" applyFont="1" applyBorder="1" applyAlignment="1">
      <alignment horizontal="right" vertical="center" wrapText="1"/>
    </xf>
    <xf numFmtId="0" fontId="18" fillId="0" borderId="38" xfId="0" applyFont="1" applyBorder="1" applyAlignment="1">
      <alignment horizontal="right" vertical="center" wrapText="1"/>
    </xf>
    <xf numFmtId="0" fontId="18" fillId="0" borderId="47" xfId="0" applyFont="1" applyBorder="1" applyAlignment="1">
      <alignment vertical="center" wrapText="1"/>
    </xf>
    <xf numFmtId="0" fontId="18" fillId="0" borderId="82" xfId="0" applyFont="1" applyBorder="1" applyAlignment="1">
      <alignment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0" fillId="0" borderId="86" xfId="0" applyBorder="1" applyAlignment="1">
      <alignment horizontal="left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0" fontId="16" fillId="0" borderId="89" xfId="0" applyFont="1" applyBorder="1" applyAlignment="1">
      <alignment horizontal="center" vertical="center" wrapText="1"/>
    </xf>
    <xf numFmtId="0" fontId="16" fillId="0" borderId="90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left" vertical="center"/>
    </xf>
    <xf numFmtId="0" fontId="0" fillId="33" borderId="61" xfId="0" applyFill="1" applyBorder="1" applyAlignment="1">
      <alignment horizontal="center"/>
    </xf>
    <xf numFmtId="0" fontId="0" fillId="33" borderId="36" xfId="0" applyFill="1" applyBorder="1" applyAlignment="1">
      <alignment horizontal="center"/>
    </xf>
    <xf numFmtId="0" fontId="0" fillId="33" borderId="58" xfId="0" applyFill="1" applyBorder="1" applyAlignment="1">
      <alignment horizontal="center"/>
    </xf>
    <xf numFmtId="0" fontId="0" fillId="33" borderId="59" xfId="0" applyFill="1" applyBorder="1" applyAlignment="1">
      <alignment horizontal="center"/>
    </xf>
    <xf numFmtId="0" fontId="0" fillId="33" borderId="60" xfId="0" applyFill="1" applyBorder="1" applyAlignment="1">
      <alignment horizontal="center"/>
    </xf>
    <xf numFmtId="0" fontId="0" fillId="33" borderId="54" xfId="0" applyFill="1" applyBorder="1" applyAlignment="1">
      <alignment horizontal="center"/>
    </xf>
    <xf numFmtId="0" fontId="0" fillId="33" borderId="55" xfId="0" applyFill="1" applyBorder="1" applyAlignment="1">
      <alignment horizontal="center"/>
    </xf>
    <xf numFmtId="0" fontId="0" fillId="33" borderId="56" xfId="0" applyFill="1" applyBorder="1" applyAlignment="1">
      <alignment horizontal="center"/>
    </xf>
    <xf numFmtId="0" fontId="0" fillId="0" borderId="95" xfId="0" applyBorder="1" applyAlignment="1">
      <alignment horizontal="left" vertical="center"/>
    </xf>
    <xf numFmtId="0" fontId="0" fillId="0" borderId="96" xfId="0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7" fillId="13" borderId="0" xfId="22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44" xfId="0" applyFont="1" applyBorder="1" applyAlignment="1">
      <alignment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right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right" vertical="center" wrapText="1"/>
    </xf>
    <xf numFmtId="0" fontId="18" fillId="0" borderId="93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0" fillId="0" borderId="0" xfId="0" quotePrefix="1" applyAlignment="1">
      <alignment horizontal="left"/>
    </xf>
    <xf numFmtId="0" fontId="0" fillId="0" borderId="99" xfId="0" applyBorder="1"/>
    <xf numFmtId="0" fontId="0" fillId="0" borderId="48" xfId="0" applyBorder="1"/>
    <xf numFmtId="0" fontId="18" fillId="0" borderId="80" xfId="0" applyFont="1" applyBorder="1" applyAlignment="1">
      <alignment horizontal="center" vertical="center" wrapText="1"/>
    </xf>
    <xf numFmtId="0" fontId="18" fillId="0" borderId="97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24" fillId="0" borderId="100" xfId="0" applyFont="1" applyBorder="1" applyAlignment="1">
      <alignment horizontal="center" vertical="center" wrapText="1"/>
    </xf>
    <xf numFmtId="0" fontId="25" fillId="0" borderId="100" xfId="0" applyFont="1" applyBorder="1" applyAlignment="1">
      <alignment horizontal="center" vertical="center" wrapText="1"/>
    </xf>
    <xf numFmtId="0" fontId="18" fillId="0" borderId="97" xfId="0" applyFont="1" applyBorder="1" applyAlignment="1">
      <alignment vertical="center" wrapText="1"/>
    </xf>
    <xf numFmtId="0" fontId="19" fillId="0" borderId="10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93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center" vertical="center" wrapText="1"/>
    </xf>
    <xf numFmtId="0" fontId="24" fillId="0" borderId="105" xfId="0" applyFont="1" applyBorder="1" applyAlignment="1">
      <alignment horizontal="center" vertical="center" wrapText="1"/>
    </xf>
    <xf numFmtId="0" fontId="0" fillId="0" borderId="107" xfId="0" applyBorder="1" applyAlignment="1">
      <alignment horizontal="left" vertical="center"/>
    </xf>
    <xf numFmtId="0" fontId="0" fillId="0" borderId="108" xfId="0" applyBorder="1" applyAlignment="1">
      <alignment horizontal="left" vertical="center"/>
    </xf>
    <xf numFmtId="0" fontId="0" fillId="0" borderId="98" xfId="0" applyBorder="1" applyAlignment="1">
      <alignment horizontal="left" vertical="center"/>
    </xf>
    <xf numFmtId="0" fontId="0" fillId="0" borderId="93" xfId="0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18" fillId="34" borderId="12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50" xfId="0" applyBorder="1"/>
    <xf numFmtId="0" fontId="16" fillId="0" borderId="32" xfId="0" applyFont="1" applyBorder="1" applyAlignment="1">
      <alignment vertical="center"/>
    </xf>
    <xf numFmtId="0" fontId="16" fillId="0" borderId="39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7" fillId="33" borderId="54" xfId="42" applyBorder="1" applyAlignment="1">
      <alignment horizontal="center" vertical="center" wrapText="1"/>
    </xf>
    <xf numFmtId="0" fontId="16" fillId="35" borderId="26" xfId="0" applyFont="1" applyFill="1" applyBorder="1" applyAlignment="1">
      <alignment horizontal="left" vertical="center"/>
    </xf>
    <xf numFmtId="0" fontId="16" fillId="35" borderId="37" xfId="0" applyFont="1" applyFill="1" applyBorder="1" applyAlignment="1">
      <alignment horizontal="left" vertical="center"/>
    </xf>
    <xf numFmtId="0" fontId="16" fillId="35" borderId="27" xfId="0" applyFont="1" applyFill="1" applyBorder="1" applyAlignment="1">
      <alignment horizontal="left" vertical="center"/>
    </xf>
    <xf numFmtId="0" fontId="0" fillId="33" borderId="110" xfId="0" applyFill="1" applyBorder="1" applyAlignment="1">
      <alignment horizontal="center"/>
    </xf>
    <xf numFmtId="0" fontId="20" fillId="33" borderId="111" xfId="0" applyFont="1" applyFill="1" applyBorder="1" applyAlignment="1">
      <alignment horizontal="center" vertical="center" wrapText="1"/>
    </xf>
    <xf numFmtId="0" fontId="18" fillId="33" borderId="109" xfId="0" applyFont="1" applyFill="1" applyBorder="1" applyAlignment="1">
      <alignment horizontal="center" vertical="center" wrapText="1"/>
    </xf>
    <xf numFmtId="0" fontId="0" fillId="33" borderId="112" xfId="0" applyFill="1" applyBorder="1" applyAlignment="1">
      <alignment horizontal="center"/>
    </xf>
    <xf numFmtId="0" fontId="0" fillId="33" borderId="109" xfId="0" applyFill="1" applyBorder="1"/>
    <xf numFmtId="0" fontId="0" fillId="33" borderId="41" xfId="0" applyFill="1" applyBorder="1" applyAlignment="1">
      <alignment horizontal="center"/>
    </xf>
    <xf numFmtId="0" fontId="0" fillId="33" borderId="42" xfId="0" applyFill="1" applyBorder="1" applyAlignment="1">
      <alignment horizontal="center"/>
    </xf>
    <xf numFmtId="0" fontId="18" fillId="33" borderId="63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0" borderId="22" xfId="0" applyFont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 wrapText="1"/>
    </xf>
    <xf numFmtId="0" fontId="17" fillId="13" borderId="113" xfId="22" applyBorder="1" applyAlignment="1">
      <alignment horizontal="center" vertical="center" wrapText="1"/>
    </xf>
    <xf numFmtId="0" fontId="17" fillId="13" borderId="114" xfId="22" applyBorder="1" applyAlignment="1">
      <alignment horizontal="center" vertical="center" wrapText="1"/>
    </xf>
    <xf numFmtId="0" fontId="17" fillId="13" borderId="115" xfId="22" applyBorder="1" applyAlignment="1">
      <alignment horizontal="center" vertical="center" wrapText="1"/>
    </xf>
    <xf numFmtId="0" fontId="17" fillId="13" borderId="38" xfId="22" applyBorder="1" applyAlignment="1">
      <alignment horizontal="center" vertical="center" wrapText="1"/>
    </xf>
    <xf numFmtId="0" fontId="17" fillId="13" borderId="116" xfId="22" applyBorder="1" applyAlignment="1">
      <alignment horizontal="center" vertical="center" wrapText="1"/>
    </xf>
    <xf numFmtId="0" fontId="17" fillId="13" borderId="117" xfId="22" applyBorder="1" applyAlignment="1">
      <alignment horizontal="center" vertical="center" wrapText="1"/>
    </xf>
    <xf numFmtId="0" fontId="17" fillId="13" borderId="117" xfId="22" quotePrefix="1" applyBorder="1" applyAlignment="1">
      <alignment horizontal="center" vertical="center" wrapText="1"/>
    </xf>
    <xf numFmtId="0" fontId="17" fillId="17" borderId="59" xfId="26" applyBorder="1" applyAlignment="1">
      <alignment horizontal="center" vertical="center" wrapText="1"/>
    </xf>
    <xf numFmtId="0" fontId="17" fillId="33" borderId="59" xfId="42" applyBorder="1" applyAlignment="1">
      <alignment horizontal="center" vertical="center" wrapText="1"/>
    </xf>
    <xf numFmtId="0" fontId="17" fillId="33" borderId="22" xfId="42" applyBorder="1" applyAlignment="1">
      <alignment horizontal="center" vertical="center" wrapText="1"/>
    </xf>
    <xf numFmtId="0" fontId="17" fillId="33" borderId="28" xfId="42" applyBorder="1" applyAlignment="1">
      <alignment horizontal="center" vertical="center" wrapText="1"/>
    </xf>
    <xf numFmtId="0" fontId="17" fillId="33" borderId="38" xfId="42" applyBorder="1" applyAlignment="1">
      <alignment horizontal="center" vertical="center" wrapText="1"/>
    </xf>
    <xf numFmtId="0" fontId="17" fillId="33" borderId="26" xfId="42" applyBorder="1" applyAlignment="1">
      <alignment horizontal="center" vertical="center" wrapText="1"/>
    </xf>
    <xf numFmtId="0" fontId="17" fillId="33" borderId="37" xfId="42" applyBorder="1" applyAlignment="1">
      <alignment horizontal="center" vertical="center" wrapText="1"/>
    </xf>
    <xf numFmtId="0" fontId="17" fillId="33" borderId="27" xfId="42" applyBorder="1" applyAlignment="1">
      <alignment horizontal="center" vertical="center" wrapText="1"/>
    </xf>
    <xf numFmtId="0" fontId="17" fillId="33" borderId="118" xfId="42" applyBorder="1" applyAlignment="1">
      <alignment horizontal="center" vertical="center" wrapText="1"/>
    </xf>
    <xf numFmtId="0" fontId="17" fillId="9" borderId="35" xfId="18" applyBorder="1" applyAlignment="1">
      <alignment horizontal="center" vertical="center" wrapText="1"/>
    </xf>
    <xf numFmtId="0" fontId="0" fillId="0" borderId="119" xfId="0" applyBorder="1" applyAlignment="1">
      <alignment horizontal="center"/>
    </xf>
    <xf numFmtId="0" fontId="20" fillId="33" borderId="120" xfId="0" applyFont="1" applyFill="1" applyBorder="1" applyAlignment="1">
      <alignment horizontal="center" vertical="center" wrapText="1"/>
    </xf>
    <xf numFmtId="0" fontId="18" fillId="33" borderId="121" xfId="0" applyFont="1" applyFill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0" fillId="0" borderId="55" xfId="0" applyBorder="1" applyAlignment="1">
      <alignment horizontal="center"/>
    </xf>
    <xf numFmtId="0" fontId="0" fillId="0" borderId="56" xfId="0" applyBorder="1"/>
    <xf numFmtId="0" fontId="0" fillId="0" borderId="22" xfId="0" applyBorder="1" applyAlignment="1">
      <alignment horizontal="center" vertical="center" wrapText="1"/>
    </xf>
    <xf numFmtId="0" fontId="0" fillId="36" borderId="22" xfId="0" applyFill="1" applyBorder="1" applyAlignment="1">
      <alignment wrapText="1"/>
    </xf>
    <xf numFmtId="0" fontId="0" fillId="36" borderId="22" xfId="0" applyFill="1" applyBorder="1" applyAlignment="1">
      <alignment horizontal="center" vertical="center" wrapText="1"/>
    </xf>
    <xf numFmtId="0" fontId="18" fillId="36" borderId="22" xfId="0" applyFont="1" applyFill="1" applyBorder="1" applyAlignment="1">
      <alignment horizontal="center" vertical="center"/>
    </xf>
    <xf numFmtId="0" fontId="0" fillId="36" borderId="0" xfId="0" applyFill="1" applyAlignment="1">
      <alignment horizontal="center" vertical="center" wrapText="1"/>
    </xf>
    <xf numFmtId="0" fontId="0" fillId="36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17" fillId="17" borderId="122" xfId="26" applyBorder="1" applyAlignment="1">
      <alignment horizontal="center" vertical="center" wrapText="1"/>
    </xf>
    <xf numFmtId="0" fontId="18" fillId="0" borderId="82" xfId="0" quotePrefix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124" xfId="0" applyBorder="1" applyAlignment="1">
      <alignment horizontal="left"/>
    </xf>
    <xf numFmtId="0" fontId="0" fillId="0" borderId="57" xfId="0" applyBorder="1"/>
    <xf numFmtId="0" fontId="0" fillId="0" borderId="28" xfId="0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33" borderId="34" xfId="42" applyBorder="1" applyAlignment="1">
      <alignment horizontal="center" vertical="center" wrapText="1"/>
    </xf>
    <xf numFmtId="0" fontId="18" fillId="0" borderId="28" xfId="0" applyFont="1" applyBorder="1" applyAlignment="1">
      <alignment vertical="center"/>
    </xf>
    <xf numFmtId="0" fontId="0" fillId="0" borderId="29" xfId="0" applyBorder="1"/>
    <xf numFmtId="0" fontId="0" fillId="0" borderId="5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24" fillId="0" borderId="106" xfId="0" applyFont="1" applyBorder="1" applyAlignment="1">
      <alignment horizontal="center" vertical="center" wrapText="1"/>
    </xf>
    <xf numFmtId="0" fontId="18" fillId="0" borderId="28" xfId="0" quotePrefix="1" applyFont="1" applyBorder="1" applyAlignment="1">
      <alignment horizontal="left" vertical="center"/>
    </xf>
    <xf numFmtId="0" fontId="0" fillId="0" borderId="29" xfId="0" quotePrefix="1" applyBorder="1" applyAlignment="1">
      <alignment horizontal="left"/>
    </xf>
    <xf numFmtId="0" fontId="0" fillId="0" borderId="60" xfId="0" applyBorder="1"/>
    <xf numFmtId="0" fontId="0" fillId="0" borderId="2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0" fillId="33" borderId="61" xfId="0" applyFill="1" applyBorder="1" applyAlignment="1">
      <alignment horizontal="center" wrapText="1"/>
    </xf>
    <xf numFmtId="0" fontId="18" fillId="0" borderId="60" xfId="0" quotePrefix="1" applyFont="1" applyBorder="1" applyAlignment="1">
      <alignment horizontal="left" vertical="center"/>
    </xf>
    <xf numFmtId="0" fontId="18" fillId="0" borderId="47" xfId="0" quotePrefix="1" applyFont="1" applyBorder="1" applyAlignment="1">
      <alignment horizontal="left" vertical="center"/>
    </xf>
    <xf numFmtId="0" fontId="18" fillId="0" borderId="47" xfId="0" applyFont="1" applyBorder="1" applyAlignment="1">
      <alignment vertical="center"/>
    </xf>
    <xf numFmtId="0" fontId="0" fillId="0" borderId="97" xfId="0" applyBorder="1"/>
    <xf numFmtId="0" fontId="18" fillId="0" borderId="51" xfId="0" quotePrefix="1" applyFont="1" applyBorder="1" applyAlignment="1">
      <alignment horizontal="left" vertical="center" wrapText="1"/>
    </xf>
    <xf numFmtId="0" fontId="18" fillId="0" borderId="93" xfId="0" applyFont="1" applyBorder="1" applyAlignment="1">
      <alignment vertical="center" wrapText="1"/>
    </xf>
    <xf numFmtId="0" fontId="0" fillId="0" borderId="81" xfId="0" applyBorder="1"/>
    <xf numFmtId="0" fontId="0" fillId="0" borderId="82" xfId="0" applyBorder="1"/>
    <xf numFmtId="0" fontId="18" fillId="0" borderId="118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center" vertical="center" wrapText="1"/>
    </xf>
    <xf numFmtId="0" fontId="17" fillId="17" borderId="129" xfId="26" applyBorder="1" applyAlignment="1">
      <alignment horizontal="center" vertical="center" wrapText="1"/>
    </xf>
    <xf numFmtId="0" fontId="17" fillId="17" borderId="130" xfId="26" applyBorder="1" applyAlignment="1">
      <alignment horizontal="center" vertical="center" wrapText="1"/>
    </xf>
    <xf numFmtId="0" fontId="17" fillId="17" borderId="131" xfId="26" applyBorder="1" applyAlignment="1">
      <alignment horizontal="center" vertical="center" wrapText="1"/>
    </xf>
    <xf numFmtId="0" fontId="17" fillId="17" borderId="98" xfId="26" applyBorder="1" applyAlignment="1">
      <alignment horizontal="center" vertical="center" wrapText="1"/>
    </xf>
    <xf numFmtId="0" fontId="0" fillId="0" borderId="28" xfId="0" quotePrefix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8" xfId="0" applyBorder="1" applyAlignment="1">
      <alignment vertical="center" wrapText="1"/>
    </xf>
    <xf numFmtId="0" fontId="17" fillId="9" borderId="116" xfId="18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47" xfId="0" quotePrefix="1" applyFont="1" applyBorder="1" applyAlignment="1">
      <alignment horizontal="left" vertical="center" wrapText="1"/>
    </xf>
    <xf numFmtId="0" fontId="18" fillId="0" borderId="64" xfId="0" quotePrefix="1" applyFont="1" applyBorder="1" applyAlignment="1">
      <alignment horizontal="left" vertical="center" wrapText="1"/>
    </xf>
    <xf numFmtId="0" fontId="18" fillId="0" borderId="93" xfId="0" quotePrefix="1" applyFont="1" applyBorder="1" applyAlignment="1">
      <alignment horizontal="left" vertical="center" wrapText="1"/>
    </xf>
    <xf numFmtId="0" fontId="0" fillId="33" borderId="135" xfId="0" applyFill="1" applyBorder="1" applyAlignment="1">
      <alignment horizontal="center"/>
    </xf>
    <xf numFmtId="0" fontId="0" fillId="0" borderId="109" xfId="0" applyBorder="1" applyAlignment="1">
      <alignment horizontal="center"/>
    </xf>
    <xf numFmtId="0" fontId="18" fillId="0" borderId="30" xfId="0" applyFont="1" applyBorder="1" applyAlignment="1">
      <alignment vertical="center"/>
    </xf>
    <xf numFmtId="0" fontId="0" fillId="37" borderId="28" xfId="0" applyFill="1" applyBorder="1" applyAlignment="1">
      <alignment vertical="center"/>
    </xf>
    <xf numFmtId="0" fontId="0" fillId="37" borderId="28" xfId="0" quotePrefix="1" applyFill="1" applyBorder="1" applyAlignment="1">
      <alignment horizontal="left" vertical="center"/>
    </xf>
    <xf numFmtId="0" fontId="0" fillId="0" borderId="136" xfId="0" applyBorder="1"/>
    <xf numFmtId="0" fontId="18" fillId="34" borderId="22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 wrapText="1"/>
    </xf>
    <xf numFmtId="0" fontId="0" fillId="39" borderId="22" xfId="0" applyFill="1" applyBorder="1" applyAlignment="1">
      <alignment horizontal="center" vertical="center" wrapText="1"/>
    </xf>
    <xf numFmtId="0" fontId="18" fillId="39" borderId="22" xfId="0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 wrapText="1"/>
    </xf>
    <xf numFmtId="1" fontId="0" fillId="39" borderId="55" xfId="0" applyNumberFormat="1" applyFill="1" applyBorder="1" applyAlignment="1">
      <alignment horizontal="center" vertical="center" wrapText="1"/>
    </xf>
    <xf numFmtId="0" fontId="0" fillId="39" borderId="0" xfId="0" applyFill="1" applyAlignment="1">
      <alignment wrapText="1"/>
    </xf>
    <xf numFmtId="0" fontId="0" fillId="34" borderId="22" xfId="0" applyFill="1" applyBorder="1" applyAlignment="1">
      <alignment horizontal="center" vertical="center" wrapText="1"/>
    </xf>
    <xf numFmtId="1" fontId="0" fillId="34" borderId="55" xfId="0" applyNumberFormat="1" applyFill="1" applyBorder="1" applyAlignment="1">
      <alignment horizontal="center" vertical="center" wrapText="1"/>
    </xf>
    <xf numFmtId="0" fontId="0" fillId="34" borderId="0" xfId="0" applyFill="1" applyAlignment="1">
      <alignment wrapText="1"/>
    </xf>
    <xf numFmtId="0" fontId="10" fillId="6" borderId="137" xfId="10" applyBorder="1" applyAlignment="1">
      <alignment horizontal="center" vertical="center" wrapText="1"/>
    </xf>
    <xf numFmtId="0" fontId="18" fillId="0" borderId="138" xfId="0" applyFont="1" applyBorder="1" applyAlignment="1">
      <alignment horizontal="right" vertical="center" wrapText="1"/>
    </xf>
    <xf numFmtId="0" fontId="18" fillId="0" borderId="139" xfId="0" applyFont="1" applyBorder="1" applyAlignment="1">
      <alignment horizontal="left" vertical="center" wrapText="1"/>
    </xf>
    <xf numFmtId="0" fontId="18" fillId="0" borderId="72" xfId="0" applyFont="1" applyBorder="1" applyAlignment="1">
      <alignment horizontal="right" vertical="center" wrapText="1"/>
    </xf>
    <xf numFmtId="0" fontId="18" fillId="0" borderId="73" xfId="0" applyFont="1" applyBorder="1" applyAlignment="1">
      <alignment horizontal="left" vertical="center" wrapText="1"/>
    </xf>
    <xf numFmtId="0" fontId="18" fillId="0" borderId="74" xfId="0" applyFont="1" applyBorder="1" applyAlignment="1">
      <alignment horizontal="right" vertical="center" wrapText="1"/>
    </xf>
    <xf numFmtId="0" fontId="18" fillId="0" borderId="140" xfId="0" applyFont="1" applyBorder="1" applyAlignment="1">
      <alignment horizontal="left" vertical="center" wrapText="1"/>
    </xf>
    <xf numFmtId="0" fontId="18" fillId="0" borderId="141" xfId="0" applyFont="1" applyBorder="1" applyAlignment="1">
      <alignment horizontal="right" vertical="center" wrapText="1"/>
    </xf>
    <xf numFmtId="0" fontId="18" fillId="0" borderId="142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10" fillId="6" borderId="143" xfId="10" applyBorder="1" applyAlignment="1">
      <alignment horizontal="center" vertical="center" wrapText="1"/>
    </xf>
    <xf numFmtId="0" fontId="19" fillId="0" borderId="144" xfId="0" applyFont="1" applyBorder="1" applyAlignment="1">
      <alignment horizontal="center" vertical="center" wrapText="1"/>
    </xf>
    <xf numFmtId="0" fontId="10" fillId="6" borderId="145" xfId="10" applyBorder="1" applyAlignment="1">
      <alignment horizontal="center" vertical="center" wrapText="1"/>
    </xf>
    <xf numFmtId="0" fontId="10" fillId="6" borderId="148" xfId="10" applyBorder="1" applyAlignment="1">
      <alignment horizontal="center" vertical="center" wrapText="1"/>
    </xf>
    <xf numFmtId="0" fontId="18" fillId="0" borderId="68" xfId="0" applyFont="1" applyBorder="1" applyAlignment="1">
      <alignment horizontal="right" vertical="center" wrapText="1"/>
    </xf>
    <xf numFmtId="0" fontId="18" fillId="0" borderId="149" xfId="0" applyFont="1" applyBorder="1" applyAlignment="1">
      <alignment horizontal="left" vertical="center" wrapText="1"/>
    </xf>
    <xf numFmtId="0" fontId="18" fillId="0" borderId="100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left" vertical="center" wrapText="1"/>
    </xf>
    <xf numFmtId="0" fontId="10" fillId="6" borderId="150" xfId="10" applyBorder="1" applyAlignment="1">
      <alignment horizontal="center" vertical="center" wrapText="1"/>
    </xf>
    <xf numFmtId="0" fontId="10" fillId="6" borderId="151" xfId="10" applyBorder="1" applyAlignment="1">
      <alignment horizontal="center" vertical="center" wrapText="1"/>
    </xf>
    <xf numFmtId="0" fontId="10" fillId="6" borderId="152" xfId="10" applyBorder="1" applyAlignment="1">
      <alignment horizontal="center" vertical="center" wrapText="1"/>
    </xf>
    <xf numFmtId="0" fontId="10" fillId="6" borderId="5" xfId="10" applyAlignment="1">
      <alignment horizontal="center" vertical="center" wrapText="1"/>
    </xf>
    <xf numFmtId="0" fontId="19" fillId="0" borderId="154" xfId="0" applyFont="1" applyBorder="1" applyAlignment="1">
      <alignment horizontal="center" vertical="center" wrapText="1"/>
    </xf>
    <xf numFmtId="0" fontId="18" fillId="0" borderId="157" xfId="0" applyFont="1" applyBorder="1" applyAlignment="1">
      <alignment horizontal="center" vertical="center" wrapText="1"/>
    </xf>
    <xf numFmtId="0" fontId="10" fillId="6" borderId="158" xfId="10" applyBorder="1" applyAlignment="1">
      <alignment horizontal="center" vertical="center" wrapText="1"/>
    </xf>
    <xf numFmtId="0" fontId="16" fillId="0" borderId="39" xfId="0" applyFont="1" applyBorder="1" applyAlignment="1">
      <alignment wrapText="1"/>
    </xf>
    <xf numFmtId="0" fontId="30" fillId="0" borderId="10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10" fillId="6" borderId="39" xfId="10" applyBorder="1" applyAlignment="1">
      <alignment horizontal="center" vertical="center" wrapText="1"/>
    </xf>
    <xf numFmtId="0" fontId="10" fillId="6" borderId="159" xfId="10" applyBorder="1" applyAlignment="1">
      <alignment horizontal="center" vertical="center" wrapText="1"/>
    </xf>
    <xf numFmtId="0" fontId="10" fillId="6" borderId="160" xfId="10" applyBorder="1" applyAlignment="1">
      <alignment horizontal="center" vertical="center" wrapText="1"/>
    </xf>
    <xf numFmtId="0" fontId="10" fillId="6" borderId="161" xfId="10" applyBorder="1" applyAlignment="1">
      <alignment horizontal="center" vertical="center" wrapText="1"/>
    </xf>
    <xf numFmtId="0" fontId="18" fillId="0" borderId="69" xfId="0" applyFont="1" applyBorder="1" applyAlignment="1">
      <alignment horizontal="left" vertical="center" wrapText="1"/>
    </xf>
    <xf numFmtId="0" fontId="18" fillId="0" borderId="125" xfId="0" applyFont="1" applyBorder="1" applyAlignment="1">
      <alignment horizontal="right" vertical="center" wrapText="1"/>
    </xf>
    <xf numFmtId="0" fontId="18" fillId="0" borderId="162" xfId="0" applyFont="1" applyBorder="1" applyAlignment="1">
      <alignment horizontal="right" vertical="center" wrapText="1"/>
    </xf>
    <xf numFmtId="0" fontId="18" fillId="0" borderId="77" xfId="0" applyFont="1" applyBorder="1" applyAlignment="1">
      <alignment horizontal="left" vertical="center" wrapText="1"/>
    </xf>
    <xf numFmtId="0" fontId="0" fillId="0" borderId="30" xfId="0" applyBorder="1" applyAlignment="1">
      <alignment vertical="center"/>
    </xf>
    <xf numFmtId="0" fontId="0" fillId="0" borderId="22" xfId="0" applyBorder="1" applyAlignment="1">
      <alignment horizontal="left" vertical="center" wrapText="1"/>
    </xf>
    <xf numFmtId="0" fontId="0" fillId="36" borderId="22" xfId="0" applyFill="1" applyBorder="1" applyAlignment="1">
      <alignment horizontal="left" vertical="center" wrapText="1"/>
    </xf>
    <xf numFmtId="0" fontId="0" fillId="39" borderId="22" xfId="0" applyFill="1" applyBorder="1" applyAlignment="1">
      <alignment horizontal="left" vertical="center" wrapText="1"/>
    </xf>
    <xf numFmtId="0" fontId="0" fillId="34" borderId="22" xfId="0" applyFill="1" applyBorder="1" applyAlignment="1">
      <alignment horizontal="left" vertical="center" wrapText="1"/>
    </xf>
    <xf numFmtId="0" fontId="0" fillId="0" borderId="28" xfId="0" quotePrefix="1" applyBorder="1" applyAlignment="1">
      <alignment vertical="center"/>
    </xf>
    <xf numFmtId="0" fontId="0" fillId="0" borderId="60" xfId="0" quotePrefix="1" applyBorder="1" applyAlignment="1">
      <alignment vertical="center"/>
    </xf>
    <xf numFmtId="0" fontId="0" fillId="0" borderId="47" xfId="0" quotePrefix="1" applyBorder="1" applyAlignment="1">
      <alignment vertical="center"/>
    </xf>
    <xf numFmtId="0" fontId="28" fillId="38" borderId="132" xfId="0" applyFont="1" applyFill="1" applyBorder="1"/>
    <xf numFmtId="49" fontId="28" fillId="38" borderId="132" xfId="0" applyNumberFormat="1" applyFont="1" applyFill="1" applyBorder="1"/>
    <xf numFmtId="49" fontId="0" fillId="0" borderId="132" xfId="0" applyNumberFormat="1" applyBorder="1"/>
    <xf numFmtId="49" fontId="28" fillId="0" borderId="132" xfId="0" applyNumberFormat="1" applyFont="1" applyBorder="1"/>
    <xf numFmtId="0" fontId="0" fillId="0" borderId="28" xfId="0" quotePrefix="1" applyBorder="1" applyAlignment="1">
      <alignment horizontal="left" vertical="top"/>
    </xf>
    <xf numFmtId="0" fontId="31" fillId="0" borderId="22" xfId="0" applyFont="1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31" fillId="37" borderId="22" xfId="0" applyFont="1" applyFill="1" applyBorder="1" applyAlignment="1">
      <alignment horizontal="left" vertical="top"/>
    </xf>
    <xf numFmtId="49" fontId="0" fillId="0" borderId="132" xfId="0" applyNumberFormat="1" applyBorder="1" applyAlignment="1">
      <alignment horizontal="left" vertical="top"/>
    </xf>
    <xf numFmtId="0" fontId="0" fillId="37" borderId="28" xfId="0" applyFill="1" applyBorder="1" applyAlignment="1">
      <alignment horizontal="left" vertical="top"/>
    </xf>
    <xf numFmtId="0" fontId="18" fillId="0" borderId="163" xfId="0" applyFont="1" applyBorder="1" applyAlignment="1">
      <alignment vertical="center" wrapText="1"/>
    </xf>
    <xf numFmtId="0" fontId="0" fillId="0" borderId="164" xfId="0" applyBorder="1" applyAlignment="1">
      <alignment vertical="center"/>
    </xf>
    <xf numFmtId="0" fontId="0" fillId="0" borderId="165" xfId="0" applyBorder="1"/>
    <xf numFmtId="49" fontId="28" fillId="37" borderId="132" xfId="0" applyNumberFormat="1" applyFont="1" applyFill="1" applyBorder="1"/>
    <xf numFmtId="0" fontId="0" fillId="36" borderId="47" xfId="0" applyFill="1" applyBorder="1" applyAlignment="1">
      <alignment horizontal="center" vertical="center" wrapText="1"/>
    </xf>
    <xf numFmtId="0" fontId="0" fillId="36" borderId="79" xfId="0" applyFill="1" applyBorder="1" applyAlignment="1">
      <alignment horizontal="center" vertical="center" wrapText="1"/>
    </xf>
    <xf numFmtId="0" fontId="0" fillId="39" borderId="47" xfId="0" applyFill="1" applyBorder="1" applyAlignment="1">
      <alignment wrapText="1"/>
    </xf>
    <xf numFmtId="0" fontId="0" fillId="34" borderId="47" xfId="0" applyFill="1" applyBorder="1" applyAlignment="1">
      <alignment horizontal="center" vertical="center" wrapText="1"/>
    </xf>
    <xf numFmtId="0" fontId="0" fillId="0" borderId="47" xfId="0" applyBorder="1" applyAlignment="1">
      <alignment wrapText="1"/>
    </xf>
    <xf numFmtId="0" fontId="0" fillId="36" borderId="93" xfId="0" applyFill="1" applyBorder="1" applyAlignment="1">
      <alignment horizontal="center" vertical="center" wrapText="1"/>
    </xf>
    <xf numFmtId="0" fontId="0" fillId="36" borderId="47" xfId="0" applyFill="1" applyBorder="1" applyAlignment="1">
      <alignment wrapText="1"/>
    </xf>
    <xf numFmtId="0" fontId="0" fillId="34" borderId="47" xfId="0" applyFill="1" applyBorder="1" applyAlignment="1">
      <alignment wrapText="1"/>
    </xf>
    <xf numFmtId="0" fontId="0" fillId="0" borderId="47" xfId="0" applyBorder="1" applyAlignment="1">
      <alignment horizontal="center" vertical="center" wrapText="1"/>
    </xf>
    <xf numFmtId="0" fontId="0" fillId="36" borderId="64" xfId="0" applyFill="1" applyBorder="1" applyAlignment="1">
      <alignment horizontal="center" vertical="center" wrapText="1"/>
    </xf>
    <xf numFmtId="0" fontId="18" fillId="0" borderId="81" xfId="0" applyFont="1" applyBorder="1" applyAlignment="1">
      <alignment horizontal="right" vertical="center"/>
    </xf>
    <xf numFmtId="0" fontId="24" fillId="0" borderId="102" xfId="0" applyFont="1" applyBorder="1" applyAlignment="1">
      <alignment horizontal="center" vertical="center" wrapText="1"/>
    </xf>
    <xf numFmtId="0" fontId="0" fillId="33" borderId="35" xfId="0" applyFill="1" applyBorder="1" applyAlignment="1">
      <alignment horizontal="center"/>
    </xf>
    <xf numFmtId="0" fontId="0" fillId="33" borderId="79" xfId="0" applyFill="1" applyBorder="1" applyAlignment="1">
      <alignment horizontal="center"/>
    </xf>
    <xf numFmtId="0" fontId="0" fillId="33" borderId="142" xfId="0" applyFill="1" applyBorder="1" applyAlignment="1">
      <alignment horizontal="center"/>
    </xf>
    <xf numFmtId="0" fontId="0" fillId="33" borderId="166" xfId="0" applyFill="1" applyBorder="1"/>
    <xf numFmtId="0" fontId="18" fillId="0" borderId="94" xfId="0" applyFont="1" applyBorder="1" applyAlignment="1">
      <alignment horizontal="right" vertical="center" wrapText="1"/>
    </xf>
    <xf numFmtId="0" fontId="18" fillId="34" borderId="46" xfId="0" applyFont="1" applyFill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94" xfId="0" applyFont="1" applyBorder="1" applyAlignment="1">
      <alignment horizontal="right" vertical="center"/>
    </xf>
    <xf numFmtId="0" fontId="18" fillId="0" borderId="46" xfId="0" applyFont="1" applyBorder="1" applyAlignment="1">
      <alignment vertical="center" wrapText="1"/>
    </xf>
    <xf numFmtId="0" fontId="18" fillId="0" borderId="8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0" fillId="33" borderId="167" xfId="0" applyFill="1" applyBorder="1" applyAlignment="1">
      <alignment horizontal="center"/>
    </xf>
    <xf numFmtId="0" fontId="18" fillId="0" borderId="18" xfId="0" applyFont="1" applyBorder="1" applyAlignment="1">
      <alignment horizontal="right" vertical="center" wrapText="1"/>
    </xf>
    <xf numFmtId="0" fontId="18" fillId="0" borderId="19" xfId="0" applyFont="1" applyBorder="1" applyAlignment="1">
      <alignment vertical="center" wrapText="1"/>
    </xf>
    <xf numFmtId="0" fontId="18" fillId="0" borderId="94" xfId="0" applyFont="1" applyBorder="1" applyAlignment="1">
      <alignment vertical="center" wrapText="1"/>
    </xf>
    <xf numFmtId="0" fontId="0" fillId="0" borderId="10" xfId="0" applyBorder="1"/>
    <xf numFmtId="0" fontId="0" fillId="0" borderId="38" xfId="0" applyBorder="1"/>
    <xf numFmtId="0" fontId="0" fillId="0" borderId="141" xfId="0" applyBorder="1"/>
    <xf numFmtId="0" fontId="0" fillId="0" borderId="10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42" borderId="110" xfId="0" applyFill="1" applyBorder="1" applyAlignment="1">
      <alignment horizontal="center"/>
    </xf>
    <xf numFmtId="0" fontId="0" fillId="42" borderId="75" xfId="0" applyFill="1" applyBorder="1" applyAlignment="1">
      <alignment horizontal="center"/>
    </xf>
    <xf numFmtId="0" fontId="0" fillId="41" borderId="110" xfId="0" applyFill="1" applyBorder="1" applyAlignment="1">
      <alignment horizontal="center"/>
    </xf>
    <xf numFmtId="0" fontId="0" fillId="41" borderId="75" xfId="0" applyFill="1" applyBorder="1" applyAlignment="1">
      <alignment horizontal="center"/>
    </xf>
    <xf numFmtId="0" fontId="0" fillId="33" borderId="170" xfId="0" applyFill="1" applyBorder="1" applyAlignment="1">
      <alignment horizontal="center"/>
    </xf>
    <xf numFmtId="0" fontId="18" fillId="0" borderId="168" xfId="0" applyFont="1" applyBorder="1" applyAlignment="1">
      <alignment horizontal="left" vertical="center" wrapText="1"/>
    </xf>
    <xf numFmtId="0" fontId="18" fillId="0" borderId="17" xfId="0" applyFont="1" applyBorder="1" applyAlignment="1">
      <alignment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0" borderId="63" xfId="0" quotePrefix="1" applyFont="1" applyBorder="1" applyAlignment="1">
      <alignment horizontal="center" vertical="center" wrapText="1"/>
    </xf>
    <xf numFmtId="0" fontId="26" fillId="0" borderId="109" xfId="0" quotePrefix="1" applyFont="1" applyBorder="1" applyAlignment="1">
      <alignment horizontal="center" vertical="center" wrapText="1"/>
    </xf>
    <xf numFmtId="0" fontId="26" fillId="0" borderId="133" xfId="0" quotePrefix="1" applyFont="1" applyBorder="1" applyAlignment="1">
      <alignment horizontal="center" vertical="center" wrapText="1"/>
    </xf>
    <xf numFmtId="0" fontId="18" fillId="0" borderId="134" xfId="0" applyFont="1" applyBorder="1" applyAlignment="1">
      <alignment horizontal="center" vertical="center" wrapText="1"/>
    </xf>
    <xf numFmtId="0" fontId="18" fillId="0" borderId="126" xfId="0" applyFont="1" applyBorder="1" applyAlignment="1">
      <alignment horizontal="center" vertical="center" wrapText="1"/>
    </xf>
    <xf numFmtId="0" fontId="18" fillId="0" borderId="94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81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6" fillId="0" borderId="126" xfId="0" quotePrefix="1" applyFont="1" applyBorder="1" applyAlignment="1">
      <alignment horizontal="center" vertical="center" wrapText="1"/>
    </xf>
    <xf numFmtId="0" fontId="26" fillId="0" borderId="46" xfId="0" quotePrefix="1" applyFont="1" applyBorder="1" applyAlignment="1">
      <alignment horizontal="center" vertical="center" wrapText="1"/>
    </xf>
    <xf numFmtId="0" fontId="26" fillId="0" borderId="128" xfId="0" quotePrefix="1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0" fontId="18" fillId="0" borderId="123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27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24" fillId="0" borderId="101" xfId="0" applyFont="1" applyBorder="1" applyAlignment="1">
      <alignment horizontal="center" vertical="center" wrapText="1"/>
    </xf>
    <xf numFmtId="0" fontId="24" fillId="0" borderId="104" xfId="0" applyFont="1" applyBorder="1" applyAlignment="1">
      <alignment horizontal="center" vertical="center" wrapText="1"/>
    </xf>
    <xf numFmtId="0" fontId="24" fillId="0" borderId="103" xfId="0" applyFont="1" applyBorder="1" applyAlignment="1">
      <alignment horizontal="center" vertical="center" wrapText="1"/>
    </xf>
    <xf numFmtId="0" fontId="17" fillId="17" borderId="23" xfId="26" applyBorder="1" applyAlignment="1">
      <alignment horizontal="center"/>
    </xf>
    <xf numFmtId="0" fontId="17" fillId="17" borderId="24" xfId="26" applyBorder="1" applyAlignment="1">
      <alignment horizontal="center"/>
    </xf>
    <xf numFmtId="0" fontId="17" fillId="17" borderId="25" xfId="26" applyBorder="1" applyAlignment="1">
      <alignment horizontal="center"/>
    </xf>
    <xf numFmtId="0" fontId="24" fillId="0" borderId="33" xfId="0" applyFont="1" applyBorder="1" applyAlignment="1">
      <alignment horizontal="center" vertical="center" wrapText="1"/>
    </xf>
    <xf numFmtId="0" fontId="0" fillId="40" borderId="11" xfId="0" applyFill="1" applyBorder="1" applyAlignment="1">
      <alignment horizontal="center"/>
    </xf>
    <xf numFmtId="0" fontId="0" fillId="40" borderId="13" xfId="0" applyFill="1" applyBorder="1" applyAlignment="1">
      <alignment horizontal="center"/>
    </xf>
    <xf numFmtId="0" fontId="17" fillId="29" borderId="23" xfId="38" applyBorder="1" applyAlignment="1">
      <alignment horizontal="center"/>
    </xf>
    <xf numFmtId="0" fontId="17" fillId="29" borderId="24" xfId="38" applyBorder="1" applyAlignment="1">
      <alignment horizontal="center"/>
    </xf>
    <xf numFmtId="0" fontId="17" fillId="29" borderId="25" xfId="38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8" fillId="0" borderId="47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0" borderId="32" xfId="0" quotePrefix="1" applyFont="1" applyBorder="1" applyAlignment="1">
      <alignment horizontal="right" vertical="center" wrapText="1"/>
    </xf>
    <xf numFmtId="0" fontId="20" fillId="0" borderId="39" xfId="0" quotePrefix="1" applyFont="1" applyBorder="1" applyAlignment="1">
      <alignment horizontal="right" vertical="center" wrapText="1"/>
    </xf>
    <xf numFmtId="164" fontId="20" fillId="0" borderId="39" xfId="0" quotePrefix="1" applyNumberFormat="1" applyFont="1" applyBorder="1" applyAlignment="1">
      <alignment horizontal="left" vertical="center"/>
    </xf>
    <xf numFmtId="164" fontId="20" fillId="0" borderId="33" xfId="0" quotePrefix="1" applyNumberFormat="1" applyFont="1" applyBorder="1" applyAlignment="1">
      <alignment horizontal="left" vertical="center"/>
    </xf>
    <xf numFmtId="0" fontId="26" fillId="0" borderId="50" xfId="0" quotePrefix="1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25" borderId="23" xfId="34" applyBorder="1" applyAlignment="1">
      <alignment horizontal="center"/>
    </xf>
    <xf numFmtId="0" fontId="17" fillId="25" borderId="24" xfId="34" applyBorder="1" applyAlignment="1">
      <alignment horizontal="center"/>
    </xf>
    <xf numFmtId="0" fontId="17" fillId="25" borderId="25" xfId="34" applyBorder="1" applyAlignment="1">
      <alignment horizontal="center"/>
    </xf>
    <xf numFmtId="0" fontId="22" fillId="33" borderId="49" xfId="42" applyFont="1" applyBorder="1" applyAlignment="1">
      <alignment horizontal="center" vertical="center" wrapText="1"/>
    </xf>
    <xf numFmtId="0" fontId="22" fillId="33" borderId="39" xfId="42" applyFont="1" applyBorder="1" applyAlignment="1">
      <alignment horizontal="center" vertical="center" wrapText="1"/>
    </xf>
    <xf numFmtId="0" fontId="22" fillId="33" borderId="33" xfId="42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32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29" borderId="110" xfId="38" applyBorder="1" applyAlignment="1">
      <alignment horizontal="center"/>
    </xf>
    <xf numFmtId="0" fontId="17" fillId="29" borderId="75" xfId="38" applyBorder="1" applyAlignment="1">
      <alignment horizontal="center"/>
    </xf>
    <xf numFmtId="0" fontId="24" fillId="0" borderId="169" xfId="0" applyFont="1" applyBorder="1" applyAlignment="1">
      <alignment horizontal="center" vertical="center" wrapText="1"/>
    </xf>
    <xf numFmtId="0" fontId="24" fillId="0" borderId="12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25" borderId="32" xfId="34" applyBorder="1" applyAlignment="1">
      <alignment horizontal="center"/>
    </xf>
    <xf numFmtId="0" fontId="17" fillId="25" borderId="39" xfId="34" applyBorder="1" applyAlignment="1">
      <alignment horizontal="center"/>
    </xf>
    <xf numFmtId="0" fontId="24" fillId="0" borderId="171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66" xfId="0" applyFont="1" applyBorder="1" applyAlignment="1">
      <alignment horizontal="center" vertical="center" wrapText="1"/>
    </xf>
    <xf numFmtId="0" fontId="21" fillId="33" borderId="0" xfId="42" applyFont="1" applyBorder="1" applyAlignment="1">
      <alignment horizontal="center" vertical="center" wrapText="1"/>
    </xf>
    <xf numFmtId="0" fontId="23" fillId="0" borderId="97" xfId="0" applyFont="1" applyBorder="1" applyAlignment="1">
      <alignment horizontal="center" wrapText="1"/>
    </xf>
    <xf numFmtId="0" fontId="21" fillId="33" borderId="0" xfId="42" applyFont="1" applyBorder="1" applyAlignment="1">
      <alignment horizontal="center" vertical="top" wrapText="1"/>
    </xf>
    <xf numFmtId="0" fontId="20" fillId="0" borderId="32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9" fillId="0" borderId="155" xfId="0" applyFont="1" applyBorder="1" applyAlignment="1">
      <alignment horizontal="center" vertical="center" wrapText="1"/>
    </xf>
    <xf numFmtId="0" fontId="29" fillId="0" borderId="153" xfId="0" applyFont="1" applyBorder="1" applyAlignment="1">
      <alignment horizontal="center" vertical="center" wrapText="1"/>
    </xf>
    <xf numFmtId="0" fontId="29" fillId="0" borderId="156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29" fillId="0" borderId="121" xfId="0" applyFont="1" applyBorder="1" applyAlignment="1">
      <alignment horizontal="center" vertical="center" wrapText="1"/>
    </xf>
    <xf numFmtId="0" fontId="29" fillId="0" borderId="154" xfId="0" applyFont="1" applyBorder="1" applyAlignment="1">
      <alignment horizontal="center" vertical="center" wrapText="1"/>
    </xf>
    <xf numFmtId="0" fontId="19" fillId="0" borderId="146" xfId="0" applyFont="1" applyBorder="1" applyAlignment="1">
      <alignment horizontal="center" vertical="center" wrapText="1"/>
    </xf>
    <xf numFmtId="0" fontId="19" fillId="0" borderId="106" xfId="0" applyFont="1" applyBorder="1" applyAlignment="1">
      <alignment horizontal="center" vertical="center" wrapText="1"/>
    </xf>
    <xf numFmtId="0" fontId="10" fillId="6" borderId="48" xfId="10" applyBorder="1" applyAlignment="1">
      <alignment horizontal="center" vertical="center" wrapText="1"/>
    </xf>
    <xf numFmtId="0" fontId="10" fillId="6" borderId="52" xfId="10" applyBorder="1" applyAlignment="1">
      <alignment horizontal="center" vertical="center" wrapText="1"/>
    </xf>
    <xf numFmtId="0" fontId="19" fillId="0" borderId="147" xfId="0" applyFont="1" applyBorder="1" applyAlignment="1">
      <alignment horizontal="center" vertical="center" wrapText="1"/>
    </xf>
    <xf numFmtId="0" fontId="10" fillId="6" borderId="93" xfId="10" applyBorder="1" applyAlignment="1">
      <alignment horizontal="center" vertical="center" wrapText="1"/>
    </xf>
    <xf numFmtId="0" fontId="10" fillId="6" borderId="82" xfId="10" applyBorder="1" applyAlignment="1">
      <alignment horizontal="center" vertical="center" wrapText="1"/>
    </xf>
    <xf numFmtId="0" fontId="10" fillId="6" borderId="51" xfId="10" applyBorder="1" applyAlignment="1">
      <alignment horizontal="center" vertical="center" wrapText="1"/>
    </xf>
    <xf numFmtId="0" fontId="10" fillId="6" borderId="97" xfId="10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21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2" fillId="33" borderId="32" xfId="42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Tough" xfId="42" xr:uid="{00000000-0005-0000-0000-000029000000}"/>
    <cellStyle name="Warning Text" xfId="14" builtinId="11" customBuiltin="1"/>
  </cellStyles>
  <dxfs count="1319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00FF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35817</xdr:colOff>
      <xdr:row>37</xdr:row>
      <xdr:rowOff>61166</xdr:rowOff>
    </xdr:from>
    <xdr:to>
      <xdr:col>6</xdr:col>
      <xdr:colOff>35817</xdr:colOff>
      <xdr:row>50</xdr:row>
      <xdr:rowOff>95346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908200" y="8990854"/>
          <a:ext cx="1220390" cy="28767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DUAL</a:t>
          </a:r>
        </a:p>
      </xdr:txBody>
    </xdr:sp>
    <xdr:clientData/>
  </xdr:twoCellAnchor>
  <xdr:twoCellAnchor>
    <xdr:from>
      <xdr:col>4</xdr:col>
      <xdr:colOff>20934</xdr:colOff>
      <xdr:row>37</xdr:row>
      <xdr:rowOff>31401</xdr:rowOff>
    </xdr:from>
    <xdr:to>
      <xdr:col>6</xdr:col>
      <xdr:colOff>50665</xdr:colOff>
      <xdr:row>50</xdr:row>
      <xdr:rowOff>172260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88567" y="9130816"/>
          <a:ext cx="1245688" cy="31098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DUAL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%20Elizabeth%20ma'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New"/>
    </sheetNames>
    <sheetDataSet>
      <sheetData sheetId="0">
        <row r="4">
          <cell r="A4" t="str">
            <v>(AB)</v>
          </cell>
          <cell r="B4" t="str">
            <v>BT (G)</v>
          </cell>
          <cell r="C4" t="str">
            <v>BT (J)</v>
          </cell>
          <cell r="D4"/>
          <cell r="E4"/>
          <cell r="F4"/>
          <cell r="G4"/>
          <cell r="H4"/>
          <cell r="I4"/>
          <cell r="J4" t="str">
            <v>BT (G)</v>
          </cell>
          <cell r="K4" t="str">
            <v>BT (J)</v>
          </cell>
          <cell r="L4"/>
          <cell r="M4"/>
          <cell r="N4"/>
          <cell r="O4"/>
          <cell r="P4"/>
        </row>
        <row r="5">
          <cell r="A5" t="str">
            <v>(AD)</v>
          </cell>
          <cell r="B5" t="str">
            <v>IT (E)</v>
          </cell>
          <cell r="C5" t="str">
            <v>RM (I)</v>
          </cell>
          <cell r="D5" t="str">
            <v>IT (J)</v>
          </cell>
          <cell r="E5" t="str">
            <v>IT (K)</v>
          </cell>
          <cell r="F5" t="str">
            <v>IT (L)</v>
          </cell>
          <cell r="G5"/>
          <cell r="H5"/>
          <cell r="I5"/>
          <cell r="J5" t="str">
            <v>IT (E)</v>
          </cell>
          <cell r="K5" t="str">
            <v>RM (I)</v>
          </cell>
          <cell r="L5" t="str">
            <v>IT (J)</v>
          </cell>
          <cell r="M5" t="str">
            <v>IT (K)</v>
          </cell>
          <cell r="N5"/>
          <cell r="O5"/>
          <cell r="P5"/>
        </row>
        <row r="6">
          <cell r="A6" t="str">
            <v>(AG)</v>
          </cell>
          <cell r="B6" t="str">
            <v>BM (G)</v>
          </cell>
          <cell r="C6" t="str">
            <v>BM (I)</v>
          </cell>
          <cell r="D6" t="str">
            <v>BM (K)</v>
          </cell>
          <cell r="E6" t="str">
            <v>EVS (C)</v>
          </cell>
          <cell r="F6" t="str">
            <v>EVS (I)</v>
          </cell>
          <cell r="G6" t="str">
            <v>EVS (L)</v>
          </cell>
          <cell r="H6"/>
          <cell r="I6"/>
          <cell r="J6" t="str">
            <v>BM (G)</v>
          </cell>
          <cell r="K6" t="str">
            <v>BM (K)</v>
          </cell>
          <cell r="L6" t="str">
            <v>BM (N)</v>
          </cell>
          <cell r="M6" t="str">
            <v>EVS (C)</v>
          </cell>
          <cell r="N6" t="str">
            <v>EVS (J)</v>
          </cell>
          <cell r="O6" t="str">
            <v>EVS (M)</v>
          </cell>
        </row>
        <row r="7">
          <cell r="A7" t="str">
            <v>(ANU)</v>
          </cell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A8" t="str">
            <v>(AS)</v>
          </cell>
          <cell r="B8" t="str">
            <v>HR (C)</v>
          </cell>
          <cell r="C8" t="str">
            <v>HR (F)</v>
          </cell>
          <cell r="D8" t="str">
            <v>HR (H)</v>
          </cell>
          <cell r="E8" t="str">
            <v>HR (L)</v>
          </cell>
          <cell r="F8" t="str">
            <v>HR (I)</v>
          </cell>
          <cell r="G8" t="str">
            <v>BM (A)</v>
          </cell>
          <cell r="H8"/>
          <cell r="I8"/>
          <cell r="J8" t="str">
            <v>BM (A)</v>
          </cell>
          <cell r="K8" t="str">
            <v>HR (C)</v>
          </cell>
          <cell r="L8" t="str">
            <v>HR (G)</v>
          </cell>
          <cell r="M8" t="str">
            <v>HR (K)</v>
          </cell>
          <cell r="N8" t="str">
            <v>HR (L)</v>
          </cell>
          <cell r="O8" t="str">
            <v>HR (J)</v>
          </cell>
        </row>
        <row r="9">
          <cell r="A9" t="str">
            <v>(AV)</v>
          </cell>
          <cell r="B9" t="str">
            <v>CM (A)</v>
          </cell>
          <cell r="C9" t="str">
            <v>CM (K)</v>
          </cell>
          <cell r="D9" t="str">
            <v>IB (A)</v>
          </cell>
          <cell r="E9" t="str">
            <v>MIP (J)</v>
          </cell>
          <cell r="F9" t="str">
            <v>IB (L)</v>
          </cell>
          <cell r="G9" t="str">
            <v>IB (I)</v>
          </cell>
          <cell r="H9"/>
          <cell r="I9"/>
          <cell r="J9" t="str">
            <v>CM (A)</v>
          </cell>
          <cell r="K9" t="str">
            <v>IB (A)</v>
          </cell>
          <cell r="L9" t="str">
            <v>IB (I)</v>
          </cell>
          <cell r="M9" t="str">
            <v>MIP (J)</v>
          </cell>
          <cell r="N9" t="str">
            <v>CM (K)</v>
          </cell>
          <cell r="O9" t="str">
            <v>IB (L)</v>
          </cell>
          <cell r="P9"/>
        </row>
        <row r="10">
          <cell r="A10" t="str">
            <v>(AW)</v>
          </cell>
          <cell r="B10" t="str">
            <v>BT (A)</v>
          </cell>
          <cell r="C10" t="str">
            <v>BT (C)</v>
          </cell>
          <cell r="D10" t="str">
            <v>BT (H)</v>
          </cell>
          <cell r="E10" t="str">
            <v>BT (I)</v>
          </cell>
          <cell r="F10" t="str">
            <v>ECOM (A)</v>
          </cell>
          <cell r="G10" t="str">
            <v>ECOM (C)</v>
          </cell>
          <cell r="H10" t="str">
            <v>ECOM (K)</v>
          </cell>
          <cell r="I10"/>
          <cell r="J10" t="str">
            <v>BT (A)</v>
          </cell>
          <cell r="K10" t="str">
            <v>ECOM (A)</v>
          </cell>
          <cell r="L10" t="str">
            <v>BT (C)</v>
          </cell>
          <cell r="M10" t="str">
            <v>ECOM (C)</v>
          </cell>
          <cell r="N10" t="str">
            <v>BT (H)</v>
          </cell>
          <cell r="O10" t="str">
            <v>ECOM (K)</v>
          </cell>
          <cell r="P10"/>
        </row>
        <row r="11">
          <cell r="A11" t="str">
            <v>(BB)</v>
          </cell>
          <cell r="B11" t="str">
            <v>QT (G)</v>
          </cell>
          <cell r="C11" t="str">
            <v>ECOM (L)</v>
          </cell>
          <cell r="D11" t="str">
            <v>QT (M)</v>
          </cell>
          <cell r="E11" t="str">
            <v>QT (L)</v>
          </cell>
          <cell r="F11" t="str">
            <v>QT (B)</v>
          </cell>
          <cell r="G11" t="str">
            <v>QT (C)</v>
          </cell>
          <cell r="H11"/>
          <cell r="I11"/>
          <cell r="J11" t="str">
            <v>QT (B)</v>
          </cell>
          <cell r="K11" t="str">
            <v>QT (C)</v>
          </cell>
          <cell r="L11" t="str">
            <v>QT (G)</v>
          </cell>
          <cell r="M11" t="str">
            <v>ECOM (L)</v>
          </cell>
          <cell r="N11" t="str">
            <v>QT (L)</v>
          </cell>
          <cell r="O11"/>
          <cell r="P11"/>
        </row>
        <row r="12">
          <cell r="A12" t="str">
            <v>(BD)</v>
          </cell>
          <cell r="B12" t="str">
            <v>QT (J)</v>
          </cell>
          <cell r="C12" t="str">
            <v>QT (K)</v>
          </cell>
          <cell r="D12" t="str">
            <v>HR (B)</v>
          </cell>
          <cell r="E12" t="str">
            <v>HR (N)</v>
          </cell>
          <cell r="F12" t="str">
            <v>HR (K)</v>
          </cell>
          <cell r="G12"/>
          <cell r="H12"/>
          <cell r="I12"/>
          <cell r="J12" t="str">
            <v>HR (N)</v>
          </cell>
          <cell r="K12" t="str">
            <v>QT (J)</v>
          </cell>
          <cell r="L12" t="str">
            <v>QT (K)</v>
          </cell>
          <cell r="M12" t="str">
            <v>HR (B)</v>
          </cell>
          <cell r="N12" t="str">
            <v>HR (F)</v>
          </cell>
          <cell r="P12"/>
        </row>
        <row r="13">
          <cell r="A13" t="str">
            <v>(CG)</v>
          </cell>
          <cell r="B13"/>
          <cell r="C13"/>
          <cell r="D13"/>
          <cell r="E13"/>
          <cell r="F13"/>
          <cell r="G13"/>
          <cell r="H13"/>
          <cell r="I13"/>
          <cell r="J13" t="str">
            <v>GE (E)</v>
          </cell>
          <cell r="K13"/>
          <cell r="L13"/>
          <cell r="M13"/>
          <cell r="N13"/>
          <cell r="O13"/>
          <cell r="P13"/>
        </row>
        <row r="14">
          <cell r="A14" t="str">
            <v>(DT)</v>
          </cell>
          <cell r="B14" t="str">
            <v>ECOM (E)</v>
          </cell>
          <cell r="C14"/>
          <cell r="D14" t="str">
            <v>MIP (G)</v>
          </cell>
          <cell r="E14" t="str">
            <v>ECOM (I)</v>
          </cell>
          <cell r="F14" t="str">
            <v>MIP (K)</v>
          </cell>
          <cell r="G14" t="str">
            <v>EBO (L)</v>
          </cell>
          <cell r="H14"/>
          <cell r="I14"/>
          <cell r="J14" t="str">
            <v>ECOM (E)</v>
          </cell>
          <cell r="K14" t="str">
            <v>MIP (G)</v>
          </cell>
          <cell r="L14" t="str">
            <v>ECOM (I)</v>
          </cell>
          <cell r="M14" t="str">
            <v>BT (K)</v>
          </cell>
          <cell r="N14" t="str">
            <v>MIP (K)</v>
          </cell>
          <cell r="O14" t="str">
            <v>EBO (L)</v>
          </cell>
          <cell r="P14"/>
        </row>
        <row r="15">
          <cell r="A15" t="str">
            <v>(EC)</v>
          </cell>
          <cell r="B15" t="str">
            <v>ED (E)</v>
          </cell>
          <cell r="C15" t="str">
            <v>IB (G)</v>
          </cell>
          <cell r="D15" t="str">
            <v>HRD (L)</v>
          </cell>
          <cell r="E15" t="str">
            <v>IB (E)</v>
          </cell>
          <cell r="F15" t="str">
            <v>IB (J)</v>
          </cell>
          <cell r="G15" t="str">
            <v>IB (K)</v>
          </cell>
          <cell r="H15"/>
          <cell r="I15"/>
          <cell r="J15" t="str">
            <v>ED (E)</v>
          </cell>
          <cell r="K15" t="str">
            <v>IB (E)</v>
          </cell>
          <cell r="L15" t="str">
            <v>IB (G)</v>
          </cell>
          <cell r="M15" t="str">
            <v>IB (J)</v>
          </cell>
          <cell r="N15" t="str">
            <v>IB (K)</v>
          </cell>
          <cell r="O15" t="str">
            <v>HRD (L)</v>
          </cell>
          <cell r="P15"/>
        </row>
        <row r="16">
          <cell r="A16" t="str">
            <v>(HEM)</v>
          </cell>
          <cell r="B16" t="str">
            <v>KAN (L)</v>
          </cell>
          <cell r="C16"/>
          <cell r="D16"/>
          <cell r="E16"/>
          <cell r="F16"/>
          <cell r="G16"/>
          <cell r="H16"/>
          <cell r="I16"/>
          <cell r="J16" t="str">
            <v>KAN (M)</v>
          </cell>
          <cell r="K16"/>
          <cell r="L16"/>
          <cell r="M16"/>
          <cell r="N16"/>
          <cell r="O16"/>
          <cell r="P16"/>
        </row>
        <row r="17">
          <cell r="A17" t="str">
            <v>(HK)</v>
          </cell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A18" t="str">
            <v>(JAY)</v>
          </cell>
          <cell r="B18" t="str">
            <v>BM (C)</v>
          </cell>
          <cell r="C18" t="str">
            <v>BT (D)</v>
          </cell>
          <cell r="D18" t="str">
            <v>BM (D)</v>
          </cell>
          <cell r="E18" t="str">
            <v>BT (E)</v>
          </cell>
          <cell r="F18" t="str">
            <v>BM (H)</v>
          </cell>
          <cell r="G18" t="str">
            <v>BT (L)</v>
          </cell>
          <cell r="H18"/>
          <cell r="I18"/>
          <cell r="J18" t="str">
            <v>BM (C)</v>
          </cell>
          <cell r="K18" t="str">
            <v>BT (D)</v>
          </cell>
          <cell r="L18" t="str">
            <v>BT (E)</v>
          </cell>
          <cell r="M18" t="str">
            <v>BT (F)</v>
          </cell>
          <cell r="N18" t="str">
            <v>BT (I)</v>
          </cell>
          <cell r="O18" t="str">
            <v>BT (N)</v>
          </cell>
          <cell r="P18"/>
        </row>
        <row r="19">
          <cell r="A19" t="str">
            <v>(KM)</v>
          </cell>
          <cell r="B19" t="str">
            <v>MM (A)</v>
          </cell>
          <cell r="C19" t="str">
            <v>MM (M)</v>
          </cell>
          <cell r="D19" t="str">
            <v>IB (B)</v>
          </cell>
          <cell r="E19" t="str">
            <v>CB (G)</v>
          </cell>
          <cell r="F19" t="str">
            <v>CB (I)</v>
          </cell>
          <cell r="G19" t="str">
            <v>CB (J)</v>
          </cell>
          <cell r="H19"/>
          <cell r="I19"/>
          <cell r="J19" t="str">
            <v>MM (A)</v>
          </cell>
          <cell r="K19" t="str">
            <v>IB (B)</v>
          </cell>
          <cell r="L19" t="str">
            <v>CB (G)</v>
          </cell>
          <cell r="M19" t="str">
            <v>CB (I)</v>
          </cell>
          <cell r="N19" t="str">
            <v>CB (J)</v>
          </cell>
          <cell r="O19" t="str">
            <v>MM (N)</v>
          </cell>
          <cell r="P19"/>
        </row>
        <row r="20">
          <cell r="A20" t="str">
            <v>(KR)</v>
          </cell>
          <cell r="B20" t="str">
            <v>CA (H)</v>
          </cell>
          <cell r="C20" t="str">
            <v>MA (A)</v>
          </cell>
          <cell r="D20" t="str">
            <v>MA (E)</v>
          </cell>
          <cell r="E20" t="str">
            <v>MA (H)</v>
          </cell>
          <cell r="F20"/>
          <cell r="G20"/>
          <cell r="H20"/>
          <cell r="I20"/>
          <cell r="J20" t="str">
            <v>MA (A)</v>
          </cell>
          <cell r="K20" t="str">
            <v>MA (E)</v>
          </cell>
          <cell r="L20" t="str">
            <v>CA (G)</v>
          </cell>
          <cell r="M20" t="str">
            <v>MA (H)</v>
          </cell>
          <cell r="N20"/>
          <cell r="O20"/>
          <cell r="P20"/>
        </row>
        <row r="21">
          <cell r="A21" t="str">
            <v>(LK)</v>
          </cell>
          <cell r="B21" t="str">
            <v>RM (G)</v>
          </cell>
          <cell r="C21" t="str">
            <v>MIP (H)</v>
          </cell>
          <cell r="D21" t="str">
            <v>MIP (I)</v>
          </cell>
          <cell r="E21" t="str">
            <v>RM (J)</v>
          </cell>
          <cell r="F21" t="str">
            <v>RM (K)</v>
          </cell>
          <cell r="G21" t="str">
            <v>LE (L)</v>
          </cell>
          <cell r="H21"/>
          <cell r="I21"/>
          <cell r="J21" t="str">
            <v>RM (G)</v>
          </cell>
          <cell r="K21" t="str">
            <v>MIP (H)</v>
          </cell>
          <cell r="L21" t="str">
            <v>MIP (I)</v>
          </cell>
          <cell r="M21" t="str">
            <v>RM (J)</v>
          </cell>
          <cell r="N21" t="str">
            <v>RM (K)</v>
          </cell>
          <cell r="O21" t="str">
            <v>LE (L)</v>
          </cell>
          <cell r="P21"/>
        </row>
        <row r="22">
          <cell r="A22" t="str">
            <v>(LV)</v>
          </cell>
          <cell r="B22" t="str">
            <v>MM (E)</v>
          </cell>
          <cell r="C22" t="str">
            <v>ED (F)</v>
          </cell>
          <cell r="D22" t="str">
            <v>ED (H)</v>
          </cell>
          <cell r="E22" t="str">
            <v>ED (B)</v>
          </cell>
          <cell r="F22" t="str">
            <v>ED (L)</v>
          </cell>
          <cell r="G22" t="str">
            <v>ED (N)</v>
          </cell>
          <cell r="H22"/>
          <cell r="I22"/>
          <cell r="J22" t="str">
            <v>ED (B)</v>
          </cell>
          <cell r="K22" t="str">
            <v>MM (E)</v>
          </cell>
          <cell r="L22" t="str">
            <v>ED (H)</v>
          </cell>
          <cell r="M22" t="str">
            <v>ED (J)</v>
          </cell>
          <cell r="N22" t="str">
            <v>ED (L)</v>
          </cell>
          <cell r="O22" t="str">
            <v>ED (M)</v>
          </cell>
          <cell r="P22"/>
        </row>
        <row r="23">
          <cell r="A23" t="str">
            <v>(MB)</v>
          </cell>
          <cell r="B23" t="str">
            <v>EVS (B)</v>
          </cell>
          <cell r="C23" t="str">
            <v>EVS (F)</v>
          </cell>
          <cell r="D23" t="str">
            <v>EVS (N)</v>
          </cell>
          <cell r="E23" t="str">
            <v>CP (I)</v>
          </cell>
          <cell r="F23" t="str">
            <v>CP (J)</v>
          </cell>
          <cell r="G23" t="str">
            <v>CP (M)</v>
          </cell>
          <cell r="H23"/>
          <cell r="I23"/>
          <cell r="J23" t="str">
            <v>EVS (B)</v>
          </cell>
          <cell r="K23" t="str">
            <v>EVS (N)</v>
          </cell>
          <cell r="L23" t="str">
            <v>EVS (G)</v>
          </cell>
          <cell r="M23" t="str">
            <v>CP (H)</v>
          </cell>
          <cell r="N23" t="str">
            <v>EVS (D)</v>
          </cell>
          <cell r="O23" t="str">
            <v>CP (J)</v>
          </cell>
          <cell r="P23" t="str">
            <v>CP (L)</v>
          </cell>
        </row>
        <row r="24">
          <cell r="A24" t="str">
            <v>(MEG)</v>
          </cell>
          <cell r="B24" t="str">
            <v>CA (D)</v>
          </cell>
          <cell r="C24" t="str">
            <v>CA (J)</v>
          </cell>
          <cell r="D24" t="str">
            <v>MA (D)</v>
          </cell>
          <cell r="E24" t="str">
            <v>MA (J)</v>
          </cell>
          <cell r="F24"/>
          <cell r="G24"/>
          <cell r="H24"/>
          <cell r="I24"/>
          <cell r="J24" t="str">
            <v>CA (D)</v>
          </cell>
          <cell r="K24" t="str">
            <v>MA (D)</v>
          </cell>
          <cell r="L24" t="str">
            <v>CA (L)</v>
          </cell>
          <cell r="M24" t="str">
            <v>MA (J)</v>
          </cell>
          <cell r="P24"/>
        </row>
        <row r="25">
          <cell r="A25" t="str">
            <v>(MH)</v>
          </cell>
          <cell r="B25" t="str">
            <v>SP (K)</v>
          </cell>
          <cell r="C25" t="str">
            <v>SP (N)</v>
          </cell>
          <cell r="D25" t="str">
            <v>SP (L)</v>
          </cell>
          <cell r="E25" t="str">
            <v>SP (M)</v>
          </cell>
          <cell r="F25" t="str">
            <v>EVS (D)</v>
          </cell>
          <cell r="G25"/>
          <cell r="H25"/>
          <cell r="I25"/>
          <cell r="J25" t="str">
            <v>SP (H)</v>
          </cell>
          <cell r="K25" t="str">
            <v>SP (F)</v>
          </cell>
          <cell r="L25" t="str">
            <v>SP (L)</v>
          </cell>
          <cell r="M25" t="str">
            <v>SP (N)</v>
          </cell>
          <cell r="N25" t="str">
            <v>SP (M)</v>
          </cell>
          <cell r="O25" t="str">
            <v>EVS (D)</v>
          </cell>
        </row>
        <row r="26">
          <cell r="A26" t="str">
            <v>(MK)</v>
          </cell>
          <cell r="B26" t="str">
            <v>FA (A)</v>
          </cell>
          <cell r="C26" t="str">
            <v>FA (C)</v>
          </cell>
          <cell r="D26" t="str">
            <v>FA (H)</v>
          </cell>
          <cell r="E26" t="str">
            <v>FA (K)</v>
          </cell>
          <cell r="F26"/>
          <cell r="G26"/>
          <cell r="H26"/>
          <cell r="I26"/>
          <cell r="J26" t="str">
            <v>FA (A)</v>
          </cell>
          <cell r="K26" t="str">
            <v>FA (C)</v>
          </cell>
          <cell r="L26" t="str">
            <v>FA (H)</v>
          </cell>
          <cell r="M26" t="str">
            <v>FA (N)</v>
          </cell>
          <cell r="N26"/>
          <cell r="O26"/>
          <cell r="P26"/>
        </row>
        <row r="27">
          <cell r="A27" t="str">
            <v>(MS)</v>
          </cell>
          <cell r="B27" t="str">
            <v>ED (K)</v>
          </cell>
          <cell r="C27"/>
          <cell r="D27" t="str">
            <v>AA (C)</v>
          </cell>
          <cell r="E27" t="str">
            <v>AA (F)</v>
          </cell>
          <cell r="F27" t="str">
            <v>FMS (B)</v>
          </cell>
          <cell r="G27" t="str">
            <v>FMS (E)</v>
          </cell>
          <cell r="H27"/>
          <cell r="I27"/>
          <cell r="J27" t="str">
            <v>FMS (B)</v>
          </cell>
          <cell r="K27" t="str">
            <v>ED (C)</v>
          </cell>
          <cell r="L27" t="str">
            <v>AA (C)</v>
          </cell>
          <cell r="M27" t="str">
            <v>AA (F)</v>
          </cell>
          <cell r="N27" t="str">
            <v>ED (I)</v>
          </cell>
          <cell r="O27" t="str">
            <v>FMS (E)</v>
          </cell>
          <cell r="P27"/>
        </row>
        <row r="28">
          <cell r="A28" t="str">
            <v>(ND)</v>
          </cell>
          <cell r="B28" t="str">
            <v>OP (A)</v>
          </cell>
          <cell r="C28" t="str">
            <v>OP (C)</v>
          </cell>
          <cell r="D28" t="str">
            <v>OP (F)</v>
          </cell>
          <cell r="E28" t="str">
            <v>OP (G)</v>
          </cell>
          <cell r="F28" t="str">
            <v>OP (I)</v>
          </cell>
          <cell r="G28" t="str">
            <v>ES (L)</v>
          </cell>
          <cell r="H28"/>
          <cell r="I28"/>
          <cell r="J28" t="str">
            <v>OP (A)</v>
          </cell>
          <cell r="K28" t="str">
            <v>OP (C)</v>
          </cell>
          <cell r="L28" t="str">
            <v>OP (J)</v>
          </cell>
          <cell r="M28" t="str">
            <v>OP (L)</v>
          </cell>
          <cell r="N28" t="str">
            <v>OP (K)</v>
          </cell>
          <cell r="O28" t="str">
            <v>ES (L)</v>
          </cell>
        </row>
        <row r="29">
          <cell r="A29" t="str">
            <v>(NG)</v>
          </cell>
          <cell r="B29" t="str">
            <v>FMS (C)</v>
          </cell>
          <cell r="C29" t="str">
            <v>FMS (F)</v>
          </cell>
          <cell r="D29" t="str">
            <v>MA (G)</v>
          </cell>
          <cell r="E29" t="str">
            <v>MA (I)</v>
          </cell>
          <cell r="F29" t="str">
            <v>MA (K)</v>
          </cell>
          <cell r="G29"/>
          <cell r="H29"/>
          <cell r="I29"/>
          <cell r="J29" t="str">
            <v>FMS (C)</v>
          </cell>
          <cell r="K29" t="str">
            <v>FMS (F)</v>
          </cell>
          <cell r="L29" t="str">
            <v>MA (G)</v>
          </cell>
          <cell r="M29" t="str">
            <v>MA (I)</v>
          </cell>
          <cell r="N29" t="str">
            <v>MA (K)</v>
          </cell>
          <cell r="O29"/>
          <cell r="P29"/>
        </row>
        <row r="30">
          <cell r="A30" t="str">
            <v>(PM)</v>
          </cell>
          <cell r="B30" t="str">
            <v>QT (F)</v>
          </cell>
          <cell r="C30" t="str">
            <v>QT (I)</v>
          </cell>
          <cell r="D30" t="str">
            <v>QT (M)</v>
          </cell>
          <cell r="E30" t="str">
            <v>QT (E)</v>
          </cell>
          <cell r="F30" t="str">
            <v>MA (F)</v>
          </cell>
          <cell r="G30"/>
          <cell r="H30"/>
          <cell r="I30"/>
          <cell r="J30" t="str">
            <v>QT (E)</v>
          </cell>
          <cell r="K30" t="str">
            <v>QT (F)</v>
          </cell>
          <cell r="L30" t="str">
            <v>MA (F)</v>
          </cell>
          <cell r="M30" t="str">
            <v>QT (I)</v>
          </cell>
          <cell r="N30"/>
          <cell r="O30"/>
          <cell r="P30"/>
        </row>
        <row r="31">
          <cell r="A31" t="str">
            <v>(PR)</v>
          </cell>
          <cell r="B31" t="str">
            <v>GE (B)</v>
          </cell>
          <cell r="C31" t="str">
            <v>AE (C)</v>
          </cell>
          <cell r="D31" t="str">
            <v>AE (D)</v>
          </cell>
          <cell r="E31" t="str">
            <v>GE (F)</v>
          </cell>
          <cell r="F31" t="str">
            <v>GE (L)</v>
          </cell>
          <cell r="G31"/>
          <cell r="H31"/>
          <cell r="I31"/>
          <cell r="J31" t="str">
            <v>GE (B)</v>
          </cell>
          <cell r="K31" t="str">
            <v>AE (C)</v>
          </cell>
          <cell r="L31" t="str">
            <v>AE (D)</v>
          </cell>
          <cell r="M31" t="str">
            <v>GE (F)</v>
          </cell>
          <cell r="N31" t="str">
            <v>GE (L)</v>
          </cell>
          <cell r="O31"/>
          <cell r="P31"/>
        </row>
        <row r="32">
          <cell r="A32" t="str">
            <v>(RG)</v>
          </cell>
          <cell r="B32" t="str">
            <v>CA (A)</v>
          </cell>
          <cell r="C32" t="str">
            <v>MA (C)</v>
          </cell>
          <cell r="D32" t="str">
            <v>MA (L)</v>
          </cell>
          <cell r="E32" t="str">
            <v>MA (H)</v>
          </cell>
          <cell r="F32"/>
          <cell r="G32"/>
          <cell r="H32"/>
          <cell r="I32"/>
          <cell r="J32" t="str">
            <v>CA (A)</v>
          </cell>
          <cell r="K32" t="str">
            <v>MA (C)</v>
          </cell>
          <cell r="L32" t="str">
            <v>MA (L)</v>
          </cell>
          <cell r="M32"/>
          <cell r="N32"/>
          <cell r="O32"/>
          <cell r="P32"/>
        </row>
        <row r="33">
          <cell r="A33" t="str">
            <v>(RP)</v>
          </cell>
          <cell r="B33" t="str">
            <v>SAN (M)</v>
          </cell>
          <cell r="C33" t="str">
            <v>-</v>
          </cell>
          <cell r="D33"/>
          <cell r="E33"/>
          <cell r="F33"/>
          <cell r="G33"/>
          <cell r="H33"/>
          <cell r="I33"/>
          <cell r="J33" t="str">
            <v>SAN (N)</v>
          </cell>
          <cell r="K33"/>
          <cell r="L33"/>
          <cell r="M33"/>
          <cell r="N33"/>
          <cell r="O33"/>
          <cell r="P33"/>
        </row>
        <row r="34">
          <cell r="A34" t="str">
            <v>(RR)</v>
          </cell>
          <cell r="B34"/>
          <cell r="C34"/>
          <cell r="D34"/>
          <cell r="E34"/>
          <cell r="F34"/>
          <cell r="G34"/>
          <cell r="H34"/>
          <cell r="I34"/>
          <cell r="J34" t="str">
            <v>ED (D)</v>
          </cell>
          <cell r="K34" t="str">
            <v>EVS (E)</v>
          </cell>
          <cell r="L34" t="str">
            <v>ED (K)</v>
          </cell>
          <cell r="M34" t="str">
            <v>EVS (F)</v>
          </cell>
          <cell r="N34" t="str">
            <v>ED (G)</v>
          </cell>
          <cell r="O34" t="str">
            <v>EVS (L)</v>
          </cell>
        </row>
        <row r="35">
          <cell r="A35" t="str">
            <v>(RT)</v>
          </cell>
          <cell r="B35" t="str">
            <v>HR (A)</v>
          </cell>
          <cell r="C35" t="str">
            <v>HR (J)</v>
          </cell>
          <cell r="D35" t="str">
            <v>HR (M)</v>
          </cell>
          <cell r="E35" t="str">
            <v>CHRM (L)</v>
          </cell>
          <cell r="F35" t="str">
            <v>HR (I)</v>
          </cell>
          <cell r="G35"/>
          <cell r="H35"/>
          <cell r="I35"/>
          <cell r="J35" t="str">
            <v>HR (A)</v>
          </cell>
          <cell r="K35" t="str">
            <v>HR (H)</v>
          </cell>
          <cell r="L35" t="str">
            <v>CHRM (L)</v>
          </cell>
          <cell r="M35" t="str">
            <v>HR (M)</v>
          </cell>
          <cell r="N35" t="str">
            <v>HR (J)</v>
          </cell>
          <cell r="O35"/>
          <cell r="P35"/>
        </row>
        <row r="36">
          <cell r="A36" t="str">
            <v>(SA)</v>
          </cell>
          <cell r="B36" t="str">
            <v>GE (A)</v>
          </cell>
          <cell r="C36" t="str">
            <v>AE (B)</v>
          </cell>
          <cell r="D36" t="str">
            <v>AE (G)</v>
          </cell>
          <cell r="E36" t="str">
            <v>GE (H)</v>
          </cell>
          <cell r="F36" t="str">
            <v>GE (M)</v>
          </cell>
          <cell r="G36"/>
          <cell r="H36"/>
          <cell r="I36"/>
          <cell r="J36" t="str">
            <v>GE (A)</v>
          </cell>
          <cell r="K36" t="str">
            <v>AE (B)</v>
          </cell>
          <cell r="L36" t="str">
            <v>GE (H)</v>
          </cell>
          <cell r="M36" t="str">
            <v>GE (M)</v>
          </cell>
          <cell r="N36" t="str">
            <v>GE (N)</v>
          </cell>
          <cell r="O36"/>
          <cell r="P36"/>
        </row>
        <row r="37">
          <cell r="A37" t="str">
            <v>(SAK)</v>
          </cell>
          <cell r="B37" t="str">
            <v>CM (B)</v>
          </cell>
          <cell r="C37" t="str">
            <v>MM (D)</v>
          </cell>
          <cell r="D37" t="str">
            <v>CM (E)</v>
          </cell>
          <cell r="E37" t="str">
            <v>CM (G)</v>
          </cell>
          <cell r="F37" t="str">
            <v>MM (H)</v>
          </cell>
          <cell r="G37" t="str">
            <v>MM (I)</v>
          </cell>
          <cell r="H37" t="str">
            <v>CM (L)</v>
          </cell>
          <cell r="I37"/>
          <cell r="J37" t="str">
            <v>CM (B)</v>
          </cell>
          <cell r="K37" t="str">
            <v>MM (D)</v>
          </cell>
          <cell r="L37" t="str">
            <v>CM (E)</v>
          </cell>
          <cell r="M37" t="str">
            <v>MM (K)</v>
          </cell>
          <cell r="N37" t="str">
            <v>CM (F)</v>
          </cell>
          <cell r="O37" t="str">
            <v>MM (I)</v>
          </cell>
          <cell r="P37"/>
        </row>
        <row r="38">
          <cell r="A38" t="str">
            <v>(SB)</v>
          </cell>
          <cell r="B38" t="str">
            <v>OP (B)</v>
          </cell>
          <cell r="C38" t="str">
            <v>MM (C)</v>
          </cell>
          <cell r="D38" t="str">
            <v>OP (H)</v>
          </cell>
          <cell r="E38" t="str">
            <v>OP (J)</v>
          </cell>
          <cell r="F38" t="str">
            <v>MM (K)</v>
          </cell>
          <cell r="G38" t="str">
            <v>MM (L)</v>
          </cell>
          <cell r="H38"/>
          <cell r="I38"/>
          <cell r="J38" t="str">
            <v>OP (B)</v>
          </cell>
          <cell r="K38" t="str">
            <v>MM (C)</v>
          </cell>
          <cell r="L38" t="str">
            <v>MM (F)</v>
          </cell>
          <cell r="M38" t="str">
            <v>OP (G)</v>
          </cell>
          <cell r="N38" t="str">
            <v>OP (I)</v>
          </cell>
          <cell r="O38" t="str">
            <v>MM (M)</v>
          </cell>
        </row>
        <row r="39">
          <cell r="A39" t="str">
            <v>(SC)</v>
          </cell>
          <cell r="B39" t="str">
            <v>AE (A)</v>
          </cell>
          <cell r="C39" t="str">
            <v>GE (D)</v>
          </cell>
          <cell r="D39" t="str">
            <v>GE (E)</v>
          </cell>
          <cell r="E39" t="str">
            <v>AE (F)</v>
          </cell>
          <cell r="F39" t="str">
            <v>GE (J)</v>
          </cell>
          <cell r="G39"/>
          <cell r="H39"/>
          <cell r="I39"/>
          <cell r="J39" t="str">
            <v>AE (A)</v>
          </cell>
          <cell r="K39" t="str">
            <v>GE (D)</v>
          </cell>
          <cell r="L39" t="str">
            <v>AE (E)</v>
          </cell>
          <cell r="M39" t="str">
            <v>AE (F)</v>
          </cell>
          <cell r="N39" t="str">
            <v>GE (G)</v>
          </cell>
          <cell r="O39"/>
          <cell r="P39"/>
        </row>
        <row r="40">
          <cell r="A40" t="str">
            <v>(SE)</v>
          </cell>
          <cell r="B40" t="str">
            <v>BM (B)</v>
          </cell>
          <cell r="C40" t="str">
            <v>BM (E)</v>
          </cell>
          <cell r="D40" t="str">
            <v>BM (F)</v>
          </cell>
          <cell r="E40" t="str">
            <v>BM (J)</v>
          </cell>
          <cell r="F40" t="str">
            <v>BM (L)</v>
          </cell>
          <cell r="G40" t="str">
            <v>BT (M)</v>
          </cell>
          <cell r="H40"/>
          <cell r="I40"/>
          <cell r="J40" t="str">
            <v>BM (B)</v>
          </cell>
          <cell r="K40" t="str">
            <v>BM (E)</v>
          </cell>
          <cell r="L40" t="str">
            <v>BM (F)</v>
          </cell>
          <cell r="M40" t="str">
            <v>BM (J)</v>
          </cell>
          <cell r="N40" t="str">
            <v>BM (L)</v>
          </cell>
          <cell r="O40" t="str">
            <v>BT (M)</v>
          </cell>
          <cell r="P40"/>
        </row>
        <row r="41">
          <cell r="A41" t="str">
            <v>(SN)</v>
          </cell>
          <cell r="B41"/>
          <cell r="C41"/>
          <cell r="D41"/>
          <cell r="E41"/>
          <cell r="F41"/>
          <cell r="G41"/>
          <cell r="H41"/>
          <cell r="I41"/>
          <cell r="J41" t="str">
            <v>GE (C)</v>
          </cell>
          <cell r="K41" t="str">
            <v>AE (G)</v>
          </cell>
          <cell r="L41" t="str">
            <v>AE (H)</v>
          </cell>
          <cell r="M41" t="str">
            <v>GE (I)</v>
          </cell>
          <cell r="N41" t="str">
            <v>GE (J)</v>
          </cell>
          <cell r="O41" t="str">
            <v>GE (K)</v>
          </cell>
          <cell r="P41"/>
        </row>
        <row r="42">
          <cell r="A42" t="str">
            <v>(SP)</v>
          </cell>
          <cell r="B42" t="str">
            <v>CP (G)</v>
          </cell>
          <cell r="C42" t="str">
            <v>CP (H)</v>
          </cell>
          <cell r="D42" t="str">
            <v>CP (L)</v>
          </cell>
          <cell r="E42" t="str">
            <v>PR (F)</v>
          </cell>
          <cell r="F42" t="str">
            <v>PR (K)</v>
          </cell>
          <cell r="G42" t="str">
            <v>PR (L)</v>
          </cell>
          <cell r="H42"/>
          <cell r="I42"/>
          <cell r="J42" t="str">
            <v>PR (F)</v>
          </cell>
          <cell r="K42" t="str">
            <v>CP (G)</v>
          </cell>
          <cell r="L42" t="str">
            <v>CP (L)</v>
          </cell>
          <cell r="M42" t="str">
            <v>PR (K)</v>
          </cell>
          <cell r="N42" t="str">
            <v>CP (I)</v>
          </cell>
          <cell r="O42" t="str">
            <v>PR (L)</v>
          </cell>
          <cell r="P42" t="str">
            <v>CP (N)</v>
          </cell>
        </row>
        <row r="43">
          <cell r="A43" t="str">
            <v>(SR)</v>
          </cell>
          <cell r="B43" t="str">
            <v>ECOM (B)</v>
          </cell>
          <cell r="C43" t="str">
            <v>ECOM (D)</v>
          </cell>
          <cell r="D43" t="str">
            <v>ECOM (G)</v>
          </cell>
          <cell r="E43" t="str">
            <v>ECOM (H)</v>
          </cell>
          <cell r="F43" t="str">
            <v>PR (J)</v>
          </cell>
          <cell r="G43" t="str">
            <v>IHRM (L)</v>
          </cell>
          <cell r="H43"/>
          <cell r="I43"/>
          <cell r="J43" t="str">
            <v>ECOM (B)</v>
          </cell>
          <cell r="K43" t="str">
            <v>ECOM (D)</v>
          </cell>
          <cell r="L43" t="str">
            <v>ECOM (G)</v>
          </cell>
          <cell r="M43" t="str">
            <v>ECOM (H)</v>
          </cell>
          <cell r="N43" t="str">
            <v>PR (J)</v>
          </cell>
          <cell r="O43" t="str">
            <v>IHRM (L)</v>
          </cell>
          <cell r="P43"/>
        </row>
        <row r="44">
          <cell r="A44" t="str">
            <v>(SRN)</v>
          </cell>
          <cell r="B44" t="str">
            <v>IF (B)</v>
          </cell>
          <cell r="C44" t="str">
            <v>IF (E)</v>
          </cell>
          <cell r="D44" t="str">
            <v>IT (A)</v>
          </cell>
          <cell r="E44" t="str">
            <v>IT (D)</v>
          </cell>
          <cell r="F44" t="str">
            <v>IT (H)</v>
          </cell>
          <cell r="G44"/>
          <cell r="H44"/>
          <cell r="I44"/>
          <cell r="J44" t="str">
            <v>IT (A)</v>
          </cell>
          <cell r="K44" t="str">
            <v>IF (B)</v>
          </cell>
          <cell r="L44" t="str">
            <v>IT (D)</v>
          </cell>
          <cell r="M44" t="str">
            <v>IF (E)</v>
          </cell>
          <cell r="N44" t="str">
            <v>IT (H)</v>
          </cell>
          <cell r="O44"/>
          <cell r="P44"/>
        </row>
        <row r="45">
          <cell r="A45" t="str">
            <v>(SRS)</v>
          </cell>
          <cell r="B45" t="str">
            <v>MM (B)</v>
          </cell>
          <cell r="C45" t="str">
            <v>MM (G)</v>
          </cell>
          <cell r="D45" t="str">
            <v>MM (J)</v>
          </cell>
          <cell r="E45" t="str">
            <v>CB (H)</v>
          </cell>
          <cell r="F45" t="str">
            <v>CB (K)</v>
          </cell>
          <cell r="G45"/>
          <cell r="H45"/>
          <cell r="I45"/>
          <cell r="J45" t="str">
            <v>MM (B)</v>
          </cell>
          <cell r="K45" t="str">
            <v>MM (H)</v>
          </cell>
          <cell r="L45" t="str">
            <v>CB (H)</v>
          </cell>
          <cell r="M45" t="str">
            <v>MM (J)</v>
          </cell>
          <cell r="N45" t="str">
            <v>CB (K)</v>
          </cell>
          <cell r="O45" t="str">
            <v>MM (L)</v>
          </cell>
          <cell r="P45"/>
        </row>
        <row r="46">
          <cell r="A46" t="str">
            <v>(SUH)</v>
          </cell>
          <cell r="B46" t="str">
            <v>EVS (A)</v>
          </cell>
          <cell r="C46" t="str">
            <v>CM (C)</v>
          </cell>
          <cell r="D46" t="str">
            <v>HR (D)</v>
          </cell>
          <cell r="E46" t="str">
            <v>CM (F)</v>
          </cell>
          <cell r="F46" t="str">
            <v>HR (E)</v>
          </cell>
          <cell r="G46" t="str">
            <v>HR (G)</v>
          </cell>
          <cell r="H46"/>
          <cell r="I46"/>
          <cell r="J46" t="str">
            <v>EVS (A)</v>
          </cell>
          <cell r="K46" t="str">
            <v>CM (C)</v>
          </cell>
          <cell r="L46" t="str">
            <v>HR (D)</v>
          </cell>
          <cell r="M46" t="str">
            <v>HR (E)</v>
          </cell>
          <cell r="N46"/>
          <cell r="O46"/>
          <cell r="P46"/>
        </row>
        <row r="47">
          <cell r="A47" t="str">
            <v>(SUN)</v>
          </cell>
          <cell r="B47" t="str">
            <v>FMS (A)</v>
          </cell>
          <cell r="C47" t="str">
            <v>IB (C)</v>
          </cell>
          <cell r="D47" t="str">
            <v>FMS(D)</v>
          </cell>
          <cell r="E47" t="str">
            <v>IB (H)</v>
          </cell>
          <cell r="F47" t="str">
            <v>FMS (E)</v>
          </cell>
          <cell r="G47"/>
          <cell r="H47"/>
          <cell r="I47"/>
          <cell r="J47" t="str">
            <v>FMS (A)</v>
          </cell>
          <cell r="K47" t="str">
            <v>IB (C)</v>
          </cell>
          <cell r="L47" t="str">
            <v>FMS (D)</v>
          </cell>
          <cell r="M47" t="str">
            <v>IB (H)</v>
          </cell>
          <cell r="N47"/>
          <cell r="O47"/>
          <cell r="P47"/>
        </row>
        <row r="48">
          <cell r="A48" t="str">
            <v>(SUP)</v>
          </cell>
          <cell r="B48" t="str">
            <v>AA (A)</v>
          </cell>
          <cell r="C48" t="str">
            <v>AA (E)</v>
          </cell>
          <cell r="D48" t="str">
            <v>IT (I)</v>
          </cell>
          <cell r="E48" t="str">
            <v>IT (C)</v>
          </cell>
          <cell r="F48" t="str">
            <v>AA (D)</v>
          </cell>
          <cell r="G48"/>
          <cell r="H48"/>
          <cell r="I48"/>
          <cell r="J48" t="str">
            <v>AA (A)</v>
          </cell>
          <cell r="K48" t="str">
            <v>IT (C)</v>
          </cell>
          <cell r="L48" t="str">
            <v>AA (D)</v>
          </cell>
          <cell r="M48" t="str">
            <v>AA (E)</v>
          </cell>
          <cell r="N48" t="str">
            <v>IT (I)</v>
          </cell>
          <cell r="O48"/>
          <cell r="P48"/>
        </row>
        <row r="49">
          <cell r="A49" t="str">
            <v>(SV)</v>
          </cell>
          <cell r="B49" t="str">
            <v>HIN (H)</v>
          </cell>
          <cell r="C49" t="str">
            <v>HIN (I)</v>
          </cell>
          <cell r="D49" t="str">
            <v>HIN (J)</v>
          </cell>
          <cell r="E49" t="str">
            <v>HIN (K)</v>
          </cell>
          <cell r="F49"/>
          <cell r="G49"/>
          <cell r="H49"/>
          <cell r="I49"/>
          <cell r="J49" t="str">
            <v>HIN (I)</v>
          </cell>
          <cell r="K49" t="str">
            <v>HIN (J)</v>
          </cell>
          <cell r="L49" t="str">
            <v>HIN (K)</v>
          </cell>
          <cell r="M49" t="str">
            <v>HIN (L)</v>
          </cell>
          <cell r="N49"/>
          <cell r="O49"/>
          <cell r="P49"/>
        </row>
        <row r="50">
          <cell r="A50" t="str">
            <v>(SW)</v>
          </cell>
          <cell r="B50" t="str">
            <v>CM (D)</v>
          </cell>
          <cell r="C50" t="str">
            <v>CA (E)</v>
          </cell>
          <cell r="D50" t="str">
            <v>CA (G)</v>
          </cell>
          <cell r="E50" t="str">
            <v>CA (I)</v>
          </cell>
          <cell r="F50" t="str">
            <v>CA (L)</v>
          </cell>
          <cell r="G50"/>
          <cell r="H50"/>
          <cell r="I50"/>
          <cell r="J50" t="str">
            <v>CM (D)</v>
          </cell>
          <cell r="K50" t="str">
            <v>CA (E)</v>
          </cell>
          <cell r="L50" t="str">
            <v>CA (H)</v>
          </cell>
          <cell r="M50" t="str">
            <v>CA (J)</v>
          </cell>
          <cell r="N50" t="str">
            <v>CA (M)</v>
          </cell>
          <cell r="O50"/>
          <cell r="P50"/>
        </row>
        <row r="51">
          <cell r="A51" t="str">
            <v>(TK)</v>
          </cell>
          <cell r="B51" t="str">
            <v>CA (B)</v>
          </cell>
          <cell r="C51" t="str">
            <v>CA (F)</v>
          </cell>
          <cell r="D51" t="str">
            <v>MA (B)</v>
          </cell>
          <cell r="E51"/>
          <cell r="F51"/>
          <cell r="G51"/>
          <cell r="H51"/>
          <cell r="I51"/>
          <cell r="J51" t="str">
            <v>CA (B)</v>
          </cell>
          <cell r="K51" t="str">
            <v>MA (B)</v>
          </cell>
          <cell r="L51" t="str">
            <v>CA (K)</v>
          </cell>
          <cell r="M51" t="str">
            <v>CA (N)</v>
          </cell>
          <cell r="N51"/>
          <cell r="O51"/>
          <cell r="P51"/>
        </row>
        <row r="52">
          <cell r="A52" t="str">
            <v>(UK)</v>
          </cell>
          <cell r="B52" t="str">
            <v>IT (B)</v>
          </cell>
          <cell r="C52" t="str">
            <v>IT (F)</v>
          </cell>
          <cell r="D52" t="str">
            <v>IT (G)</v>
          </cell>
          <cell r="E52" t="str">
            <v>IT (L)</v>
          </cell>
          <cell r="F52"/>
          <cell r="G52"/>
          <cell r="H52"/>
          <cell r="I52"/>
          <cell r="J52" t="str">
            <v>IT (B)</v>
          </cell>
          <cell r="K52" t="str">
            <v>IT (F)</v>
          </cell>
          <cell r="L52" t="str">
            <v>IT (G)</v>
          </cell>
          <cell r="M52" t="str">
            <v>IT (L)</v>
          </cell>
          <cell r="N52"/>
          <cell r="O52"/>
          <cell r="P52"/>
        </row>
        <row r="53">
          <cell r="A53" t="str">
            <v>(VA)</v>
          </cell>
          <cell r="B53" t="str">
            <v>FA (J)</v>
          </cell>
          <cell r="C53" t="str">
            <v>CA (C)</v>
          </cell>
          <cell r="D53" t="str">
            <v>CA (K)</v>
          </cell>
          <cell r="E53" t="str">
            <v>CA (M)</v>
          </cell>
          <cell r="F53" t="str">
            <v>FA (K)</v>
          </cell>
          <cell r="G53"/>
          <cell r="H53"/>
          <cell r="I53"/>
          <cell r="J53" t="str">
            <v>CA (I)</v>
          </cell>
          <cell r="K53" t="str">
            <v>FA (J)</v>
          </cell>
          <cell r="L53" t="str">
            <v>CA (C)</v>
          </cell>
          <cell r="M53" t="str">
            <v>CA (F)</v>
          </cell>
          <cell r="N53" t="str">
            <v>FA (K)</v>
          </cell>
          <cell r="O53"/>
          <cell r="P53"/>
        </row>
        <row r="54">
          <cell r="A54" t="str">
            <v>(VAR)</v>
          </cell>
          <cell r="B54" t="str">
            <v>MM (F)</v>
          </cell>
          <cell r="C54" t="str">
            <v>IF (A)</v>
          </cell>
          <cell r="D54" t="str">
            <v>AA (B)</v>
          </cell>
          <cell r="E54" t="str">
            <v>IF (C)</v>
          </cell>
          <cell r="F54" t="str">
            <v>IF (D)</v>
          </cell>
          <cell r="G54" t="str">
            <v>IF (F)</v>
          </cell>
          <cell r="H54"/>
          <cell r="I54"/>
          <cell r="J54" t="str">
            <v>IF (A)</v>
          </cell>
          <cell r="K54" t="str">
            <v>AA (B)</v>
          </cell>
          <cell r="L54" t="str">
            <v>IF (C)</v>
          </cell>
          <cell r="M54" t="str">
            <v>IF (D)</v>
          </cell>
          <cell r="N54" t="str">
            <v>MM (G)</v>
          </cell>
          <cell r="O54" t="str">
            <v>IF (F)</v>
          </cell>
          <cell r="P54"/>
        </row>
        <row r="55">
          <cell r="A55" t="str">
            <v>(VIN)</v>
          </cell>
          <cell r="B55" t="str">
            <v>FA (B)</v>
          </cell>
          <cell r="C55" t="str">
            <v>FA (G)</v>
          </cell>
          <cell r="D55" t="str">
            <v>FA (I)</v>
          </cell>
          <cell r="E55" t="str">
            <v>FA (L)</v>
          </cell>
          <cell r="F55" t="str">
            <v>FA (M)</v>
          </cell>
          <cell r="G55"/>
          <cell r="H55"/>
          <cell r="I55"/>
          <cell r="J55" t="str">
            <v>FA (B)</v>
          </cell>
          <cell r="K55" t="str">
            <v>FA (G)</v>
          </cell>
          <cell r="L55" t="str">
            <v>FA (I)</v>
          </cell>
          <cell r="M55" t="str">
            <v>FA (M)</v>
          </cell>
          <cell r="N55" t="str">
            <v>FA (L)</v>
          </cell>
          <cell r="O55"/>
          <cell r="P55"/>
        </row>
        <row r="56">
          <cell r="A56" t="str">
            <v>(VRL)</v>
          </cell>
          <cell r="B56" t="str">
            <v>QT (A)</v>
          </cell>
          <cell r="C56" t="str">
            <v>QT (H)</v>
          </cell>
          <cell r="D56" t="str">
            <v>RM (H)</v>
          </cell>
          <cell r="E56" t="str">
            <v>QT (L)</v>
          </cell>
          <cell r="F56"/>
          <cell r="G56"/>
          <cell r="H56"/>
          <cell r="I56"/>
          <cell r="J56" t="str">
            <v>QT (A)</v>
          </cell>
          <cell r="K56" t="str">
            <v>QT (D)</v>
          </cell>
          <cell r="L56" t="str">
            <v>QT (H)</v>
          </cell>
          <cell r="M56" t="str">
            <v>RM (H)</v>
          </cell>
          <cell r="N56"/>
          <cell r="O56"/>
          <cell r="P56"/>
        </row>
        <row r="57">
          <cell r="A57" t="str">
            <v>(YL)</v>
          </cell>
          <cell r="B57" t="str">
            <v>BT (B)</v>
          </cell>
          <cell r="C57" t="str">
            <v>ED (A)</v>
          </cell>
          <cell r="D57" t="str">
            <v>ED (G)</v>
          </cell>
          <cell r="E57" t="str">
            <v>ED (M)</v>
          </cell>
          <cell r="F57" t="str">
            <v>IB (D)</v>
          </cell>
          <cell r="G57" t="str">
            <v>IB (F)</v>
          </cell>
          <cell r="H57"/>
          <cell r="I57"/>
          <cell r="J57" t="str">
            <v>ED (A)</v>
          </cell>
          <cell r="K57" t="str">
            <v>BT (B)</v>
          </cell>
          <cell r="L57" t="str">
            <v>IB (D)</v>
          </cell>
          <cell r="M57" t="str">
            <v>IB (F)</v>
          </cell>
          <cell r="N57" t="str">
            <v>ED (F)</v>
          </cell>
          <cell r="O57" t="str">
            <v>ED (N)</v>
          </cell>
          <cell r="P57"/>
        </row>
        <row r="58">
          <cell r="A58" t="str">
            <v>NEW</v>
          </cell>
          <cell r="B58"/>
          <cell r="C58"/>
          <cell r="D58"/>
          <cell r="E58"/>
          <cell r="F58"/>
          <cell r="G58"/>
          <cell r="H58"/>
          <cell r="I58"/>
          <cell r="J58" t="str">
            <v>OP (D)</v>
          </cell>
          <cell r="K58" t="str">
            <v>OP (E)</v>
          </cell>
          <cell r="L58"/>
          <cell r="M58"/>
          <cell r="N58"/>
          <cell r="O58"/>
          <cell r="P58"/>
        </row>
        <row r="59">
          <cell r="A59" t="str">
            <v>NEW1</v>
          </cell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A60" t="str">
            <v>X</v>
          </cell>
          <cell r="B60"/>
          <cell r="C60"/>
          <cell r="D60"/>
          <cell r="E60"/>
          <cell r="F60"/>
          <cell r="G60"/>
          <cell r="H60"/>
          <cell r="I60"/>
          <cell r="J60" t="str">
            <v>BM (D)</v>
          </cell>
          <cell r="K60" t="str">
            <v>FA (D)</v>
          </cell>
          <cell r="L60" t="str">
            <v>FA (E)</v>
          </cell>
          <cell r="M60" t="str">
            <v>FA (F)</v>
          </cell>
          <cell r="N60" t="str">
            <v>BM (H)</v>
          </cell>
          <cell r="O60" t="str">
            <v>BT (L)</v>
          </cell>
          <cell r="P60" t="str">
            <v>BM (M)</v>
          </cell>
          <cell r="Q60" t="str">
            <v>QT (N)</v>
          </cell>
        </row>
        <row r="61">
          <cell r="A61" t="str">
            <v>X/(PM)</v>
          </cell>
          <cell r="B61"/>
          <cell r="C61"/>
          <cell r="D61"/>
          <cell r="E61"/>
          <cell r="F61"/>
          <cell r="G61"/>
          <cell r="H61"/>
          <cell r="I61"/>
          <cell r="J61" t="str">
            <v>QT (M)</v>
          </cell>
          <cell r="K61"/>
          <cell r="L61"/>
          <cell r="M61"/>
          <cell r="N61"/>
          <cell r="O61"/>
          <cell r="P61"/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X3:AN62" totalsRowShown="0" headerRowDxfId="13158" dataDxfId="13156" headerRowBorderDxfId="13157" tableBorderDxfId="13155" headerRowCellStyle="Tough">
  <autoFilter ref="X3:AN62" xr:uid="{00000000-0009-0000-0100-000003000000}"/>
  <tableColumns count="17">
    <tableColumn id="1" xr3:uid="{00000000-0010-0000-0000-000001000000}" name="Teachers" dataDxfId="13154"/>
    <tableColumn id="2" xr3:uid="{00000000-0010-0000-0000-000002000000}" name="1st hour" dataDxfId="13153">
      <calculatedColumnFormula>SUM((COUNTIF($E$5:$F$55,$U4)),IF($T4&lt;&gt;0,(COUNTIF($E$5:$F$55,$T4))),IF($S4&lt;&gt;0,(COUNTIF($E$5:$F$55,$S4))))</calculatedColumnFormula>
    </tableColumn>
    <tableColumn id="3" xr3:uid="{00000000-0010-0000-0000-000003000000}" name="2nd hour" dataDxfId="13152">
      <calculatedColumnFormula>SUM(COUNTIF($G$5:$J$55,$U4),IF($T4&lt;&gt;0,(COUNTIF($G$5:$J$55,$T4))),IF($S4&lt;&gt;0,(COUNTIF($G$5:$J$55,$S4))))</calculatedColumnFormula>
    </tableColumn>
    <tableColumn id="4" xr3:uid="{00000000-0010-0000-0000-000004000000}" name="3rd hour" dataDxfId="13151">
      <calculatedColumnFormula>SUM(COUNTIF($K$5:$L$55,$U4),IF($T4&lt;&gt;0,(COUNTIF($K$5:$L$55,$T4))),IF($S4&lt;&gt;0,(COUNTIF($K$5:$L$55,$S4))))</calculatedColumnFormula>
    </tableColumn>
    <tableColumn id="5" xr3:uid="{00000000-0010-0000-0000-000005000000}" name="4th hour" dataDxfId="13150">
      <calculatedColumnFormula>SUM(COUNTIF($M$5:$N$55,$U4),IF($T4&lt;&gt;0,(COUNTIF($M$5:$N$55,$T4))),IF($S4&lt;&gt;0,(COUNTIF($M$5:$N$55,$S4))))</calculatedColumnFormula>
    </tableColumn>
    <tableColumn id="6" xr3:uid="{00000000-0010-0000-0000-000006000000}" name="1st hour V sem" dataDxfId="13149">
      <calculatedColumnFormula>IF($U4=$F$5,$E$5,IF($U4=$F$6,$E$6,IF($U4=$F$7,$E$7,IF($U4=$F$8,$E$8,IF($U4=$F$9,$E$9,IF($U4=$F$10,$E$10,IF($U4=$F$11,$E$11,IF($U4=$F$12,$E$12,IF($U4=$F$13,$E$13,IF($U4=$F$14,$E$14,IF($U4=$F$15,$E$15,IF($U4=$F$16,$E$16,IF($U4=$F$18,$E$18,"")))))))))))))</calculatedColumnFormula>
    </tableColumn>
    <tableColumn id="7" xr3:uid="{00000000-0010-0000-0000-000007000000}" name="2nd hour V sem" dataDxfId="13148">
      <calculatedColumnFormula>IF($U4=$H$5,$G$5,IF($U4=$H$6,$G$6,IF($U4=$H$7,$G$7,IF($U4=$H$8,$G$8,IF($U4=$H$9,$G$9,IF($U4=$H$10,$G$10,IF($U4=$H$11,$G$11,IF($U4=$H$12,$G$12,IF($U4=$H$13,$G$13,IF($U4=$H$14,$G$14,IF($U4=$H$15,$G$15,IF($U4=$H$16,$G$16,IF($U4=$H$18,$G$18,"")))))))))))))</calculatedColumnFormula>
    </tableColumn>
    <tableColumn id="8" xr3:uid="{00000000-0010-0000-0000-000008000000}" name="3rd hour V sem" dataDxfId="13147">
      <calculatedColumnFormula>IF($U4=$L$5,$K$5,IF($U4=$L$6,$K$6,IF($U4=$L$7,$K$7,IF($U4=$L$8,$K$8,IF($U4=$L$9,$K$9,IF($U4=$L$10,$K$10,IF($U4=$L$11,$K$11,IF($U4=$L$12,$K$12,IF($U4=$L$13,$K$13,IF($U4=$L$14,$K$14,IF($U4=$L$15,$K$15,IF($U4=$L$16,$K$16,IF($U4=$L$18,$K$18,"")))))))))))))</calculatedColumnFormula>
    </tableColumn>
    <tableColumn id="9" xr3:uid="{00000000-0010-0000-0000-000009000000}" name="4th hour V sem" dataDxfId="13146">
      <calculatedColumnFormula>IF($U4=$N$5,$M$5,IF($U4=$N$6,$M$6,IF($U4=$N$7,$M$7,IF($U4=$N$8,$M$8,IF($U4=$N$9,$M$9,IF($U4=$N$10,$M$10,IF($U4=$N$11,$M$11,IF($U4=$N$12,$M$12,IF($U4=$N$13,$M$13,IF($U4=$N$14,$M$14,IF($U4=$N$15,$M$15,IF($U4=$N$16,$M$16,IF($U4=$N$18,$M$18,"")))))))))))))</calculatedColumnFormula>
    </tableColumn>
    <tableColumn id="10" xr3:uid="{00000000-0010-0000-0000-00000A000000}" name="1st hour III Sem" dataDxfId="13145">
      <calculatedColumnFormula>IF($X4=$F$21,$E$21,IF($X4=$F$22,$E$22,IF($X4=$F$23,$E$23,IF($X4=$F$24,$E$24,IF($X4=$F$25,$E$25,IF($X4=$F$26,$E$26,IF($X4=$F$27,$E$27,IF($X4=$F$28,$E$28,IF($X4=$F$29,$E$29,IF($X4=$F$30,$E$30,IF($X4=$D$63,$E$31,IF($X4=$F$32,$E$32,IF($X4=$F$33,$E$33,"")))))))))))))</calculatedColumnFormula>
    </tableColumn>
    <tableColumn id="11" xr3:uid="{00000000-0010-0000-0000-00000B000000}" name="2nd hour III Sem" dataDxfId="13144">
      <calculatedColumnFormula>IF($X4=$H$21,$G$21,IF($X4=$H$22,$G$22,IF($X4=$H$23,$G$23,IF($X4=$H$24,$G$24,IF($X4=$H$25,$G$25,IF($X4=$H$26,$G$26,IF($X4=$H$27,$G$27,IF($X4=$H$28,$G$28,IF($X4=$H$29,$G$29,IF($X4=$H$30,$G$30,IF($X4=$H$31,$G$31,IF($X4=$H$32,$G$32,IF($X4=$H$33,$G$33,"")))))))))))))</calculatedColumnFormula>
    </tableColumn>
    <tableColumn id="12" xr3:uid="{00000000-0010-0000-0000-00000C000000}" name="3rd hour III Sem" dataDxfId="13143">
      <calculatedColumnFormula>IF($X4=$L$21,$K$21,IF($X4=$L$22,$K$22,IF($X4=$L$23,$K$23,IF($X4=$L$24,$K$24,IF($X4=$L$25,$K$25,IF($X4=$L$26,$K$26,IF($X4=$L$27,$K$27,IF($X4=$L$28,$K$28,IF($X4=$L$29,$K$29,IF($X4=$L$30,$K$30,IF($X4=$L$31,$K$31,IF($X4=$L$32,$K$32,IF($X4=$L$33,$K$33,"")))))))))))))</calculatedColumnFormula>
    </tableColumn>
    <tableColumn id="13" xr3:uid="{00000000-0010-0000-0000-00000D000000}" name="4th hour III Sem" dataDxfId="13142">
      <calculatedColumnFormula>IF($X4=$N$21,$M$21,IF($X4=$N$22,$M$22,IF($X4=$N$23,$M$23,IF($X4=$N$24,$M$24,IF($X4=$N$25,$M$25,IF($X4=$N$26,$M$26,IF($X4=$N$27,$M$27,IF($X4=$N$28,$M$28,IF($X4=$N$29,$M$29,IF($X4=$N$30,$M$30,IF($X4=$N$31,$M$31,IF($X4=$N$32,$M$32,IF($X4=$N$33,$M$33,"")))))))))))))</calculatedColumnFormula>
    </tableColumn>
    <tableColumn id="14" xr3:uid="{00000000-0010-0000-0000-00000E000000}" name="1st hour I Sem" dataDxfId="13141">
      <calculatedColumnFormula>CONCATENATE(IF($U4=$F$37,$E$37,IF($U4=$F$38,$E$38,IF($U4=$F$39,$E$39,IF($U4=$F$40,$E$40,IF($U4=$F$41,$E$41,IF($U4=$F$42,$E$42,IF($U4=$F$43,$E$43,IF($U4=$F$44,$E$44,IF($U4=$F$45,$E$45,IF($U4=$F$46,$E$46,IF($U4=$F$47,$E$47,IF($U4=$F$48,$E$48,IF($U4=$F$49,$E$49,"")))))))))))))&amp;" "&amp;IF($U4=$F$37,"(A)",IF($U4=$F$38,"(B)",IF($U4=$F$39,"(C)",IF($U4=$F$40,"(D)",IF($U4=$F$41,"(E)",IF($U4=$F$42,"(F)",IF($U4=$F$43,"(G)",IF($U4=$F$44,"(H)",IF($U4=$F$45,"(I)",IF($U4=$F$46,"(J)",IF($U4=$F$47,"(K)",IF($U4=$F$48,"(L)",IF($U4=$F$49,"(M)",""))))))))))))))</calculatedColumnFormula>
    </tableColumn>
    <tableColumn id="15" xr3:uid="{00000000-0010-0000-0000-00000F000000}" name="2nd hour I Sem" dataDxfId="13140">
      <calculatedColumnFormula>CONCATENATE(IF($U4=$H$37,$G$37,IF($U4=$H$38,$G$38,IF($U4=$H$39,$G$39,IF($U4=$H$40,$G$40,IF($U4=$H$41,$G$41,IF($U4=$H$42,$G$42,IF($U4=$H$43,$G$43,IF($U4=$H$44,$G$44,IF($U4=$H$45,$G$45,IF($U4=$H$46,$G$46,IF($U4=$H$47,$G$47,IF($U4=$H$48,$G$48,IF($U4=$H$49,$G$49,"")))))))))))))&amp;" "&amp;IF($U4=$H$37,"(A)",IF($U4=$H$38,"(B)",IF($U4=$H$39,"(C)",IF($U4=$H$40,"(D)",IF($U4=$H$41,"(E)",IF($U4=$H$42,"(F)",IF($U4=$H$43,"(G)",IF($U4=$H$44,"(H)",IF($U4=$H$45,"(I)",IF($U4=$H$46,"(J)",IF($U4=$H$47,"(K)",IF($U4=$H$48,"(L)",IF($U4=$H$49,"(M)",""))))))))))))))</calculatedColumnFormula>
    </tableColumn>
    <tableColumn id="16" xr3:uid="{00000000-0010-0000-0000-000010000000}" name="3rd hour I Sem" dataDxfId="13139">
      <calculatedColumnFormula>CONCATENATE(IF($U4=$L$37,$K$37,IF($U4=$L$38,$K$38,IF($U4=$L$39,$K$39,IF($U4=$L$40,$K$40,IF($U4=$L$41,$K$41,IF($U4=$L$42,$K$42,IF($U4=$L$43,$K$43,IF($U4=$L$44,$K$44,IF($U4=$L$45,$K$45,IF($U4=$L$46,$K$46,IF($U4=$L$47,$K$47,IF($U4=$L$48,$K$48,IF($U4=$L$49,$K$49,"")))))))))))))&amp;" "&amp;IF($U4=$L$37,"(A)",IF($U4=$L$38,"(B)",IF($U4=$L$39,"(C)",IF($U4=$L$40,"(D)",IF($U4=$L$41,"(E)",IF($U4=$L$42,"(F)",IF($U4=$L$43,"(G)",IF($U4=$L$44,"(H)",IF($U4=$L$45,"(I)",IF($U4=$L$46,"(J)",IF($U4=$L$47,"(K)",IF($U4=$L$48,"(L)",IF($U4=$L$49,"(M)",""))))))))))))))</calculatedColumnFormula>
    </tableColumn>
    <tableColumn id="17" xr3:uid="{00000000-0010-0000-0000-000011000000}" name="4th hour I Sem" dataDxfId="13138">
      <calculatedColumnFormula>CONCATENATE(IF($U4=$N$37,$M$37,IF($U4=$N$38,$M$38,IF($U4=$N$39,$M$39,IF($U4=$N$40,$M$40,IF($U4=$N$41,$M$41,IF($U4=$N$42,$M$42,IF($U4=$N$43,$M$43,IF($U4=$N$44,$M$44,IF($U4=$N$45,$M$45,IF($U4=$N$46,$M$46,IF($U4=$N$47,$M$47,IF($U4=$N$48,$M$48,IF($U4=$N$49,$M$49,"")))))))))))))&amp;" "&amp;IF($U4=$N$37,"(A)",IF($U4=$N$38,"(B)",IF($U4=$N$39,"(C)",IF($U4=$N$40,"(D)",IF($U4=$N$41,"(E)",IF($U4=$N$42,"(F)",IF($U4=$N$43,"(G)",IF($U4=$N$44,"(H)",IF($U4=$N$45,"(I)",IF($U4=$N$46,"(J)",IF($U4=$N$47,"(K)",IF($U4=$N$48,"(L)",IF($U4=$N$49,"(M)",""))))))))))))))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X3:AN59" totalsRowShown="0" headerRowDxfId="13137" dataDxfId="13135" headerRowBorderDxfId="13136" tableBorderDxfId="13134" headerRowCellStyle="Tough">
  <autoFilter ref="X3:AN59" xr:uid="{00000000-0009-0000-0100-000001000000}"/>
  <tableColumns count="17">
    <tableColumn id="1" xr3:uid="{00000000-0010-0000-0100-000001000000}" name="Teachers" dataDxfId="13133"/>
    <tableColumn id="2" xr3:uid="{00000000-0010-0000-0100-000002000000}" name="1st hour" dataDxfId="13132">
      <calculatedColumnFormula>SUM((COUNTIF($E$5:$F$55,$U4)),IF($T4&lt;&gt;0,(COUNTIF($E$5:$F$55,$T4))),IF($S4&lt;&gt;0,(COUNTIF($E$5:$F$55,$S4))))</calculatedColumnFormula>
    </tableColumn>
    <tableColumn id="3" xr3:uid="{00000000-0010-0000-0100-000003000000}" name="2nd hour" dataDxfId="13131">
      <calculatedColumnFormula>SUM(COUNTIF($G$5:$J$55,$U4),IF($T4&lt;&gt;0,(COUNTIF($G$5:$J$55,$T4))),IF($S4&lt;&gt;0,(COUNTIF($G$5:$J$55,$S4))))</calculatedColumnFormula>
    </tableColumn>
    <tableColumn id="4" xr3:uid="{00000000-0010-0000-0100-000004000000}" name="3rd hour" dataDxfId="13130">
      <calculatedColumnFormula>SUM(COUNTIF($K$5:$L$55,$U4),IF($T4&lt;&gt;0,(COUNTIF($K$5:$L$55,$T4))),IF($S4&lt;&gt;0,(COUNTIF($K$5:$L$55,$S4))))</calculatedColumnFormula>
    </tableColumn>
    <tableColumn id="5" xr3:uid="{00000000-0010-0000-0100-000005000000}" name="4th hour" dataDxfId="13129">
      <calculatedColumnFormula>SUM(COUNTIF($M$5:$N$55,$U4),IF($T4&lt;&gt;0,(COUNTIF($M$5:$N$55,$T4))),IF($S4&lt;&gt;0,(COUNTIF($M$5:$N$55,$S4))))</calculatedColumnFormula>
    </tableColumn>
    <tableColumn id="6" xr3:uid="{00000000-0010-0000-0100-000006000000}" name="1st hour V sem" dataDxfId="13128">
      <calculatedColumnFormula>IF($U4=$F$5,$E$5,IF($U4=$F$6,$E$6,IF($U4=$F$7,$E$7,IF($U4=$F$8,$E$8,IF($U4=$F$9,$E$9,IF($U4=$F$10,$E$10,IF($U4=$F$11,$E$11,IF($U4=$F$12,$E$12,IF($U4=$F$13,$E$13,IF($U4=$F$14,$E$14,IF($U4=$F$15,$E$15,IF($U4=$F$16,$E$16,IF($U4=$F$18,$E$18,"")))))))))))))</calculatedColumnFormula>
    </tableColumn>
    <tableColumn id="7" xr3:uid="{00000000-0010-0000-0100-000007000000}" name="2nd hour V sem" dataDxfId="13127">
      <calculatedColumnFormula>IF($U4=$H$5,$G$5,IF($U4=$H$6,$G$6,IF($U4=$H$7,$G$7,IF($U4=$H$8,$G$8,IF($U4=$H$9,$G$9,IF($U4=$H$10,$G$10,IF($U4=$H$11,$G$11,IF($U4=$H$12,$G$12,IF($U4=$H$13,$G$13,IF($U4=$H$14,$G$14,IF($U4=$H$15,$G$15,IF($U4=$H$16,$G$16,IF($U4=$H$18,$G$18,"")))))))))))))</calculatedColumnFormula>
    </tableColumn>
    <tableColumn id="8" xr3:uid="{00000000-0010-0000-0100-000008000000}" name="3rd hour V sem" dataDxfId="13126">
      <calculatedColumnFormula>IF($U4=$L$5,$K$5,IF($U4=$L$6,$K$6,IF($U4=$L$7,$K$7,IF($U4=$L$8,$K$8,IF($U4=$L$9,$K$9,IF($U4=$L$10,$K$10,IF($U4=$L$11,$K$11,IF($U4=$L$12,$K$12,IF($U4=$L$13,$K$13,IF($U4=$L$14,$K$14,IF($U4=$L$15,$K$15,IF($U4=$L$16,$K$16,IF($U4=$L$18,$K$18,"")))))))))))))</calculatedColumnFormula>
    </tableColumn>
    <tableColumn id="9" xr3:uid="{00000000-0010-0000-0100-000009000000}" name="4th hour V sem" dataDxfId="13125">
      <calculatedColumnFormula>IF($U4=$N$5,$M$5,IF($U4=$N$6,$M$6,IF($U4=$N$7,$M$7,IF($U4=$N$8,$M$8,IF($U4=$N$9,$M$9,IF($U4=$N$10,$M$10,IF($U4=$N$11,$M$11,IF($U4=$N$12,$M$12,IF($U4=$N$13,$M$13,IF($U4=$N$14,$M$14,IF($U4=$N$15,$M$15,IF($U4=$N$16,$M$16,IF($U4=$N$18,$M$18,"")))))))))))))</calculatedColumnFormula>
    </tableColumn>
    <tableColumn id="10" xr3:uid="{00000000-0010-0000-0100-00000A000000}" name="1st hour III Sem" dataDxfId="13124">
      <calculatedColumnFormula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calculatedColumnFormula>
    </tableColumn>
    <tableColumn id="11" xr3:uid="{00000000-0010-0000-0100-00000B000000}" name="2nd hour III Sem" dataDxfId="13123">
      <calculatedColumnFormula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calculatedColumnFormula>
    </tableColumn>
    <tableColumn id="12" xr3:uid="{00000000-0010-0000-0100-00000C000000}" name="3rd hour III Sem" dataDxfId="13122">
      <calculatedColumnFormula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calculatedColumnFormula>
    </tableColumn>
    <tableColumn id="13" xr3:uid="{00000000-0010-0000-0100-00000D000000}" name="4th hour III Sem" dataDxfId="13121">
      <calculatedColumnFormula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calculatedColumnFormula>
    </tableColumn>
    <tableColumn id="14" xr3:uid="{00000000-0010-0000-0100-00000E000000}" name="1st hour I Sem" dataDxfId="13120">
      <calculatedColumnFormula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calculatedColumnFormula>
    </tableColumn>
    <tableColumn id="15" xr3:uid="{00000000-0010-0000-0100-00000F000000}" name="2nd hour I Sem" dataDxfId="13119">
      <calculatedColumnFormula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calculatedColumnFormula>
    </tableColumn>
    <tableColumn id="16" xr3:uid="{00000000-0010-0000-0100-000010000000}" name="3rd hour I Sem" dataDxfId="13118">
      <calculatedColumnFormula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calculatedColumnFormula>
    </tableColumn>
    <tableColumn id="17" xr3:uid="{00000000-0010-0000-0100-000011000000}" name="4th hour I Sem" dataDxfId="13117">
      <calculatedColumnFormula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23" displayName="Table323" ref="X3:AN59" totalsRowShown="0" headerRowDxfId="13116" dataDxfId="13114" headerRowBorderDxfId="13115" tableBorderDxfId="13113" headerRowCellStyle="Tough">
  <autoFilter ref="X3:AN59" xr:uid="{00000000-0009-0000-0100-000002000000}"/>
  <tableColumns count="17">
    <tableColumn id="1" xr3:uid="{00000000-0010-0000-0200-000001000000}" name="Teachers" dataDxfId="13112"/>
    <tableColumn id="2" xr3:uid="{00000000-0010-0000-0200-000002000000}" name="1st hour" dataDxfId="13111">
      <calculatedColumnFormula>SUM((COUNTIF($E$5:$F$55,$U4)),IF($T4&lt;&gt;0,(COUNTIF($E$5:$F$55,$T4))),IF($S4&lt;&gt;0,(COUNTIF($E$5:$F$55,$S4))))</calculatedColumnFormula>
    </tableColumn>
    <tableColumn id="3" xr3:uid="{00000000-0010-0000-0200-000003000000}" name="2nd hour" dataDxfId="13110">
      <calculatedColumnFormula>SUM(COUNTIF($G$5:$J$55,$U4),IF($T4&lt;&gt;0,(COUNTIF($G$5:$J$55,$T4))),IF($S4&lt;&gt;0,(COUNTIF($G$5:$J$55,$S4))))</calculatedColumnFormula>
    </tableColumn>
    <tableColumn id="4" xr3:uid="{00000000-0010-0000-0200-000004000000}" name="3rd hour" dataDxfId="13109">
      <calculatedColumnFormula>SUM(COUNTIF($K$5:$L$55,$U4),IF($T4&lt;&gt;0,(COUNTIF($K$5:$L$55,$T4))),IF($S4&lt;&gt;0,(COUNTIF($K$5:$L$55,$S4))))</calculatedColumnFormula>
    </tableColumn>
    <tableColumn id="5" xr3:uid="{00000000-0010-0000-0200-000005000000}" name="4th hour" dataDxfId="13108">
      <calculatedColumnFormula>SUM(COUNTIF($M$5:$N$55,$U4),IF($T4&lt;&gt;0,(COUNTIF($M$5:$N$55,$T4))),IF($S4&lt;&gt;0,(COUNTIF($M$5:$N$55,$S4))))</calculatedColumnFormula>
    </tableColumn>
    <tableColumn id="6" xr3:uid="{00000000-0010-0000-0200-000006000000}" name="1st hour V sem" dataDxfId="13107">
      <calculatedColumnFormula>CONCATENATE(IF($U4=$F$5,$E$5,IF($U4=$F$6,$E$6,IF($U4=$F$7,$E$7,IF($U4=$F$8,$E$8,IF($U4=$F$9,$E$9,IF($U4=$F$10,$E$10,IF($U4=$F$11,$E$11,IF($U4=$F$12,$E$12,IF($U4=$F$13,$E$13,IF($U4=$F$14,$E$14,IF($U4=$F$15,$E$15,IF($U4=$F$16,$E$16,"")))))))))))))&amp;" "&amp;IF($U4=$F$5,"(A)",IF($U4=$F$6,"(B)",IF($U4=$F$7,"(C)",IF($U4=$F$8,"(D)",IF($U4=$F$9,"(E)",IF($U4=$F$10,"(F)",IF($U4=$F$11,"(G)",IF($U4=$F$12,"(H)",IF($U4=$F$13,"(I)",IF($U4=$F$14,"(J)",IF($U4=$F$15,"(K)",IF($U4=$F$16,"(L)",""))))))))))))</calculatedColumnFormula>
    </tableColumn>
    <tableColumn id="7" xr3:uid="{00000000-0010-0000-0200-000007000000}" name="2nd hour V sem" dataDxfId="13106">
      <calculatedColumnFormula>CONCATENATE(IF($U4=$H$5,$G$5,IF($U4=$H$6,$G$6,IF($U4=$H$7,$G$7,IF($U4=$H$8,$G$8,IF($U4=$H$9,$G$9,IF($U4=$H$10,$G$10,IF($U4=$H$11,$G$11,IF($U4=$H$12,$G$12,IF($U4=$H$13,$G$13,IF($U4=$H$14,$G$14,IF($U4=$H$15,$G$15,IF($U4=$H$16,$G$16,"")))))))))))))&amp;" "&amp;IF($U4=$H$5,"(A)",IF($U4=$H$6,"(B)",IF($U4=$H$7,"(C)",IF($U4=$H$8,"(D)",IF($U4=$H$9,"(E)",IF($U4=$H$10,"(F)",IF($U4=$H$11,"(G)",IF($U4=$H$12,"(H)",IF($U4=$H$13,"(I)",IF($U4=$H$14,"(J)",IF($U4=$H$15,"(K)",IF($U4=$H$16,"(L)",""))))))))))))</calculatedColumnFormula>
    </tableColumn>
    <tableColumn id="8" xr3:uid="{00000000-0010-0000-0200-000008000000}" name="3rd hour V sem" dataDxfId="13105">
      <calculatedColumnFormula>CONCATENATE(IF($U4=$L$5,$K$5,IF($U4=$L$6,$K$6,IF($U4=$L$7,$K$7,IF($U4=$L$8,$K$8,IF($U4=$L$9,$K$9,IF($U4=$L$10,$K$10,IF($U4=$L$11,$K$11,IF($U4=$L$12,$K$12,IF($U4=$L$13,$K$13,IF($U4=$L$14,$K$14,IF($U4=$L$15,$K$15,IF($U4=$L$16,$K$16,""))))))))))))&amp;" "&amp;IF($U4=$L$5,"(A)",IF($U4=$L$6,"(B)",IF($U4=$L$7,"(C)",IF($U4=$L$8,"(D)",IF($U4=$L$9,"(E)",IF($U4=$L$10,"(F)",IF($U4=$L$11,"(G)",IF($U4=$L$12,"(H)",IF($U4=$L$13,"(I)",IF($U4=$L$14,"(J)",IF($U4=$L$15,"(K)",IF($U4=$L$16,"(L)","")))))))))))))</calculatedColumnFormula>
    </tableColumn>
    <tableColumn id="9" xr3:uid="{00000000-0010-0000-0200-000009000000}" name="4th hour V sem" dataDxfId="13104">
      <calculatedColumnFormula>CONCATENATE(IF($U4=$N$5,$M$5,IF($U4=$N$6,$M$6,IF($U4=$N$7,$M$7,IF($U4=$N$8,$M$8,IF($U4=$N$9,$M$9,IF($U4=$N$10,$M$10,IF($U4=$N$11,$M$11,IF($U4=$N$12,$M$12,IF($U4=$N$13,$M$13,IF($U4=$N$14,$M$14,IF($U4=$N$15,$M$15,IF($U4=$N$16,$M$16,"")))))))))))))&amp;" "&amp;(IF($U4=$N$5,"(A)",IF($U4=$N$6,"(B)",IF($U4=$N$7,"(C)",IF($U4=$N$8,"(D)",IF($U4=$N$9,"(E)",IF($U4=$N$10,"(F)",IF($U4=$N$11,"(G)",IF($U4=$N$12,"(H)",IF($U4=$N$13,"(I)",IF($U4=$N$14,"(J)",IF($U4=$N$15,"(K)",IF($U4=$N$16,"(L)","")))))))))))))</calculatedColumnFormula>
    </tableColumn>
    <tableColumn id="10" xr3:uid="{00000000-0010-0000-0200-00000A000000}" name="1st hour III Sem" dataDxfId="13103">
      <calculatedColumnFormula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calculatedColumnFormula>
    </tableColumn>
    <tableColumn id="11" xr3:uid="{00000000-0010-0000-0200-00000B000000}" name="2nd hour III Sem" dataDxfId="13102">
      <calculatedColumnFormula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calculatedColumnFormula>
    </tableColumn>
    <tableColumn id="12" xr3:uid="{00000000-0010-0000-0200-00000C000000}" name="3rd hour III Sem" dataDxfId="13101">
      <calculatedColumnFormula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calculatedColumnFormula>
    </tableColumn>
    <tableColumn id="13" xr3:uid="{00000000-0010-0000-0200-00000D000000}" name="4th hour III Sem" dataDxfId="13100">
      <calculatedColumnFormula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calculatedColumnFormula>
    </tableColumn>
    <tableColumn id="14" xr3:uid="{00000000-0010-0000-0200-00000E000000}" name="1st hour I Sem" dataDxfId="13099">
      <calculatedColumnFormula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calculatedColumnFormula>
    </tableColumn>
    <tableColumn id="15" xr3:uid="{00000000-0010-0000-0200-00000F000000}" name="2nd hour I Sem" dataDxfId="13098">
      <calculatedColumnFormula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calculatedColumnFormula>
    </tableColumn>
    <tableColumn id="16" xr3:uid="{00000000-0010-0000-0200-000010000000}" name="3rd hour I Sem" dataDxfId="13097">
      <calculatedColumnFormula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calculatedColumnFormula>
    </tableColumn>
    <tableColumn id="17" xr3:uid="{00000000-0010-0000-0200-000011000000}" name="4th hour I Sem" dataDxfId="13096">
      <calculatedColumnFormula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235" displayName="Table3235" ref="X3:AN59" totalsRowCount="1" headerRowDxfId="13196" dataDxfId="13194" headerRowBorderDxfId="13195" tableBorderDxfId="13193" headerRowCellStyle="Tough">
  <autoFilter ref="X3:AN58" xr:uid="{00000000-0009-0000-0100-000004000000}"/>
  <tableColumns count="17">
    <tableColumn id="1" xr3:uid="{00000000-0010-0000-0300-000001000000}" name="Teachers" totalsRowFunction="custom" dataDxfId="13192" totalsRowDxfId="13191">
      <calculatedColumnFormula>Mon!U4</calculatedColumnFormula>
      <totalsRowFormula>Mon!U59</totalsRowFormula>
    </tableColumn>
    <tableColumn id="2" xr3:uid="{00000000-0010-0000-0300-000002000000}" name="1st hour" totalsRowFunction="custom" dataDxfId="13190" totalsRowDxfId="13189">
      <calculatedColumnFormula>SUM((COUNTIF($E$5:$F$55,$U4)),IF($T4&lt;&gt;0,(COUNTIF($E$5:$F$55,$T4))),IF($S4&lt;&gt;0,(COUNTIF($E$5:$F$55,$S4))))</calculatedColumnFormula>
      <totalsRowFormula>SUM((COUNTIF($E$5:$F$55,$U59)),IF($T59&lt;&gt;0,(COUNTIF($E$5:$F$55,$T59))),IF($S59&lt;&gt;0,(COUNTIF($E$5:$F$55,$S59))))</totalsRowFormula>
    </tableColumn>
    <tableColumn id="3" xr3:uid="{00000000-0010-0000-0300-000003000000}" name="2nd hour" totalsRowFunction="custom" dataDxfId="13188" totalsRowDxfId="13187">
      <calculatedColumnFormula>SUM(COUNTIF($G$5:$J$55,$U4),IF($T4&lt;&gt;0,(COUNTIF($G$5:$J$55,$T4))),IF($S4&lt;&gt;0,(COUNTIF($G$5:$J$55,$S4))))</calculatedColumnFormula>
      <totalsRowFormula>SUM(COUNTIF($G$5:$J$55,$U59),IF($T59&lt;&gt;0,(COUNTIF($G$5:$J$55,$T59))),IF($S59&lt;&gt;0,(COUNTIF($G$5:$J$55,$S59))))</totalsRowFormula>
    </tableColumn>
    <tableColumn id="4" xr3:uid="{00000000-0010-0000-0300-000004000000}" name="3rd hour" totalsRowFunction="custom" dataDxfId="13186" totalsRowDxfId="13185">
      <calculatedColumnFormula>SUM(COUNTIF($K$5:$L$55,$U4),IF($T4&lt;&gt;0,(COUNTIF($K$5:$L$55,$T4))),IF($S4&lt;&gt;0,(COUNTIF($K$5:$L$55,$S4))))</calculatedColumnFormula>
      <totalsRowFormula>SUM(COUNTIF($K$5:$L$55,$U59),IF($T59&lt;&gt;0,(COUNTIF($K$5:$L$55,$T59))),IF($S59&lt;&gt;0,(COUNTIF($K$5:$L$55,$S59))))</totalsRowFormula>
    </tableColumn>
    <tableColumn id="5" xr3:uid="{00000000-0010-0000-0300-000005000000}" name="4th hour" totalsRowFunction="custom" dataDxfId="13184" totalsRowDxfId="13183">
      <calculatedColumnFormula>SUM(COUNTIF($M$5:$N$55,$U4),IF($T4&lt;&gt;0,(COUNTIF($M$5:$N$55,$T4))),IF($S4&lt;&gt;0,(COUNTIF($M$5:$N$55,$S4))))</calculatedColumnFormula>
      <totalsRowFormula>SUM(COUNTIF($M$5:$N$55,$U59),IF($T59&lt;&gt;0,(COUNTIF($M$5:$N$55,$T59))),IF($S59&lt;&gt;0,(COUNTIF($M$5:$N$55,$S59))))</totalsRowFormula>
    </tableColumn>
    <tableColumn id="6" xr3:uid="{00000000-0010-0000-0300-000006000000}" name="1st hour V sem" totalsRowFunction="custom" dataDxfId="13182" totalsRowDxfId="13181">
      <calculatedColumnFormula>CONCATENATE(IF($U4=$F$5,$E$5,IF($U4=$F$6,$E$6,IF($U4=$F$7,$E$7,IF($U4=$F$8,$E$8,IF($U4=$F$9,$E$9,IF($U4=$F$10,$E$10,IF($U4=$F$11,$E$11,IF($U4=$F$12,$E$12,IF($U4=$F$13,$E$13,IF($U4=$F$14,$E$14,IF($U4=$F$15,$E$15,IF($U4=$F$16,$E$16,"")))))))))))))&amp;" "&amp;IF($U4=$F$5,"(A)",IF($U4=$F$6,"(B)",IF($U4=$F$7,"(C)",IF($U4=$F$8,"(D)",IF($U4=$F$9,"(E)",IF($U4=$F$10,"(F)",IF($U4=$F$11,"(G)",IF($U4=$F$12,"(H)",IF($U4=$F$13,"(I)",IF($U4=$F$14,"(J)",IF($U4=$F$15,"(K)",IF($U4=$F$16,"(L)",""))))))))))))</calculatedColumnFormula>
      <totalsRowFormula>CONCATENATE(IF($U59=$F$5,$E$5,IF($U59=$F$6,$E$6,IF($U59=$F$7,$E$7,IF($U59=$F$8,$E$8,IF($U59=$F$9,$E$9,IF($U59=$F$10,$E$10,IF($U59=$F$11,$E$11,IF($U59=$F$12,$E$12,IF($U59=$F$13,$E$13,IF($U59=$F$14,$E$14,IF($U59=$F$15,$E$15,IF($U59=$F$16,$E$16,IF($U59=$F$17,$E$17,"")))))))))))))&amp;" "&amp;IF($U59=$F$5,"(A)",IF($U59=$F$6,"(B)",IF($U59=$F$7,"(C)",IF($U59=$F$8,"(D)",IF($U59=$F$9,"(E)",IF($U59=$F$10,"(F)",IF($U59=$F$11,"(G)",IF($U59=$F$12,"(H)",IF($U59=$F$13,"(I)",IF($U59=$F$14,"(J)",IF($U59=$F$15,"(K)",IF($U59=$F$16,"(L)",IF($U59=$F$17,"(L)",""))))))))))))))</totalsRowFormula>
    </tableColumn>
    <tableColumn id="7" xr3:uid="{00000000-0010-0000-0300-000007000000}" name="2nd hour V sem" totalsRowFunction="custom" dataDxfId="13180" totalsRowDxfId="13179">
      <calculatedColumnFormula>CONCATENATE(IF($U4=$H$5,$G$5,IF($U4=$H$6,$G$6,IF($U4=$H$7,$G$7,IF($U4=$H$8,$G$8,IF($U4=$H$9,$G$9,IF($U4=$H$10,$G$10,IF($U4=$H$11,$G$11,IF($U4=$H$12,$G$12,IF($U4=$H$13,$G$13,IF($U4=$H$14,$G$14,IF($U4=$H$15,$G$15,IF($U4=$H$16,$G$16,"")))))))))))))&amp;" "&amp;IF($U4=$H$5,"(A)",IF($U4=$H$6,"(B)",IF($U4=$H$7,"(C)",IF($U4=$H$8,"(D)",IF($U4=$H$9,"(E)",IF($U4=$H$10,"(F)",IF($U4=$H$11,"(G)",IF($U4=$H$12,"(H)",IF($U4=$H$13,"(I)",IF($U4=$H$14,"(J)",IF($U4=$H$15,"(K)",IF($U4=$H$16,"(L)",""))))))))))))</calculatedColumnFormula>
      <totalsRowFormula>CONCATENATE(IF($U59=$H$5,$G$5,IF($U59=$H$6,$G$6,IF($U59=$H$7,$G$7,IF($U59=$H$8,$G$8,IF($U59=$H$9,$G$9,IF($U59=$H$10,$G$10,IF($U59=$H$11,$G$11,IF($U59=$H$12,$G$12,IF($U59=$H$13,$G$13,IF($U59=$H$14,$G$14,IF($U59=$H$15,$G$15,IF($U59=$H$16,$G$16,IF($U59=$H$17,$G$17,"")))))))))))))&amp;" "&amp;IF($U59=$H$5,"(A)",IF($U59=$H$6,"(B)",IF($U59=$H$7,"(C)",IF($U59=$H$8,"(D)",IF($U59=$H$9,"(E)",IF($U59=$H$10,"(F)",IF($U59=$H$11,"(G)",IF($U59=$H$12,"(H)",IF($U59=$H$13,"(I)",IF($U59=$H$14,"(J)",IF($U59=$H$15,"(K)",IF($U59=$H$16,"(L)",IF($U59=$H$17,"(L)",""))))))))))))))</totalsRowFormula>
    </tableColumn>
    <tableColumn id="8" xr3:uid="{00000000-0010-0000-0300-000008000000}" name="3rd hour V sem" totalsRowFunction="custom" dataDxfId="13178" totalsRowDxfId="13177">
      <calculatedColumnFormula>CONCATENATE(IF($U4=$L$5,$K$5,IF($U4=$L$6,$K$6,IF($U4=$L$7,$K$7,IF($U4=$L$8,$K$8,IF($U4=$L$9,$K$9,IF($U4=$L$10,$K$10,IF($U4=$L$11,$K$11,IF($U4=$L$12,$K$12,IF($U4=$L$13,$K$13,IF($U4=$L$14,$K$14,IF($U4=$L$15,$K$15,IF($U4=$L$16,$K$16,""))))))))))))&amp;" "&amp;IF($U4=$L$5,"(A)",IF($U4=$L$6,"(B)",IF($U4=$L$7,"(C)",IF($U4=$L$8,"(D)",IF($U4=$L$9,"(E)",IF($U4=$L$10,"(F)",IF($U4=$L$11,"(G)",IF($U4=$L$12,"(H)",IF($U4=$L$13,"(I)",IF($U4=$L$14,"(J)",IF($U4=$L$15,"(K)",IF($U4=$L$16,"(L)","")))))))))))))</calculatedColumnFormula>
      <totalsRowFormula>CONCATENATE(IF($U59=$L$5,$K$5,IF($U59=$L$6,$K$6,IF($U59=$L$7,$K$7,IF($U59=$L$8,$K$8,IF($U59=$L$9,$K$9,IF($U59=$L$10,$K$10,IF($U59=$L$11,$K$11,IF($U59=$L$12,$K$12,IF($U59=$L$13,$K$13,IF($U59=$L$14,$K$14,IF($U59=$L$15,$K$15,IF($U59=$L$16,$K$16,IF($U59=$L$17,$K$17,"")))))))))))))&amp;" "&amp;IF($U59=$L$5,"(A)",IF($U59=$L$6,"(B)",IF($U59=$L$7,"(C)",IF($U59=$L$8,"(D)",IF($U59=$L$9,"(E)",IF($U59=$L$10,"(F)",IF($U59=$L$11,"(G)",IF($U59=$L$12,"(H)",IF($U59=$L$13,"(I)",IF($U59=$L$14,"(J)",IF($U59=$L$15,"(K)",IF($U59=$L$16,"(L)",IF($U59=$L$17,"(L)",""))))))))))))))</totalsRowFormula>
    </tableColumn>
    <tableColumn id="9" xr3:uid="{00000000-0010-0000-0300-000009000000}" name="4th hour V sem" totalsRowFunction="custom" dataDxfId="13176" totalsRowDxfId="13175">
      <calculatedColumnFormula>CONCATENATE(IF($U4=$N$5,$M$5,IF($U4=$N$6,$M$6,IF($U4=$N$7,$M$7,IF($U4=$N$8,$M$8,IF($U4=$N$9,$M$9,IF($U4=$N$10,$M$10,IF($U4=$N$11,$M$11,IF($U4=$N$12,$M$12,IF($U4=$N$13,$M$13,IF($U4=$N$14,$M$14,IF($U4=$N$15,$M$15,IF($U4=$N$16,$M$16,"")))))))))))))&amp;" "&amp;(IF($U4=$N$5,"(A)",IF($U4=$N$6,"(B)",IF($U4=$N$7,"(C)",IF($U4=$N$8,"(D)",IF($U4=$N$9,"(E)",IF($U4=$N$10,"(F)",IF($U4=$N$11,"(G)",IF($U4=$N$12,"(H)",IF($U4=$N$13,"(I)",IF($U4=$N$14,"(J)",IF($U4=$N$15,"(K)",IF($U4=$N$16,"(L)","")))))))))))))</calculatedColumnFormula>
      <totalsRowFormula>CONCATENATE(IF($U59=$N$5,$M$5,IF($U59=$N$6,$M$6,IF($U59=$N$7,$M$7,IF($U59=$N$8,$M$8,IF($U59=$N$9,$M$9,IF($U59=$N$10,$M$10,IF($U59=$N$11,$M$11,IF($U59=$N$12,$M$12,IF($U59=$N$13,$M$13,IF($U59=$N$14,$M$14,IF($U59=$N$15,$M$15,IF($U59=$N$16,$M$16,IF($U59=$N$17,$M$17,"")))))))))))))&amp;" "&amp;(IF($U59=$N$5,"(A)",IF($U59=$N$6,"(B)",IF($U59=$N$7,"(C)",IF($U59=$N$8,"(D)",IF($U59=$N$9,"(E)",IF($U59=$N$10,"(F)",IF($U59=$N$11,"(G)",IF($U59=$N$12,"(H)",IF($U59=$N$13,"(I)",IF($U59=$N$14,"(J)",IF($U59=$N$15,"(K)",IF($U59=$N$16,"(L)",IF($U59=$N$17,"(L)","")))))))))))))))</totalsRowFormula>
    </tableColumn>
    <tableColumn id="10" xr3:uid="{00000000-0010-0000-0300-00000A000000}" name="1st hour III Sem" totalsRowFunction="custom" dataDxfId="13174" totalsRowDxfId="13173">
      <calculatedColumnFormula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calculatedColumnFormula>
      <totalsRowFormula>CONCATENATE(IF($U59=$F$21,$E$21,IF($U59=$F$22,$E$22,IF($U59=$F$23,$E$23,IF($U59=$F$24,$E$24,IF($U59=$F$25,$E$25,IF($U59=$F$26,$E$26,IF($U59=$F$27,$E$27,IF($U59=$F$28,$E$28,IF($U59=$F$29,$E$29,IF($U59=$F$30,$E$30,IF($U59=$F$31,$E$31,IF($U59=$F$32,$E$32,IF($U59=$F$33,$E$33,IF($U59=$F$34,$E$34,"")))))))))))))&amp;" "&amp;(IF($U59=$F$21,"(A)",IF($U59=$F$22,"(B)",IF($U59=$F$23,"(C)",IF($U59=$F$24,"(D)",IF($U59=$F$25,"(E)",IF($U59=$F$26,"(F)",IF($U59=$F$27,"(G)",IF($U59=$F$28,"(H)",IF($U59=$F$29,"(I)",IF($U59=$F$30,"(J)",IF($U59=$D$63,"(K)",IF($U59=$F$32,"(L)",IF($U59=$F$33,"(M)",IF($U59=$F$34,"(N)","")))))))))))))))))</totalsRowFormula>
    </tableColumn>
    <tableColumn id="11" xr3:uid="{00000000-0010-0000-0300-00000B000000}" name="2nd hour III Sem" totalsRowFunction="custom" dataDxfId="13172" totalsRowDxfId="13171">
      <calculatedColumnFormula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calculatedColumnFormula>
      <totalsRowFormula>CONCATENATE(IF($U59=$H$21,$G$21,IF($U59=$H$22,$G$22,IF($U59=$H$23,$G$23,IF($U59=$H$24,$G$24,IF($U59=$H$25,$G$25,IF($U59=$H$26,$G$26,IF($U59=$H$27,$G$27,IF($U59=$H$28,$G$28,IF($U59=$H$29,$G$29,IF($U59=$H$30,$G$30,IF($U59=$H$31,$G$31,IF($U59=$H$32,$G$32,IF($U59=$H$33,$G$33,IF($U59=$H$34,$G$34,""))))))))))))))&amp;" "&amp;(IF($U59=$H$21,"(A)",IF($U59=$H$22,"(B)",IF($U59=$H$23,"(C)",IF($U59=$H$24,"(D)",IF($U59=$H$25,"(E)",IF($U59=$H$26,"(F)",IF($U59=$H$27,"(G)",IF($U59=$H$28,"(H)",IF($U59=$H$29,"(I)",IF($U59=$H$30,"(J)",IF($U59=$H$31,"(K)",IF($U59=$H$32,"(L)",IF($U59=$H$33,"(M)",IF($U59=$H$34,"(N)",""))))))))))))))))</totalsRowFormula>
    </tableColumn>
    <tableColumn id="12" xr3:uid="{00000000-0010-0000-0300-00000C000000}" name="3rd hour III Sem" totalsRowFunction="custom" dataDxfId="13170" totalsRowDxfId="13169">
      <calculatedColumnFormula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calculatedColumnFormula>
      <totalsRowFormula>CONCATENATE(IF($U59=$L$21,$K$21,IF($U59=$L$22,$K$22,IF($U59=$L$23,$K$23,IF($U59=$L$24,$K$24,IF($U59=$L$25,$K$25,IF($U59=$L$26,$K$26,IF($U59=$L$27,$K$27,IF($U59=$L$28,$K$28,IF($U59=$L$29,$K$29,IF($U59=$L$30,$K$30,IF($U59=$L$31,$K$31,IF($U59=$L$32,$K$32,IF($U59=$L$33,$K$33,IF($U59=$L$34,$K$34,""))))))))))))))&amp;" "&amp;IF($U59=$L$21,"(A)",IF($U59=$L$22,"(B)",IF($U59=$L$23,"(C)",IF($U59=$L$24,"(D)",IF($U59=$L$25,"(E)",IF($U59=$L$26,"(F)",IF($U59=$L$27,"(G)",IF($U59=$L$28,"(H)",IF($U59=$L$29,"(I)",IF($U59=$L$30,"(J)",IF($U59=$L$31,"(K)",IF($U59=$L$32,"(L)",IF($U59=$L$33,"(M)",IF($U59=$L$34,"(N)","")))))))))))))))</totalsRowFormula>
    </tableColumn>
    <tableColumn id="13" xr3:uid="{00000000-0010-0000-0300-00000D000000}" name="4th hour III Sem" totalsRowFunction="custom" dataDxfId="13168" totalsRowDxfId="13167">
      <calculatedColumnFormula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calculatedColumnFormula>
      <totalsRowFormula>CONCATENATE(IF($U59=$N$21,$M$21,IF($U59=$N$22,$M$22,IF($U59=$N$23,$M$23,IF($U59=$N$24,$M$24,IF($U59=$N$25,$M$25,IF($U59=$N$26,$M$26,IF($U59=$N$27,$M$27,IF($U59=$N$28,$M$28,IF($U59=$N$29,$M$29,IF($U59=$N$30,$M$30,IF($U59=$N$31,$M$31,IF($U59=$N$32,$M$32,IF($U59=$N$33,$M$33,IF($U59=$N$34,$M$34,""))))))))))))))&amp;" "&amp;(IF($U59=$N$21,"(A)",IF($U59=$N$22,"(B)",IF($U59=$N$23,"(C)",IF($U59=$N$24,"(D)",IF($U59=$N$25,"(E)",IF($U59=$N$26,"(F)",IF($U59=$N$27,"(G)",IF($U59=$N$28,"(H)",IF($U59=$N$29,"(I)",IF($U59=$N$30,"(J)",IF($U59=$N$31,"(K)",IF($U59=$N$32,"(L)",IF($U59=$N$33,"(M)",IF($U59=$N$34,"(N)",""))))))))))))))))</totalsRowFormula>
    </tableColumn>
    <tableColumn id="14" xr3:uid="{00000000-0010-0000-0300-00000E000000}" name="1st hour I Sem" totalsRowFunction="custom" dataDxfId="13166" totalsRowDxfId="13165">
      <calculatedColumnFormula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calculatedColumnFormula>
      <totalsRowFormula>CONCATENATE(IF($U59=$F$37,$E$37,IF($U59=$F$38,$E$38,IF($U59=$F$39,$E$39,IF($U59=$F$40,$E$40,IF($U59=$F$41,$E$41,IF($U59=$F$42,$E$42,IF($U59=$F$43,$E$43,IF($U59=$F$44,$E$44,IF($U59=$F$45,$E$45,IF($U59=$F$46,$E$46,IF($U59=$F$47,$E$47,IF($U59=$F$48,$E$48,IF($U59=$F$49,$E$49,IF($U59=$F$50,$E$50,IF($U59=$F$51,$E$51,""))))))))))))))&amp;" "&amp;IF($U59=$F$38,"(A)",IF($U59=$F$39,"(B)",IF($U59=$F$40,"(C)",IF($U59=$F$41,"(D)",IF($U59=$F$42,"(E)",IF($U59=$F$43,"(F)",IF($U59=$F$44,"(G)",IF($U59=$F$45,"(H)",IF($U59=$F$46,"(I)",IF($U59=$F$47,"(J)",IF($U59=$F$48,"(K)",IF($U59=$F$49,"(L)",IF($U59=$F$50,"(M)",IF($U59=$F$51,"(N)",""))))))))))))))))</totalsRowFormula>
    </tableColumn>
    <tableColumn id="15" xr3:uid="{00000000-0010-0000-0300-00000F000000}" name="2nd hour I Sem" totalsRowFunction="custom" dataDxfId="13164" totalsRowDxfId="13163">
      <calculatedColumnFormula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calculatedColumnFormula>
      <totalsRowFormula>CONCATENATE(IF($U59=$H$37,$G$37,IF($U59=$H$38,$G$38,IF($U59=$H$39,$G$39,IF($U59=$H$40,$G$40,IF($U59=$H$41,$G$41,IF($U59=$H$42,$G$42,IF($U59=$H$43,$G$43,IF($U59=$H$44,$G$44,IF($U59=$H$45,$G$45,IF($U59=$H$46,$G$46,IF($U59=$H$47,$G$47,IF($U59=$H$48,$G$48,IF($U59=$H$49,$G$49,IF($U59=$H$50,$G$50,IF($U59=$H$51,$G$51,"")))))))))))))))&amp;" "&amp;IF($U59=$H$38,"(A)",IF($U59=$H$39,"(B)",IF($U59=$H$40,"(C)",IF($U59=$H$41,"(D)",IF($U59=$H$42,"(E)",IF($U59=$H$43,"(F)",IF($U59=$H$44,"(G)",IF($U59=$H$45,"(H)",IF($U59=$H$46,"(I)",IF($U59=$H$47,"(J)",IF($U59=$H$48,"(K)",IF($U59=$H$49,"(L)",IF($U59=$H$50,"(M)",IF($U59=$H$51,"(N)","")))))))))))))))</totalsRowFormula>
    </tableColumn>
    <tableColumn id="16" xr3:uid="{00000000-0010-0000-0300-000010000000}" name="3rd hour I Sem" totalsRowFunction="custom" dataDxfId="13162" totalsRowDxfId="13161">
      <calculatedColumnFormula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calculatedColumnFormula>
      <totalsRowFormula>CONCATENATE(IF($U59=$L$37,$K$37,IF($U59=$L$38,$K$38,IF($U59=$L$39,$K$39,IF($U59=$L$40,$K$40,IF($U59=$L$41,$K$41,IF($U59=$L$42,$K$42,IF($U59=$L$43,$K$43,IF($U59=$L$44,$K$44,IF($U59=$L$45,$K$45,IF($U59=$L$46,$K$46,IF($U59=$L$47,$K$47,IF($U59=$L$48,$K$48,IF($U59=$L$49,$K$49,IF($U59=$L$50,$K$50,IF($U59=$L$51,$K$51,"")))))))))))))))&amp;" "&amp;IF($U59=$L$38,"(A)",IF($U59=$L$39,"(B)",IF($U59=$L$40,"(C)",IF($U59=$L$41,"(D)",IF($U59=$L$42,"(E)",IF($U59=$L$43,"(F)",IF($U59=$L$44,"(G)",IF($U59=$L$45,"(H)",IF($U59=$L$46,"(I)",IF($U59=$L$47,"(J)",IF($U59=$L$48,"(K)",IF($U59=$L$49,"(L)",IF($U59=$L$50,"(M)",IF($U59=$L$51,"(N)","")))))))))))))))</totalsRowFormula>
    </tableColumn>
    <tableColumn id="17" xr3:uid="{00000000-0010-0000-0300-000011000000}" name="4th hour I Sem" totalsRowFunction="custom" dataDxfId="13160" totalsRowDxfId="13159">
      <calculatedColumnFormula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calculatedColumnFormula>
      <totalsRowFormula>CONCATENATE(IF($U59=$N$37,$M$37,IF($U59=$N$38,$M$38,IF($U59=$N$39,$M$39,IF($U59=$N$40,$M$40,IF($U59=$N$41,$M$41,IF($U59=$N$42,$M$42,IF($U59=$N$43,$M$43,IF($U59=$N$44,$M$44,IF($U59=$N$45,$M$45,IF($U59=$N$46,$M$46,IF($U59=$N$47,$M$47,IF($U59=$N$48,$M$48,IF($U59=$N$49,$M$49,IF($U59=$N$50,$M$50,IF($U59=$N$51,$M$51,"")))))))))))))))&amp;" "&amp;IF($U59=$N$38,"(A)",IF($U59=$N$39,"(B)",IF($U59=$N$40,"(C)",IF($U59=$N$41,"(D)",IF($U59=$N$42,"(E)",IF($U59=$N$43,"(F)",IF($U59=$N$44,"(G)",IF($U59=$N$45,"(H)",IF($U59=$N$46,"(I)",IF($U59=$N$47,"(J)",IF($U59=$N$48,"(K)",IF($U59=$N$49,"(L)",IF($U59=$N$50,"(M)",IF($U59=$N$51,"(N)","")))))))))))))))</totalsRow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2356" displayName="Table32356" ref="X3:AN58" totalsRowShown="0" headerRowDxfId="11042" dataDxfId="11040" headerRowBorderDxfId="11041" tableBorderDxfId="11039" headerRowCellStyle="Tough">
  <autoFilter ref="X3:AN58" xr:uid="{00000000-0009-0000-0100-000005000000}"/>
  <tableColumns count="17">
    <tableColumn id="1" xr3:uid="{00000000-0010-0000-0400-000001000000}" name="Teachers" dataDxfId="11038">
      <calculatedColumnFormula>Mon!U4</calculatedColumnFormula>
    </tableColumn>
    <tableColumn id="2" xr3:uid="{00000000-0010-0000-0400-000002000000}" name="1st hour" dataDxfId="11037">
      <calculatedColumnFormula>SUM((COUNTIF($E$5:$F$55,$U4)),IF($T4&lt;&gt;0,(COUNTIF($E$5:$F$55,$T4))),IF($S4&lt;&gt;0,(COUNTIF($E$5:$F$55,$S4))))</calculatedColumnFormula>
    </tableColumn>
    <tableColumn id="3" xr3:uid="{00000000-0010-0000-0400-000003000000}" name="2nd hour" dataDxfId="11036">
      <calculatedColumnFormula>SUM(COUNTIF($G$5:$J$55,$U4),IF($T4&lt;&gt;0,(COUNTIF($G$5:$J$55,$T4))),IF($S4&lt;&gt;0,(COUNTIF($G$5:$J$55,$S4))))</calculatedColumnFormula>
    </tableColumn>
    <tableColumn id="4" xr3:uid="{00000000-0010-0000-0400-000004000000}" name="3rd hour" dataDxfId="11035">
      <calculatedColumnFormula>SUM(COUNTIF($K$5:$L$55,$U4),IF($T4&lt;&gt;0,(COUNTIF($K$5:$L$55,$T4))),IF($S4&lt;&gt;0,(COUNTIF($K$5:$L$55,$S4))))</calculatedColumnFormula>
    </tableColumn>
    <tableColumn id="5" xr3:uid="{00000000-0010-0000-0400-000005000000}" name="4th hour" dataDxfId="11034">
      <calculatedColumnFormula>SUM(COUNTIF($M$5:$N$55,$U4),IF($T4&lt;&gt;0,(COUNTIF($M$5:$N$55,$T4))),IF($S4&lt;&gt;0,(COUNTIF($M$5:$N$55,$S4))))</calculatedColumnFormula>
    </tableColumn>
    <tableColumn id="6" xr3:uid="{00000000-0010-0000-0400-000006000000}" name="1st hour V sem" dataDxfId="11033">
      <calculatedColumnFormula>CONCATENATE(IF($U4=$F$5,$E$5,IF($U4=$F$6,$E$6,IF($U4=$F$7,$E$7,IF($U4=$F$8,$E$8,IF($U4=$F$9,$E$9,IF($U4=$F$10,$E$10,IF($U4=$F$11,$E$11,IF($U4=$F$12,$E$12,IF($U4=$F$13,$E$13,IF($U4=$F$14,$E$14,IF($U4=$F$15,$E$15,IF($U4=$F$16,$E$16,"")))))))))))))&amp;" "&amp;IF($U4=$F$5,"(A)",IF($U4=$F$6,"(B)",IF($U4=$F$7,"(C)",IF($U4=$F$8,"(D)",IF($U4=$F$9,"(E)",IF($U4=$F$10,"(F)",IF($U4=$F$11,"(G)",IF($U4=$F$12,"(H)",IF($U4=$F$13,"(I)",IF($U4=$F$14,"(J)",IF($U4=$F$15,"(K)",IF($U4=$F$16,"(L)",""))))))))))))</calculatedColumnFormula>
    </tableColumn>
    <tableColumn id="7" xr3:uid="{00000000-0010-0000-0400-000007000000}" name="2nd hour V sem" dataDxfId="11032">
      <calculatedColumnFormula>CONCATENATE(IF($U4=$H$5,$G$5,IF($U4=$H$6,$G$6,IF($U4=$H$7,$G$7,IF($U4=$H$8,$G$8,IF($U4=$H$9,$G$9,IF($U4=$H$10,$G$10,IF($U4=$H$11,$G$11,IF($U4=$H$12,$G$12,IF($U4=$H$13,$G$13,IF($U4=$H$14,$G$14,IF($U4=$H$15,$G$15,IF($U4=$H$16,$G$16,"")))))))))))))&amp;" "&amp;IF($U4=$H$5,"(A)",IF($U4=$H$6,"(B)",IF($U4=$H$7,"(C)",IF($U4=$H$8,"(D)",IF($U4=$H$9,"(E)",IF($U4=$H$10,"(F)",IF($U4=$H$11,"(G)",IF($U4=$H$12,"(H)",IF($U4=$H$13,"(I)",IF($U4=$H$14,"(J)",IF($U4=$H$15,"(K)",IF($U4=$H$16,"(L)",""))))))))))))</calculatedColumnFormula>
    </tableColumn>
    <tableColumn id="8" xr3:uid="{00000000-0010-0000-0400-000008000000}" name="3rd hour V sem" dataDxfId="11031">
      <calculatedColumnFormula>CONCATENATE(IF($U4=$L$5,$K$5,IF($U4=$L$6,$K$6,IF($U4=$L$7,$K$7,IF($U4=$L$8,$K$8,IF($U4=$L$9,$K$9,IF($U4=$L$10,$K$10,IF($U4=$L$11,$K$11,IF($U4=$L$12,$K$12,IF($U4=$L$13,$K$13,IF($U4=$L$14,$K$14,IF($U4=$L$15,$K$15,IF($U4=$L$16,$K$16,""))))))))))))&amp;" "&amp;IF($U4=$L$5,"(A)",IF($U4=$L$6,"(B)",IF($U4=$L$7,"(C)",IF($U4=$L$8,"(D)",IF($U4=$L$9,"(E)",IF($U4=$L$10,"(F)",IF($U4=$L$11,"(G)",IF($U4=$L$12,"(H)",IF($U4=$L$13,"(I)",IF($U4=$L$14,"(J)",IF($U4=$L$15,"(K)",IF($U4=$L$16,"(L)","")))))))))))))</calculatedColumnFormula>
    </tableColumn>
    <tableColumn id="9" xr3:uid="{00000000-0010-0000-0400-000009000000}" name="4th hour V sem" dataDxfId="11030">
      <calculatedColumnFormula>CONCATENATE(IF($U4=$N$5,$M$5,IF($U4=$N$6,$M$6,IF($U4=$N$7,$M$7,IF($U4=$N$8,$M$8,IF($U4=$N$9,$M$9,IF($U4=$N$10,$M$10,IF($U4=$N$11,$M$11,IF($U4=$N$12,$M$12,IF($U4=$N$13,$M$13,IF($U4=$N$14,$M$14,IF($U4=$N$15,$M$15,IF($U4=$N$16,$M$16,"")))))))))))))&amp;" "&amp;(IF($U4=$N$5,"(A)",IF($U4=$N$6,"(B)",IF($U4=$N$7,"(C)",IF($U4=$N$8,"(D)",IF($U4=$N$9,"(E)",IF($U4=$N$10,"(F)",IF($U4=$N$11,"(G)",IF($U4=$N$12,"(H)",IF($U4=$N$13,"(I)",IF($U4=$N$14,"(J)",IF($U4=$N$15,"(K)",IF($U4=$N$16,"(L)","")))))))))))))</calculatedColumnFormula>
    </tableColumn>
    <tableColumn id="10" xr3:uid="{00000000-0010-0000-0400-00000A000000}" name="1st hour III Sem" dataDxfId="11029">
      <calculatedColumnFormula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calculatedColumnFormula>
    </tableColumn>
    <tableColumn id="11" xr3:uid="{00000000-0010-0000-0400-00000B000000}" name="2nd hour III Sem" dataDxfId="11028">
      <calculatedColumnFormula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calculatedColumnFormula>
    </tableColumn>
    <tableColumn id="12" xr3:uid="{00000000-0010-0000-0400-00000C000000}" name="3rd hour III Sem" dataDxfId="11027">
      <calculatedColumnFormula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calculatedColumnFormula>
    </tableColumn>
    <tableColumn id="13" xr3:uid="{00000000-0010-0000-0400-00000D000000}" name="4th hour III Sem" dataDxfId="11026">
      <calculatedColumnFormula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calculatedColumnFormula>
    </tableColumn>
    <tableColumn id="14" xr3:uid="{00000000-0010-0000-0400-00000E000000}" name="1st hour I Sem" dataDxfId="11025">
      <calculatedColumnFormula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calculatedColumnFormula>
    </tableColumn>
    <tableColumn id="15" xr3:uid="{00000000-0010-0000-0400-00000F000000}" name="2nd hour I Sem" dataDxfId="11024">
      <calculatedColumnFormula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calculatedColumnFormula>
    </tableColumn>
    <tableColumn id="16" xr3:uid="{00000000-0010-0000-0400-000010000000}" name="3rd hour I Sem" dataDxfId="11023">
      <calculatedColumnFormula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calculatedColumnFormula>
    </tableColumn>
    <tableColumn id="17" xr3:uid="{00000000-0010-0000-0400-000011000000}" name="4th hour I Sem" dataDxfId="11022">
      <calculatedColumnFormula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23567" displayName="Table323567" ref="X3:AN58" totalsRowShown="0" headerRowDxfId="9087" dataDxfId="9085" headerRowBorderDxfId="9086" tableBorderDxfId="9084" headerRowCellStyle="Tough">
  <autoFilter ref="X3:AN58" xr:uid="{00000000-0009-0000-0100-000006000000}"/>
  <tableColumns count="17">
    <tableColumn id="1" xr3:uid="{00000000-0010-0000-0500-000001000000}" name="Teachers" dataDxfId="9083">
      <calculatedColumnFormula>Mon!U4</calculatedColumnFormula>
    </tableColumn>
    <tableColumn id="2" xr3:uid="{00000000-0010-0000-0500-000002000000}" name="1st hour" dataDxfId="9082">
      <calculatedColumnFormula>SUM((COUNTIF($E$5:$F$55,$U4)),IF($T4&lt;&gt;0,(COUNTIF($E$5:$F$55,$T4))),IF($S4&lt;&gt;0,(COUNTIF($E$5:$F$55,$S4))))</calculatedColumnFormula>
    </tableColumn>
    <tableColumn id="3" xr3:uid="{00000000-0010-0000-0500-000003000000}" name="2nd hour" dataDxfId="9081">
      <calculatedColumnFormula>SUM(COUNTIF($G$5:$J$55,$U4),IF($T4&lt;&gt;0,(COUNTIF($G$5:$J$55,$T4))),IF($S4&lt;&gt;0,(COUNTIF($G$5:$J$55,$S4))))</calculatedColumnFormula>
    </tableColumn>
    <tableColumn id="4" xr3:uid="{00000000-0010-0000-0500-000004000000}" name="3rd hour" dataDxfId="9080">
      <calculatedColumnFormula>SUM(COUNTIF($K$20:$L$55,$U4),IF($T4&lt;&gt;0,(COUNTIF($K$20:$L$55,$T4))),IF($S4&lt;&gt;0,(COUNTIF($K$20:$L$55,$S4))))</calculatedColumnFormula>
    </tableColumn>
    <tableColumn id="5" xr3:uid="{00000000-0010-0000-0500-000005000000}" name="4th hour" dataDxfId="9079">
      <calculatedColumnFormula>SUM(COUNTIF($M$5:$N$55,$U4),IF($T4&lt;&gt;0,(COUNTIF($M$5:$N$55,$T4))),IF($S4&lt;&gt;0,(COUNTIF($M$5:$N$55,$S4))))</calculatedColumnFormula>
    </tableColumn>
    <tableColumn id="6" xr3:uid="{00000000-0010-0000-0500-000006000000}" name="1st hour V sem" dataDxfId="9078">
      <calculatedColumnFormula>CONCATENATE(IF($U4=$F$5,$E$5,IF($U4=$F$6,$E$6,IF($U4=$F$7,$E$7,IF($U4=$F$8,$E$8,IF($U4=$F$9,$E$9,IF($U4=$F$10,$E$10,IF($U4=$F$11,$E$11,IF($U4=$F$12,$E$12,IF($U4=$F$13,$E$13,IF($U4=$F$14,$E$14,IF($U4=$F$15,$E$15,IF($U4=$F$16,$E$16,"")))))))))))))&amp;" "&amp;IF($U4=$F$5,"(A)",IF($U4=$F$6,"(B)",IF($U4=$F$7,"(C)",IF($U4=$F$8,"(D)",IF($U4=$F$9,"(E)",IF($U4=$F$10,"(F)",IF($U4=$F$11,"(G)",IF($U4=$F$12,"(H)",IF($U4=$F$13,"(I)",IF($U4=$F$14,"(J)",IF($U4=$F$15,"(K)",IF($U4=$F$16,"(L)",""))))))))))))</calculatedColumnFormula>
    </tableColumn>
    <tableColumn id="7" xr3:uid="{00000000-0010-0000-0500-000007000000}" name="2nd hour V sem" dataDxfId="9077">
      <calculatedColumnFormula>CONCATENATE(IF($U4=$H$5,$G$5,IF($U4=$H$6,$G$6,IF($U4=$H$7,$G$7,IF($U4=$H$8,$G$8,IF($U4=$H$9,$G$9,IF($U4=$H$10,$G$10,IF($U4=$H$11,$G$11,IF($U4=$H$12,$G$12,IF($U4=$H$13,$G$13,IF($U4=$H$14,$G$14,IF($U4=$H$15,$G$15,IF($U4=$H$16,$G$16,"")))))))))))))&amp;" "&amp;IF($U4=$H$5,"(A)",IF($U4=$H$6,"(B)",IF($U4=$H$7,"(C)",IF($U4=$H$8,"(D)",IF($U4=$H$9,"(E)",IF($U4=$H$10,"(F)",IF($U4=$H$11,"(G)",IF($U4=$H$12,"(H)",IF($U4=$H$13,"(I)",IF($U4=$H$14,"(J)",IF($U4=$H$15,"(K)",IF($U4=$H$16,"(L)",""))))))))))))</calculatedColumnFormula>
    </tableColumn>
    <tableColumn id="8" xr3:uid="{00000000-0010-0000-0500-000008000000}" name="3rd hour V sem" dataDxfId="9076">
      <calculatedColumnFormula>CONCATENATE(IF($U4=$L$5,$K$5,IF($U4=$L$6,$K$6,IF($U4=$L$7,$K$7,IF($U4=$L$8,$K$8,IF($U4=$L$9,$K$9,IF($U4=$L$10,$K$10,IF($U4=$L$11,$K$11,IF($U4=$L$12,$K$12,IF($U4=$L$13,$K$13,IF($U4=$L$14,$K$14,IF($U4=$L$15,$K$15,IF($U4=$L$16,$K$16,""))))))))))))&amp;" "&amp;IF($U4=$L$5,"(A)",IF($U4=$L$6,"(B)",IF($U4=$L$7,"(C)",IF($U4=$L$8,"(D)",IF($U4=$L$9,"(E)",IF($U4=$L$10,"(F)",IF($U4=$L$11,"(G)",IF($U4=$L$12,"(H)",IF($U4=$L$13,"(I)",IF($U4=$L$14,"(J)",IF($U4=$L$15,"(K)",IF($U4=$L$16,"(L)","")))))))))))))</calculatedColumnFormula>
    </tableColumn>
    <tableColumn id="9" xr3:uid="{00000000-0010-0000-0500-000009000000}" name="4th hour V sem" dataDxfId="9075">
      <calculatedColumnFormula>CONCATENATE(IF($U4=$N$5,$M$5,IF($U4=$N$6,$M$6,IF($U4=$N$7,$M$7,IF($U4=$N$8,$M$8,IF($U4=$N$9,$M$9,IF($U4=$N$10,$M$10,IF($U4=$N$11,$M$11,IF($U4=$N$12,$M$12,IF($U4=$N$13,$M$13,IF($U4=$N$14,$M$14,IF($U4=$N$15,$M$15,IF($U4=$N$16,$M$16,"")))))))))))))&amp;" "&amp;(IF($U4=$N$5,"(A)",IF($U4=$N$6,"(B)",IF($U4=$N$7,"(C)",IF($U4=$N$8,"(D)",IF($U4=$N$9,"(E)",IF($U4=$N$10,"(F)",IF($U4=$N$11,"(G)",IF($U4=$N$12,"(H)",IF($U4=$N$13,"(I)",IF($U4=$N$14,"(J)",IF($U4=$N$15,"(K)",IF($U4=$N$16,"(L)","")))))))))))))</calculatedColumnFormula>
    </tableColumn>
    <tableColumn id="10" xr3:uid="{00000000-0010-0000-0500-00000A000000}" name="1st hour III Sem" dataDxfId="9074">
      <calculatedColumnFormula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calculatedColumnFormula>
    </tableColumn>
    <tableColumn id="11" xr3:uid="{00000000-0010-0000-0500-00000B000000}" name="2nd hour III Sem" dataDxfId="9073">
      <calculatedColumnFormula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calculatedColumnFormula>
    </tableColumn>
    <tableColumn id="12" xr3:uid="{00000000-0010-0000-0500-00000C000000}" name="3rd hour III Sem" dataDxfId="9072">
      <calculatedColumnFormula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calculatedColumnFormula>
    </tableColumn>
    <tableColumn id="13" xr3:uid="{00000000-0010-0000-0500-00000D000000}" name="4th hour III Sem" dataDxfId="9071">
      <calculatedColumnFormula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calculatedColumnFormula>
    </tableColumn>
    <tableColumn id="14" xr3:uid="{00000000-0010-0000-0500-00000E000000}" name="1st hour I Sem" dataDxfId="9070">
      <calculatedColumnFormula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calculatedColumnFormula>
    </tableColumn>
    <tableColumn id="15" xr3:uid="{00000000-0010-0000-0500-00000F000000}" name="2nd hour I Sem" dataDxfId="9069">
      <calculatedColumnFormula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calculatedColumnFormula>
    </tableColumn>
    <tableColumn id="16" xr3:uid="{00000000-0010-0000-0500-000010000000}" name="3rd hour I Sem" dataDxfId="9068">
      <calculatedColumnFormula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calculatedColumnFormula>
    </tableColumn>
    <tableColumn id="17" xr3:uid="{00000000-0010-0000-0500-000011000000}" name="Column1" dataDxfId="9067">
      <calculatedColumnFormula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30"/>
  <sheetViews>
    <sheetView showGridLines="0" tabSelected="1" zoomScale="96" zoomScaleNormal="96" workbookViewId="0">
      <selection activeCell="F25" sqref="F25"/>
    </sheetView>
  </sheetViews>
  <sheetFormatPr defaultColWidth="8.81640625" defaultRowHeight="14.5" x14ac:dyDescent="0.35"/>
  <cols>
    <col min="1" max="1" width="9.453125" bestFit="1" customWidth="1"/>
    <col min="2" max="2" width="19.453125" bestFit="1" customWidth="1"/>
    <col min="3" max="3" width="9.26953125" customWidth="1"/>
    <col min="4" max="4" width="4.81640625" customWidth="1"/>
    <col min="8" max="8" width="10.81640625" customWidth="1"/>
    <col min="9" max="9" width="7.81640625" customWidth="1"/>
    <col min="10" max="10" width="6.453125" customWidth="1"/>
    <col min="12" max="12" width="11.1796875" customWidth="1"/>
    <col min="13" max="13" width="10.453125" customWidth="1"/>
    <col min="14" max="14" width="9" customWidth="1"/>
    <col min="15" max="15" width="5.81640625" customWidth="1"/>
    <col min="16" max="16" width="11.81640625" customWidth="1"/>
    <col min="17" max="17" width="9.453125" customWidth="1"/>
    <col min="18" max="18" width="5.453125" customWidth="1"/>
    <col min="19" max="19" width="7" customWidth="1"/>
    <col min="20" max="20" width="8" customWidth="1"/>
    <col min="21" max="23" width="9.453125" customWidth="1"/>
    <col min="24" max="24" width="10.7265625" customWidth="1"/>
    <col min="25" max="37" width="9.453125" customWidth="1"/>
  </cols>
  <sheetData>
    <row r="1" spans="1:79" ht="19" thickBot="1" x14ac:dyDescent="0.4">
      <c r="A1" s="1"/>
      <c r="B1" s="1"/>
      <c r="C1" s="1"/>
      <c r="D1" s="1"/>
      <c r="E1" s="1"/>
      <c r="F1" s="1"/>
      <c r="G1" s="1"/>
      <c r="H1" s="2"/>
      <c r="I1" s="1"/>
      <c r="J1" s="1"/>
      <c r="AC1" s="379" t="s">
        <v>0</v>
      </c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1"/>
    </row>
    <row r="2" spans="1:79" ht="15" thickBot="1" x14ac:dyDescent="0.4">
      <c r="Y2" s="382" t="s">
        <v>1</v>
      </c>
      <c r="Z2" s="383"/>
      <c r="AA2" s="383"/>
      <c r="AB2" s="384"/>
      <c r="AC2" s="394" t="s">
        <v>2</v>
      </c>
      <c r="AD2" s="394"/>
      <c r="AE2" s="394"/>
      <c r="AF2" s="395"/>
      <c r="AG2" s="393" t="s">
        <v>3</v>
      </c>
      <c r="AH2" s="394"/>
      <c r="AI2" s="394"/>
      <c r="AJ2" s="395"/>
      <c r="AK2" s="393" t="s">
        <v>4</v>
      </c>
      <c r="AL2" s="394"/>
      <c r="AM2" s="394"/>
      <c r="AN2" s="395"/>
    </row>
    <row r="3" spans="1:79" ht="30" customHeight="1" thickBot="1" x14ac:dyDescent="0.4">
      <c r="A3" s="369" t="s">
        <v>5</v>
      </c>
      <c r="B3" s="370"/>
      <c r="C3" s="370"/>
      <c r="D3" s="370"/>
      <c r="E3" s="370"/>
      <c r="F3" s="370"/>
      <c r="G3" s="370"/>
      <c r="H3" s="370"/>
      <c r="I3" s="371">
        <v>43997</v>
      </c>
      <c r="J3" s="371"/>
      <c r="K3" s="371"/>
      <c r="L3" s="371"/>
      <c r="M3" s="371"/>
      <c r="N3" s="372"/>
      <c r="O3" s="148"/>
      <c r="P3" s="150" t="s">
        <v>6</v>
      </c>
      <c r="Q3" s="28"/>
      <c r="R3" s="28"/>
      <c r="S3" s="28"/>
      <c r="U3" s="168" t="s">
        <v>7</v>
      </c>
      <c r="V3" s="10" t="s">
        <v>8</v>
      </c>
      <c r="X3" s="138" t="s">
        <v>7</v>
      </c>
      <c r="Y3" s="140" t="s">
        <v>9</v>
      </c>
      <c r="Z3" s="139" t="s">
        <v>10</v>
      </c>
      <c r="AA3" s="139" t="s">
        <v>11</v>
      </c>
      <c r="AB3" s="141" t="s">
        <v>12</v>
      </c>
      <c r="AC3" s="142" t="s">
        <v>13</v>
      </c>
      <c r="AD3" s="143" t="s">
        <v>14</v>
      </c>
      <c r="AE3" s="143" t="s">
        <v>15</v>
      </c>
      <c r="AF3" s="145" t="s">
        <v>16</v>
      </c>
      <c r="AG3" s="142" t="s">
        <v>17</v>
      </c>
      <c r="AH3" s="143" t="s">
        <v>18</v>
      </c>
      <c r="AI3" s="143" t="s">
        <v>19</v>
      </c>
      <c r="AJ3" s="145" t="s">
        <v>20</v>
      </c>
      <c r="AK3" s="142" t="s">
        <v>21</v>
      </c>
      <c r="AL3" s="143" t="s">
        <v>22</v>
      </c>
      <c r="AM3" s="143" t="s">
        <v>23</v>
      </c>
      <c r="AN3" s="144" t="s">
        <v>24</v>
      </c>
      <c r="BX3" s="364" t="s">
        <v>25</v>
      </c>
      <c r="BY3" s="365"/>
      <c r="BZ3" s="365"/>
      <c r="CA3" s="366"/>
    </row>
    <row r="4" spans="1:79" ht="18.75" customHeight="1" thickBot="1" x14ac:dyDescent="0.4">
      <c r="A4" s="101" t="s">
        <v>26</v>
      </c>
      <c r="B4" s="299"/>
      <c r="C4" s="94" t="s">
        <v>27</v>
      </c>
      <c r="D4" s="95"/>
      <c r="E4" s="352" t="s">
        <v>28</v>
      </c>
      <c r="F4" s="353"/>
      <c r="G4" s="354" t="s">
        <v>29</v>
      </c>
      <c r="H4" s="353"/>
      <c r="I4" s="354" t="s">
        <v>30</v>
      </c>
      <c r="J4" s="353"/>
      <c r="K4" s="354" t="s">
        <v>31</v>
      </c>
      <c r="L4" s="353"/>
      <c r="M4" s="354" t="s">
        <v>32</v>
      </c>
      <c r="N4" s="358"/>
      <c r="O4" s="149" t="s">
        <v>33</v>
      </c>
      <c r="P4" s="38" t="s">
        <v>33</v>
      </c>
      <c r="Q4" s="331"/>
      <c r="R4" s="75"/>
      <c r="S4" s="75"/>
      <c r="U4" s="165" t="s">
        <v>34</v>
      </c>
      <c r="V4" s="9">
        <f>SUM(COUNTIF($E$5:$N$55,U4),IF(T4&lt;&gt;0,COUNTIF($E$5:$N$55,T4),0),IF(S4&lt;&gt;0,COUNTIF($E$5:$N$55,S4),0))</f>
        <v>2</v>
      </c>
      <c r="X4" s="176" t="str">
        <f>U4</f>
        <v>(AB)</v>
      </c>
      <c r="Y4" s="20">
        <f t="shared" ref="Y4:Y21" si="0">SUM((COUNTIF($E$5:$F$55,$U4)),IF($T4&lt;&gt;0,(COUNTIF($E$5:$F$55,$T4))),IF($S4&lt;&gt;0,(COUNTIF($E$5:$F$55,$S4))))</f>
        <v>0</v>
      </c>
      <c r="Z4" s="21">
        <f t="shared" ref="Z4:Z21" si="1">SUM(COUNTIF($G$5:$J$55,$U4),IF($T4&lt;&gt;0,(COUNTIF($G$5:$J$55,$T4))),IF($S4&lt;&gt;0,(COUNTIF($G$5:$J$55,$S4))))</f>
        <v>0</v>
      </c>
      <c r="AA4" s="21">
        <f t="shared" ref="AA4:AA21" si="2">SUM(COUNTIF($K$5:$L$55,$U4),IF($T4&lt;&gt;0,(COUNTIF($K$5:$L$55,$T4))),IF($S4&lt;&gt;0,(COUNTIF($K$5:$L$55,$S4))))</f>
        <v>1</v>
      </c>
      <c r="AB4" s="22">
        <f t="shared" ref="AB4:AB21" si="3">SUM(COUNTIF($M$5:$N$55,$U4),IF($T4&lt;&gt;0,(COUNTIF($M$5:$N$55,$T4))),IF($S4&lt;&gt;0,(COUNTIF($M$5:$N$55,$S4))))</f>
        <v>1</v>
      </c>
      <c r="AC4" s="178" t="str">
        <f>CONCATENATE(IF($U4=$F$5,$E$5,IF($U4=$F$6,$E$6,IF($U4=$F$7,$E$7,IF($U4=$F$8,$E$8,IF($U4=$F$9,$E$9,IF($U4=$F$10,$E$10,IF($U4=$F$11,$E$11,IF($U4=$F$12,$E$12,IF($U4=$F$13,$E$13,IF($U4=$F$14,$E$14,IF($U4=$F$15,$E$15,IF($U4=$F$16,$E$16,IF($U4=$F$17,$E$17,"")))))))))))))&amp;" "&amp;IF($U4=$F$5,"(A)",IF($U4=$F$6,"(B)",IF($U4=$F$7,"(C)",IF($U4=$F$8,"(D)",IF($U4=$F$9,"(E)",IF($U4=$F$10,"(F)",IF($U4=$F$11,"(G)",IF($U4=$F$12,"(H)",IF($U4=$F$13,"(I)",IF($U4=$F$14,"(J)",IF($U4=$F$15,"(K)",IF($U4=$F$16,"(L)",IF($U4=$F$17,"(L)",""))))))))))))))</f>
        <v xml:space="preserve"> </v>
      </c>
      <c r="AD4" s="177" t="str">
        <f>CONCATENATE(IF($U4=$H$5,$G$5,IF($U4=$H$6,$G$6,IF($U4=$H$7,$G$7,IF($U4=$H$8,$G$8,IF($U4=$H$9,$G$9,IF($U4=$H$10,$G$10,IF($U4=$H$11,$G$11,IF($U4=$H$12,$G$12,IF($U4=$H$13,$G$13,IF($U4=$H$14,$G$14,IF($U4=$H$15,$G$15,IF($U4=$H$16,$G$16,IF($U4=$H$17,$G$17,"")))))))))))))&amp;" "&amp;IF($U4=$H$5,"(A)",IF($U4=$H$6,"(B)",IF($U4=$H$7,"(C)",IF($U4=$H$8,"(D)",IF($U4=$H$9,"(E)",IF($U4=$H$10,"(F)",IF($U4=$H$11,"(G)",IF($U4=$H$12,"(H)",IF($U4=$H$13,"(I)",IF($U4=$H$14,"(J)",IF($U4=$H$15,"(K)",IF($U4=$H$16,"(L)",IF($U4=$H$17,"(L)",""))))))))))))))</f>
        <v xml:space="preserve"> </v>
      </c>
      <c r="AE4" s="177" t="str">
        <f>CONCATENATE(IF($U4=$L$5,$K$5,IF($U4=$L$6,$K$6,IF($U4=$L$7,$K$7,IF($U4=$L$8,$K$8,IF($U4=$L$9,$K$9,IF($U4=$L$10,$K$10,IF($U4=$L$11,$K$11,IF($U4=$L$12,$K$12,IF($U4=$L$13,$K$13,IF($U4=$L$14,$K$14,IF($U4=$L$15,$K$15,IF($U4=$L$16,$K$16,IF($U4=$L$17,$K$17,"")))))))))))))&amp;" "&amp;IF($U4=$L$5,"(A)",IF($U4=$L$6,"(B)",IF($U4=$L$7,"(C)",IF($U4=$L$8,"(D)",IF($U4=$L$9,"(E)",IF($U4=$L$10,"(F)",IF($U4=$L$11,"(G)",IF($U4=$L$12,"(H)",IF($U4=$L$13,"(I)",IF($U4=$L$14,"(J)",IF($U4=$L$15,"(K)",IF($U4=$L$16,"(L)",IF($U4=$L$17,"(L)",""))))))))))))))</f>
        <v xml:space="preserve"> </v>
      </c>
      <c r="AF4" s="180" t="str">
        <f>CONCATENATE(IF($U4=$N$5,$M$5,IF($U4=$N$6,$M$6,IF($U4=$N$7,$M$7,IF($U4=$N$8,$M$8,IF($U4=$N$9,$M$9,IF($U4=$N$10,$M$10,IF($U4=$N$11,$M$11,IF($U4=$N$12,$M$12,IF($U4=$N$13,$M$13,IF($U4=$N$14,$M$14,IF($U4=$N$15,$M$15,IF($U4=$N$16,$M$16,IF($U4=$N$17,$M$17,"")))))))))))))&amp;" "&amp;(IF($U4=$N$5,"(A)",IF($U4=$N$6,"(B)",IF($U4=$N$7,"(C)",IF($U4=$N$8,"(D)",IF($U4=$N$9,"(E)",IF($U4=$N$10,"(F)",IF($U4=$N$11,"(G)",IF($U4=$N$12,"(H)",IF($U4=$N$13,"(I)",IF($U4=$N$14,"(J)",IF($U4=$N$15,"(K)",IF($U4=$N$16,"(L)",IF($U4=$N$17,"(L)","")))))))))))))))</f>
        <v xml:space="preserve"> </v>
      </c>
      <c r="AG4" s="178" t="str">
        <f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f>
        <v xml:space="preserve"> </v>
      </c>
      <c r="AH4" s="177" t="str">
        <f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f>
        <v xml:space="preserve"> </v>
      </c>
      <c r="AI4" s="177" t="str">
        <f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f>
        <v xml:space="preserve"> </v>
      </c>
      <c r="AJ4" s="180" t="str">
        <f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f>
        <v xml:space="preserve"> </v>
      </c>
      <c r="AK4" s="178" t="str">
        <f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f>
        <v xml:space="preserve"> </v>
      </c>
      <c r="AL4" s="177" t="str">
        <f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f>
        <v xml:space="preserve"> </v>
      </c>
      <c r="AM4" s="177" t="str">
        <f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f>
        <v>BT (J)</v>
      </c>
      <c r="AN4" s="179" t="str">
        <f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f>
        <v>BT (G)</v>
      </c>
      <c r="BV4" t="s">
        <v>35</v>
      </c>
      <c r="BX4" s="4" t="s">
        <v>36</v>
      </c>
      <c r="BY4" s="4" t="s">
        <v>37</v>
      </c>
      <c r="BZ4" s="4" t="s">
        <v>38</v>
      </c>
      <c r="CA4" s="4" t="s">
        <v>39</v>
      </c>
    </row>
    <row r="5" spans="1:79" ht="18.75" customHeight="1" x14ac:dyDescent="0.35">
      <c r="A5" s="373">
        <v>5</v>
      </c>
      <c r="B5" s="18" t="s">
        <v>40</v>
      </c>
      <c r="C5" s="90" t="s">
        <v>41</v>
      </c>
      <c r="D5" s="91"/>
      <c r="E5" s="33" t="str">
        <f>_xlfn.XLOOKUP(F5, $A$100:$A$107, $B$100:$B$107, "Training")</f>
        <v>MA</v>
      </c>
      <c r="F5" s="92" t="s">
        <v>42</v>
      </c>
      <c r="G5" s="33" t="str">
        <f>_xlfn.XLOOKUP(H5, $A$100:$A$107, $B$100:$B$107, "Training")</f>
        <v>FMS</v>
      </c>
      <c r="H5" s="92" t="s">
        <v>43</v>
      </c>
      <c r="I5" s="375" t="s">
        <v>44</v>
      </c>
      <c r="J5" s="375"/>
      <c r="K5" s="33" t="str">
        <f>_xlfn.XLOOKUP(L5, $A$100:$A$107, $B$100:$B$107, "Training")</f>
        <v>AA</v>
      </c>
      <c r="L5" s="92" t="s">
        <v>45</v>
      </c>
      <c r="M5" s="33" t="str">
        <f>_xlfn.XLOOKUP(N5, $A$100:$A$107, $B$100:$B$107, "Training")</f>
        <v>IT</v>
      </c>
      <c r="N5" s="93" t="s">
        <v>50</v>
      </c>
      <c r="O5" s="68" t="str">
        <f>IF(P5="",".",P5)</f>
        <v>.</v>
      </c>
      <c r="P5" s="12"/>
      <c r="Q5" s="331"/>
      <c r="R5" s="331"/>
      <c r="S5" s="331"/>
      <c r="U5" s="165" t="s">
        <v>47</v>
      </c>
      <c r="V5" s="9">
        <f t="shared" ref="V5:V8" si="4">SUM(COUNTIF($E$5:$N$55,U5),IF(T5&lt;&gt;0,COUNTIF($E$5:$N$55,T5),0),IF(S5&lt;&gt;0,COUNTIF($E$5:$N$55,S5),0))</f>
        <v>3</v>
      </c>
      <c r="X5" s="176" t="str">
        <f t="shared" ref="X5:X56" si="5">U5</f>
        <v>(AD)</v>
      </c>
      <c r="Y5" s="20">
        <f t="shared" si="0"/>
        <v>1</v>
      </c>
      <c r="Z5" s="21">
        <f t="shared" si="1"/>
        <v>1</v>
      </c>
      <c r="AA5" s="21">
        <f t="shared" si="2"/>
        <v>0</v>
      </c>
      <c r="AB5" s="22">
        <f t="shared" si="3"/>
        <v>1</v>
      </c>
      <c r="AC5" s="178" t="str">
        <f>CONCATENATE(IF($U5=$F$5,$E$5,IF($U5=$F$6,$E$6,IF($U5=$F$7,$E$7,IF($U5=$F$8,$E$8,IF($U5=$F$9,$E$9,IF($U5=$F$10,$E$10,IF($U5=$F$11,$E$11,IF($U5=$F$12,$E$12,IF($U5=$F$13,$E$13,IF($U5=$F$14,$E$14,IF($U5=$F$15,$E$15,IF($U5=$F$16,$E$16,IF($U5=$F$17,$E$17,"")))))))))))))&amp;" "&amp;IF($U5=$F$5,"(A)",IF($U5=$F$6,"(B)",IF($U5=$F$7,"(C)",IF($U5=$F$8,"(D)",IF($U5=$F$9,"(E)",IF($U5=$F$10,"(F)",IF($U5=$F$11,"(G)",IF($U5=$F$12,"(H)",IF($U5=$F$13,"(I)",IF($U5=$F$14,"(J)",IF($U5=$F$15,"(K)",IF($U5=$F$16,"(L)",IF($U5=$F$17,"(L)",""))))))))))))))</f>
        <v>IT (E)</v>
      </c>
      <c r="AD5" s="177" t="str">
        <f t="shared" ref="AD5:AD9" si="6">CONCATENATE(IF($U5=$H$5,$G$5,IF($U5=$H$6,$G$6,IF($U5=$H$7,$G$7,IF($U5=$H$8,$G$8,IF($U5=$H$9,$G$9,IF($U5=$H$10,$G$10,IF($U5=$H$11,$G$11,IF($U5=$H$12,$G$12,IF($U5=$H$13,$G$13,IF($U5=$H$14,$G$14,IF($U5=$H$15,$G$15,IF($U5=$H$16,$G$16,IF($U5=$H$17,$G$17,"")))))))))))))&amp;" "&amp;IF($U5=$H$5,"(A)",IF($U5=$H$6,"(B)",IF($U5=$H$7,"(C)",IF($U5=$H$8,"(D)",IF($U5=$H$9,"(E)",IF($U5=$H$10,"(F)",IF($U5=$H$11,"(G)",IF($U5=$H$12,"(H)",IF($U5=$H$13,"(I)",IF($U5=$H$14,"(J)",IF($U5=$H$15,"(K)",IF($U5=$H$16,"(L)",IF($U5=$H$17,"(L)",""))))))))))))))</f>
        <v>IT (K)</v>
      </c>
      <c r="AE5" s="177" t="str">
        <f t="shared" ref="AE5:AE9" si="7">CONCATENATE(IF($U5=$L$5,$K$5,IF($U5=$L$6,$K$6,IF($U5=$L$7,$K$7,IF($U5=$L$8,$K$8,IF($U5=$L$9,$K$9,IF($U5=$L$10,$K$10,IF($U5=$L$11,$K$11,IF($U5=$L$12,$K$12,IF($U5=$L$13,$K$13,IF($U5=$L$14,$K$14,IF($U5=$L$15,$K$15,IF($U5=$L$16,$K$16,IF($U5=$L$17,$K$17,"")))))))))))))&amp;" "&amp;IF($U5=$L$5,"(A)",IF($U5=$L$6,"(B)",IF($U5=$L$7,"(C)",IF($U5=$L$8,"(D)",IF($U5=$L$9,"(E)",IF($U5=$L$10,"(F)",IF($U5=$L$11,"(G)",IF($U5=$L$12,"(H)",IF($U5=$L$13,"(I)",IF($U5=$L$14,"(J)",IF($U5=$L$15,"(K)",IF($U5=$L$16,"(L)",IF($U5=$L$17,"(L)",""))))))))))))))</f>
        <v xml:space="preserve"> </v>
      </c>
      <c r="AF5" s="180" t="str">
        <f t="shared" ref="AF5:AF9" si="8">CONCATENATE(IF($U5=$N$5,$M$5,IF($U5=$N$6,$M$6,IF($U5=$N$7,$M$7,IF($U5=$N$8,$M$8,IF($U5=$N$9,$M$9,IF($U5=$N$10,$M$10,IF($U5=$N$11,$M$11,IF($U5=$N$12,$M$12,IF($U5=$N$13,$M$13,IF($U5=$N$14,$M$14,IF($U5=$N$15,$M$15,IF($U5=$N$16,$M$16,IF($U5=$N$17,$M$17,"")))))))))))))&amp;" "&amp;(IF($U5=$N$5,"(A)",IF($U5=$N$6,"(B)",IF($U5=$N$7,"(C)",IF($U5=$N$8,"(D)",IF($U5=$N$9,"(E)",IF($U5=$N$10,"(F)",IF($U5=$N$11,"(G)",IF($U5=$N$12,"(H)",IF($U5=$N$13,"(I)",IF($U5=$N$14,"(J)",IF($U5=$N$15,"(K)",IF($U5=$N$16,"(L)",IF($U5=$N$17,"(L)","")))))))))))))))</f>
        <v>RM (I)</v>
      </c>
      <c r="AG5" s="178" t="str">
        <f t="shared" ref="AG5:AG62" si="9">CONCATENATE(IF($U5=$F$21,$E$21,IF($U5=$F$22,$E$22,IF($U5=$F$23,$E$23,IF($U5=$F$24,$E$24,IF($U5=$F$25,$E$25,IF($U5=$F$26,$E$26,IF($U5=$F$27,$E$27,IF($U5=$F$28,$E$28,IF($U5=$F$29,$E$29,IF($U5=$F$30,$E$30,IF($U5=$F$31,$E$31,IF($U5=$F$32,$E$32,IF($U5=$F$33,$E$33,IF($U5=$F$34,$E$34,"")))))))))))))&amp;" "&amp;(IF($U5=$F$21,"(A)",IF($U5=$F$22,"(B)",IF($U5=$F$23,"(C)",IF($U5=$F$24,"(D)",IF($U5=$F$25,"(E)",IF($U5=$F$26,"(F)",IF($U5=$F$27,"(G)",IF($U5=$F$28,"(H)",IF($U5=$F$29,"(I)",IF($U5=$F$30,"(J)",IF($U5=$D$63,"(K)",IF($U5=$F$32,"(L)",IF($U5=$F$33,"(M)",IF($U5=$F$34,"(N)","")))))))))))))))))</f>
        <v xml:space="preserve"> </v>
      </c>
      <c r="AH5" s="177" t="str">
        <f t="shared" ref="AH5:AH62" si="10">CONCATENATE(IF($U5=$H$21,$G$21,IF($U5=$H$22,$G$22,IF($U5=$H$23,$G$23,IF($U5=$H$24,$G$24,IF($U5=$H$25,$G$25,IF($U5=$H$26,$G$26,IF($U5=$H$27,$G$27,IF($U5=$H$28,$G$28,IF($U5=$H$29,$G$29,IF($U5=$H$30,$G$30,IF($U5=$H$31,$G$31,IF($U5=$H$32,$G$32,IF($U5=$H$33,$G$33,IF($U5=$H$34,$G$34,""))))))))))))))&amp;" "&amp;(IF($U5=$H$21,"(A)",IF($U5=$H$22,"(B)",IF($U5=$H$23,"(C)",IF($U5=$H$24,"(D)",IF($U5=$H$25,"(E)",IF($U5=$H$26,"(F)",IF($U5=$H$27,"(G)",IF($U5=$H$28,"(H)",IF($U5=$H$29,"(I)",IF($U5=$H$30,"(J)",IF($U5=$H$31,"(K)",IF($U5=$H$32,"(L)",IF($U5=$H$33,"(M)",IF($U5=$H$34,"(N)",""))))))))))))))))</f>
        <v xml:space="preserve"> </v>
      </c>
      <c r="AI5" s="177" t="str">
        <f t="shared" ref="AI5:AI62" si="11">CONCATENATE(IF($U5=$L$21,$K$21,IF($U5=$L$22,$K$22,IF($U5=$L$23,$K$23,IF($U5=$L$24,$K$24,IF($U5=$L$25,$K$25,IF($U5=$L$26,$K$26,IF($U5=$L$27,$K$27,IF($U5=$L$28,$K$28,IF($U5=$L$29,$K$29,IF($U5=$L$30,$K$30,IF($U5=$L$31,$K$31,IF($U5=$L$32,$K$32,IF($U5=$L$33,$K$33,IF($U5=$L$34,$K$34,""))))))))))))))&amp;" "&amp;IF($U5=$L$21,"(A)",IF($U5=$L$22,"(B)",IF($U5=$L$23,"(C)",IF($U5=$L$24,"(D)",IF($U5=$L$25,"(E)",IF($U5=$L$26,"(F)",IF($U5=$L$27,"(G)",IF($U5=$L$28,"(H)",IF($U5=$L$29,"(I)",IF($U5=$L$30,"(J)",IF($U5=$L$31,"(K)",IF($U5=$L$32,"(L)",IF($U5=$L$33,"(M)",IF($U5=$L$34,"(N)","")))))))))))))))</f>
        <v xml:space="preserve"> </v>
      </c>
      <c r="AJ5" s="180" t="str">
        <f t="shared" ref="AJ5:AJ62" si="12">CONCATENATE(IF($U5=$N$21,$M$21,IF($U5=$N$22,$M$22,IF($U5=$N$23,$M$23,IF($U5=$N$24,$M$24,IF($U5=$N$25,$M$25,IF($U5=$N$26,$M$26,IF($U5=$N$27,$M$27,IF($U5=$N$28,$M$28,IF($U5=$N$29,$M$29,IF($U5=$N$30,$M$30,IF($U5=$N$31,$M$31,IF($U5=$N$32,$M$32,IF($U5=$N$33,$M$33,IF($U5=$N$34,$M$34,""))))))))))))))&amp;" "&amp;(IF($U5=$N$21,"(A)",IF($U5=$N$22,"(B)",IF($U5=$N$23,"(C)",IF($U5=$N$24,"(D)",IF($U5=$N$25,"(E)",IF($U5=$N$26,"(F)",IF($U5=$N$27,"(G)",IF($U5=$N$28,"(H)",IF($U5=$N$29,"(I)",IF($U5=$N$30,"(J)",IF($U5=$N$31,"(K)",IF($U5=$N$32,"(L)",IF($U5=$N$33,"(M)",IF($U5=$N$34,"(N)",""))))))))))))))))</f>
        <v xml:space="preserve"> </v>
      </c>
      <c r="AK5" s="178" t="str">
        <f t="shared" ref="AK5:AK62" si="13">CONCATENATE(IF($U5=$F$37,$E$37,IF($U5=$F$38,$E$38,IF($U5=$F$39,$E$39,IF($U5=$F$40,$E$40,IF($U5=$F$41,$E$41,IF($U5=$F$42,$E$42,IF($U5=$F$43,$E$43,IF($U5=$F$44,$E$44,IF($U5=$F$45,$E$45,IF($U5=$F$46,$E$46,IF($U5=$F$47,$E$47,IF($U5=$F$48,$E$48,IF($U5=$F$49,$E$49,IF($U5=$F$50,$E$50,IF($U5=$F$51,$E$51,""))))))))))))))&amp;" "&amp;IF($U5=$F$38,"(A)",IF($U5=$F$39,"(B)",IF($U5=$F$40,"(C)",IF($U5=$F$41,"(D)",IF($U5=$F$42,"(E)",IF($U5=$F$43,"(F)",IF($U5=$F$44,"(G)",IF($U5=$F$45,"(H)",IF($U5=$F$46,"(I)",IF($U5=$F$47,"(J)",IF($U5=$F$48,"(K)",IF($U5=$F$49,"(L)",IF($U5=$F$50,"(M)",IF($U5=$F$51,"(N)",""))))))))))))))))</f>
        <v xml:space="preserve"> </v>
      </c>
      <c r="AL5" s="177" t="str">
        <f t="shared" ref="AL5:AL62" si="14">CONCATENATE(IF($U5=$H$37,$G$37,IF($U5=$H$38,$G$38,IF($U5=$H$39,$G$39,IF($U5=$H$40,$G$40,IF($U5=$H$41,$G$41,IF($U5=$H$42,$G$42,IF($U5=$H$43,$G$43,IF($U5=$H$44,$G$44,IF($U5=$H$45,$G$45,IF($U5=$H$46,$G$46,IF($U5=$H$47,$G$47,IF($U5=$H$48,$G$48,IF($U5=$H$49,$G$49,IF($U5=$H$50,$G$50,IF($U5=$H$51,$G$51,"")))))))))))))))&amp;" "&amp;IF($U5=$H$38,"(A)",IF($U5=$H$39,"(B)",IF($U5=$H$40,"(C)",IF($U5=$H$41,"(D)",IF($U5=$H$42,"(E)",IF($U5=$H$43,"(F)",IF($U5=$H$44,"(G)",IF($U5=$H$45,"(H)",IF($U5=$H$46,"(I)",IF($U5=$H$47,"(J)",IF($U5=$H$48,"(K)",IF($U5=$H$49,"(L)",IF($U5=$H$50,"(M)",IF($U5=$H$51,"(N)","")))))))))))))))</f>
        <v xml:space="preserve"> </v>
      </c>
      <c r="AM5" s="177" t="str">
        <f t="shared" ref="AM5:AM62" si="15">CONCATENATE(IF($U5=$L$37,$K$37,IF($U5=$L$38,$K$38,IF($U5=$L$39,$K$39,IF($U5=$L$40,$K$40,IF($U5=$L$41,$K$41,IF($U5=$L$42,$K$42,IF($U5=$L$43,$K$43,IF($U5=$L$44,$K$44,IF($U5=$L$45,$K$45,IF($U5=$L$46,$K$46,IF($U5=$L$47,$K$47,IF($U5=$L$48,$K$48,IF($U5=$L$49,$K$49,IF($U5=$L$50,$K$50,IF($U5=$L$51,$K$51,"")))))))))))))))&amp;" "&amp;IF($U5=$L$38,"(A)",IF($U5=$L$39,"(B)",IF($U5=$L$40,"(C)",IF($U5=$L$41,"(D)",IF($U5=$L$42,"(E)",IF($U5=$L$43,"(F)",IF($U5=$L$44,"(G)",IF($U5=$L$45,"(H)",IF($U5=$L$46,"(I)",IF($U5=$L$47,"(J)",IF($U5=$L$48,"(K)",IF($U5=$L$49,"(L)",IF($U5=$L$50,"(M)",IF($U5=$L$51,"(N)","")))))))))))))))</f>
        <v xml:space="preserve"> </v>
      </c>
      <c r="AN5" s="179" t="str">
        <f t="shared" ref="AN5:AN62" si="16">CONCATENATE(IF($U5=$N$37,$M$37,IF($U5=$N$38,$M$38,IF($U5=$N$39,$M$39,IF($U5=$N$40,$M$40,IF($U5=$N$41,$M$41,IF($U5=$N$42,$M$42,IF($U5=$N$43,$M$43,IF($U5=$N$44,$M$44,IF($U5=$N$45,$M$45,IF($U5=$N$46,$M$46,IF($U5=$N$47,$M$47,IF($U5=$N$48,$M$48,IF($U5=$N$49,$M$49,IF($U5=$N$50,$M$50,IF($U5=$N$51,$M$51,"")))))))))))))))&amp;" "&amp;IF($U5=$N$38,"(A)",IF($U5=$N$39,"(B)",IF($U5=$N$40,"(C)",IF($U5=$N$41,"(D)",IF($U5=$N$42,"(E)",IF($U5=$N$43,"(F)",IF($U5=$N$44,"(G)",IF($U5=$N$45,"(H)",IF($U5=$N$46,"(I)",IF($U5=$N$47,"(J)",IF($U5=$N$48,"(K)",IF($U5=$N$49,"(L)",IF($U5=$N$50,"(M)",IF($U5=$N$51,"(N)","")))))))))))))))</f>
        <v xml:space="preserve"> </v>
      </c>
      <c r="BV5" t="s">
        <v>48</v>
      </c>
    </row>
    <row r="6" spans="1:79" ht="18.75" customHeight="1" x14ac:dyDescent="0.35">
      <c r="A6" s="374"/>
      <c r="B6" s="162" t="s">
        <v>40</v>
      </c>
      <c r="C6" s="3" t="s">
        <v>49</v>
      </c>
      <c r="D6" s="76"/>
      <c r="E6" s="6" t="str">
        <f>_xlfn.XLOOKUP(F6, $C$100:$C$107, $D$100:$D$107, "Training")</f>
        <v>IF</v>
      </c>
      <c r="F6" s="7" t="s">
        <v>50</v>
      </c>
      <c r="G6" s="6" t="str">
        <f>_xlfn.XLOOKUP(H6, $C$100:$C$107, $D$100:$D$107, "Training")</f>
        <v>ECOM</v>
      </c>
      <c r="H6" s="7" t="s">
        <v>51</v>
      </c>
      <c r="I6" s="375"/>
      <c r="J6" s="375"/>
      <c r="K6" s="6" t="str">
        <f>_xlfn.XLOOKUP(L6, $C$100:$C$107, $D$100:$D$107, "Training")</f>
        <v>IT</v>
      </c>
      <c r="L6" s="7" t="s">
        <v>52</v>
      </c>
      <c r="M6" s="6" t="str">
        <f>_xlfn.XLOOKUP(N6, $C$100:$C$107, $D$100:$D$107, "Training")</f>
        <v>FMS</v>
      </c>
      <c r="N6" s="107" t="s">
        <v>53</v>
      </c>
      <c r="O6" s="69" t="str">
        <f t="shared" ref="O6:O10" si="17">IF(P6="",".",P6)</f>
        <v>.</v>
      </c>
      <c r="P6" s="13"/>
      <c r="Q6" s="331"/>
      <c r="R6" s="331"/>
      <c r="S6" s="331"/>
      <c r="U6" s="165" t="s">
        <v>54</v>
      </c>
      <c r="V6" s="9">
        <f t="shared" si="4"/>
        <v>3</v>
      </c>
      <c r="X6" s="176" t="str">
        <f t="shared" si="5"/>
        <v>(AG)</v>
      </c>
      <c r="Y6" s="20">
        <f t="shared" si="0"/>
        <v>0</v>
      </c>
      <c r="Z6" s="21">
        <f t="shared" si="1"/>
        <v>1</v>
      </c>
      <c r="AA6" s="21">
        <f t="shared" si="2"/>
        <v>0</v>
      </c>
      <c r="AB6" s="22">
        <f t="shared" si="3"/>
        <v>2</v>
      </c>
      <c r="AC6" s="178" t="str">
        <f t="shared" ref="AC6:AC9" si="18">CONCATENATE(IF($U6=$F$5,$E$5,IF($U6=$F$6,$E$6,IF($U6=$F$7,$E$7,IF($U6=$F$8,$E$8,IF($U6=$F$9,$E$9,IF($U6=$F$10,$E$10,IF($U6=$F$11,$E$11,IF($U6=$F$12,$E$12,IF($U6=$F$13,$E$13,IF($U6=$F$14,$E$14,IF($U6=$F$15,$E$15,IF($U6=$F$16,$E$16,IF($U6=$F$17,$E$17,"")))))))))))))&amp;" "&amp;IF($U6=$F$5,"(A)",IF($U6=$F$6,"(B)",IF($U6=$F$7,"(C)",IF($U6=$F$8,"(D)",IF($U6=$F$9,"(E)",IF($U6=$F$10,"(F)",IF($U6=$F$11,"(G)",IF($U6=$F$12,"(H)",IF($U6=$F$13,"(I)",IF($U6=$F$14,"(J)",IF($U6=$F$15,"(K)",IF($U6=$F$16,"(L)",IF($U6=$F$17,"(L)",""))))))))))))))</f>
        <v xml:space="preserve"> </v>
      </c>
      <c r="AD6" s="177" t="str">
        <f t="shared" si="6"/>
        <v xml:space="preserve"> </v>
      </c>
      <c r="AE6" s="177" t="str">
        <f t="shared" si="7"/>
        <v xml:space="preserve"> </v>
      </c>
      <c r="AF6" s="180" t="str">
        <f t="shared" si="8"/>
        <v xml:space="preserve"> </v>
      </c>
      <c r="AG6" s="178" t="str">
        <f t="shared" si="9"/>
        <v xml:space="preserve"> </v>
      </c>
      <c r="AH6" s="177" t="str">
        <f t="shared" si="10"/>
        <v xml:space="preserve"> </v>
      </c>
      <c r="AI6" s="177" t="str">
        <f t="shared" si="11"/>
        <v xml:space="preserve"> </v>
      </c>
      <c r="AJ6" s="180" t="str">
        <f t="shared" si="12"/>
        <v>EVS (C)</v>
      </c>
      <c r="AK6" s="178" t="str">
        <f t="shared" si="13"/>
        <v xml:space="preserve"> </v>
      </c>
      <c r="AL6" s="177" t="str">
        <f t="shared" si="14"/>
        <v>BM (G)</v>
      </c>
      <c r="AM6" s="177" t="str">
        <f t="shared" si="15"/>
        <v xml:space="preserve"> </v>
      </c>
      <c r="AN6" s="179" t="str">
        <f t="shared" si="16"/>
        <v>BM (N)</v>
      </c>
    </row>
    <row r="7" spans="1:79" ht="18.75" customHeight="1" x14ac:dyDescent="0.35">
      <c r="A7" s="374"/>
      <c r="B7" s="162" t="s">
        <v>40</v>
      </c>
      <c r="C7" s="3" t="s">
        <v>55</v>
      </c>
      <c r="D7" s="76"/>
      <c r="E7" s="6" t="str">
        <f>_xlfn.XLOOKUP(F7, $E$100:$E$107, $F$100:$F$107, "Training")</f>
        <v>ECOM</v>
      </c>
      <c r="F7" s="7" t="s">
        <v>56</v>
      </c>
      <c r="G7" s="6" t="str">
        <f>_xlfn.XLOOKUP(H7, $E$100:$E$107, $F$100:$F$107, "Training")</f>
        <v>MA</v>
      </c>
      <c r="H7" s="7" t="s">
        <v>57</v>
      </c>
      <c r="I7" s="375"/>
      <c r="J7" s="375"/>
      <c r="K7" s="6" t="str">
        <f>_xlfn.XLOOKUP(L7, $E$100:$E$107, $F$100:$F$107, "Training")</f>
        <v>IF</v>
      </c>
      <c r="L7" s="7" t="s">
        <v>58</v>
      </c>
      <c r="M7" s="6" t="str">
        <f>_xlfn.XLOOKUP(N7, $E$100:$E$107, $F$100:$F$107, "Training")</f>
        <v>IB</v>
      </c>
      <c r="N7" s="11" t="s">
        <v>43</v>
      </c>
      <c r="O7" s="69" t="str">
        <f t="shared" si="17"/>
        <v>.</v>
      </c>
      <c r="P7" s="13"/>
      <c r="Q7" s="331"/>
      <c r="R7" s="331"/>
      <c r="S7" s="331"/>
      <c r="U7" s="165" t="s">
        <v>59</v>
      </c>
      <c r="V7" s="9">
        <f t="shared" si="4"/>
        <v>0</v>
      </c>
      <c r="X7" s="176" t="str">
        <f t="shared" si="5"/>
        <v>(ANU)</v>
      </c>
      <c r="Y7" s="20">
        <f t="shared" si="0"/>
        <v>0</v>
      </c>
      <c r="Z7" s="21">
        <f t="shared" si="1"/>
        <v>0</v>
      </c>
      <c r="AA7" s="21">
        <f t="shared" si="2"/>
        <v>0</v>
      </c>
      <c r="AB7" s="22">
        <f t="shared" si="3"/>
        <v>0</v>
      </c>
      <c r="AC7" s="178" t="str">
        <f t="shared" si="18"/>
        <v xml:space="preserve"> </v>
      </c>
      <c r="AD7" s="177" t="str">
        <f t="shared" si="6"/>
        <v xml:space="preserve"> </v>
      </c>
      <c r="AE7" s="177" t="str">
        <f t="shared" si="7"/>
        <v xml:space="preserve"> </v>
      </c>
      <c r="AF7" s="180" t="str">
        <f t="shared" si="8"/>
        <v xml:space="preserve"> </v>
      </c>
      <c r="AG7" s="178" t="str">
        <f t="shared" si="9"/>
        <v xml:space="preserve"> </v>
      </c>
      <c r="AH7" s="177" t="str">
        <f t="shared" si="10"/>
        <v xml:space="preserve"> </v>
      </c>
      <c r="AI7" s="177" t="str">
        <f t="shared" si="11"/>
        <v xml:space="preserve"> </v>
      </c>
      <c r="AJ7" s="180" t="str">
        <f t="shared" si="12"/>
        <v xml:space="preserve"> </v>
      </c>
      <c r="AK7" s="178" t="str">
        <f t="shared" si="13"/>
        <v xml:space="preserve"> </v>
      </c>
      <c r="AL7" s="177" t="str">
        <f t="shared" si="14"/>
        <v xml:space="preserve"> </v>
      </c>
      <c r="AM7" s="177" t="str">
        <f t="shared" si="15"/>
        <v xml:space="preserve"> </v>
      </c>
      <c r="AN7" s="179" t="str">
        <f t="shared" si="16"/>
        <v xml:space="preserve"> </v>
      </c>
    </row>
    <row r="8" spans="1:79" ht="18.75" customHeight="1" x14ac:dyDescent="0.35">
      <c r="A8" s="374"/>
      <c r="B8" s="162" t="s">
        <v>40</v>
      </c>
      <c r="C8" s="3" t="s">
        <v>37</v>
      </c>
      <c r="D8" s="76"/>
      <c r="E8" s="6" t="str">
        <f>_xlfn.XLOOKUP(F8, $G$100:$G$107, $H$100:$H$107, "Training")</f>
        <v>FMS</v>
      </c>
      <c r="F8" s="7" t="s">
        <v>43</v>
      </c>
      <c r="G8" s="6" t="str">
        <f>_xlfn.XLOOKUP(H8, $G$100:$G$107, $H$100:$H$107, "Training")</f>
        <v>IT</v>
      </c>
      <c r="H8" s="7" t="s">
        <v>50</v>
      </c>
      <c r="I8" s="375"/>
      <c r="J8" s="375"/>
      <c r="K8" s="6" t="str">
        <f>_xlfn.XLOOKUP(L8, $G$100:$G$107, $H$100:$H$107, "Training")</f>
        <v>MA</v>
      </c>
      <c r="L8" s="7" t="s">
        <v>60</v>
      </c>
      <c r="M8" s="6" t="str">
        <f>_xlfn.XLOOKUP(N8, $G$100:$G$107, $H$100:$H$107, "Training")</f>
        <v>AA</v>
      </c>
      <c r="N8" s="11" t="s">
        <v>45</v>
      </c>
      <c r="O8" s="69" t="str">
        <f t="shared" si="17"/>
        <v>.</v>
      </c>
      <c r="P8" s="13"/>
      <c r="Q8" s="331"/>
      <c r="R8" s="331"/>
      <c r="S8" s="331"/>
      <c r="U8" s="165" t="s">
        <v>61</v>
      </c>
      <c r="V8" s="9">
        <f t="shared" si="4"/>
        <v>3</v>
      </c>
      <c r="X8" s="176" t="str">
        <f t="shared" si="5"/>
        <v>(AS)</v>
      </c>
      <c r="Y8" s="20">
        <f t="shared" si="0"/>
        <v>1</v>
      </c>
      <c r="Z8" s="21">
        <f t="shared" si="1"/>
        <v>1</v>
      </c>
      <c r="AA8" s="21">
        <f t="shared" si="2"/>
        <v>1</v>
      </c>
      <c r="AB8" s="22">
        <f t="shared" si="3"/>
        <v>0</v>
      </c>
      <c r="AC8" s="178" t="str">
        <f t="shared" si="18"/>
        <v xml:space="preserve"> </v>
      </c>
      <c r="AD8" s="177" t="str">
        <f t="shared" si="6"/>
        <v xml:space="preserve"> </v>
      </c>
      <c r="AE8" s="177" t="str">
        <f t="shared" si="7"/>
        <v xml:space="preserve"> </v>
      </c>
      <c r="AF8" s="180" t="str">
        <f t="shared" si="8"/>
        <v xml:space="preserve"> </v>
      </c>
      <c r="AG8" s="178" t="str">
        <f>CONCATENATE(IF($U8=$F$21,$E$21,IF($U8=$F$22,$E$22,IF($U8=$F$23,$E$23,IF($U8=$F$24,$E$24,IF($U8=$F$25,$E$25,IF($U8=$F$26,$E$26,IF($U8=$F$27,$E$27,IF($U8=$F$28,$E$28,IF($U8=$F$29,$E$29,IF($U8=$F$30,$E$30,IF($U8=$F$31,$E$31,IF($U8=$F$32,$E$32,IF($U8=$F$33,$E$33,IF($U8=$F$34,$E$34,"")))))))))))))&amp;" "&amp;(IF($U8=$F$21,"(A)",IF($U8=$F$22,"(B)",IF($U8=$F$23,"(C)",IF($U8=$F$24,"(D)",IF($U8=$F$25,"(E)",IF($U8=$F$26,"(F)",IF($U8=$F$27,"(G)",IF($U8=$F$28,"(H)",IF($U8=$F$29,"(I)",IF($U8=$F$30,"(J)",IF($U8=$D$63,"(K)",IF($U8=$F$32,"(L)",IF($U8=$F$33,"(M)",IF($U8=$F$34,"(N)","")))))))))))))))))</f>
        <v xml:space="preserve">HR </v>
      </c>
      <c r="AH8" s="177" t="str">
        <f t="shared" si="10"/>
        <v xml:space="preserve"> </v>
      </c>
      <c r="AI8" s="177" t="str">
        <f t="shared" si="11"/>
        <v>HR (G)</v>
      </c>
      <c r="AJ8" s="180" t="str">
        <f t="shared" si="12"/>
        <v xml:space="preserve"> </v>
      </c>
      <c r="AK8" s="178" t="str">
        <f t="shared" si="13"/>
        <v xml:space="preserve"> </v>
      </c>
      <c r="AL8" s="177" t="str">
        <f t="shared" si="14"/>
        <v>BM (A)</v>
      </c>
      <c r="AM8" s="177" t="str">
        <f t="shared" si="15"/>
        <v xml:space="preserve"> </v>
      </c>
      <c r="AN8" s="179" t="str">
        <f t="shared" si="16"/>
        <v xml:space="preserve"> </v>
      </c>
    </row>
    <row r="9" spans="1:79" ht="18.75" customHeight="1" thickBot="1" x14ac:dyDescent="0.4">
      <c r="A9" s="374"/>
      <c r="B9" s="162" t="s">
        <v>40</v>
      </c>
      <c r="C9" s="3" t="s">
        <v>38</v>
      </c>
      <c r="D9" s="76"/>
      <c r="E9" s="6" t="str">
        <f>_xlfn.XLOOKUP(F9, $I$100:$I$107, $J$100:$J$107, "Training")</f>
        <v>IT</v>
      </c>
      <c r="F9" s="7" t="s">
        <v>47</v>
      </c>
      <c r="G9" s="6" t="str">
        <f>_xlfn.XLOOKUP(H9, $I$100:$I$107, $J$100:$J$107, "Training")</f>
        <v>MA</v>
      </c>
      <c r="H9" s="7" t="s">
        <v>42</v>
      </c>
      <c r="I9" s="375"/>
      <c r="J9" s="375"/>
      <c r="K9" s="6" t="str">
        <f>_xlfn.XLOOKUP(L9, $I$100:$I$107, $J$100:$J$107, "Training")</f>
        <v>ECOM</v>
      </c>
      <c r="L9" s="7" t="s">
        <v>62</v>
      </c>
      <c r="M9" s="6" t="str">
        <f>_xlfn.XLOOKUP(N9, $I$100:$I$107, $J$100:$J$107, "Training")</f>
        <v>IB</v>
      </c>
      <c r="N9" s="11" t="s">
        <v>63</v>
      </c>
      <c r="O9" s="65" t="str">
        <f t="shared" si="17"/>
        <v>.</v>
      </c>
      <c r="P9" s="14"/>
      <c r="Q9" s="331"/>
      <c r="R9" s="331"/>
      <c r="S9" s="331"/>
      <c r="T9" s="87"/>
      <c r="U9" s="165" t="s">
        <v>46</v>
      </c>
      <c r="V9" s="9">
        <f t="shared" ref="V9:V31" si="19">SUM(COUNTIF($E$5:$N$55,U9),IF(T9&lt;&gt;0,COUNTIF($E$5:$N$55,T9),0),IF(S9&lt;&gt;0,COUNTIF($E$5:$N$55,S9),0))</f>
        <v>2</v>
      </c>
      <c r="X9" s="176" t="str">
        <f t="shared" si="5"/>
        <v>(AV)</v>
      </c>
      <c r="Y9" s="20">
        <f t="shared" si="0"/>
        <v>1</v>
      </c>
      <c r="Z9" s="21">
        <f t="shared" si="1"/>
        <v>0</v>
      </c>
      <c r="AA9" s="21">
        <f t="shared" si="2"/>
        <v>1</v>
      </c>
      <c r="AB9" s="22">
        <f t="shared" si="3"/>
        <v>0</v>
      </c>
      <c r="AC9" s="178" t="str">
        <f t="shared" si="18"/>
        <v>IB (L)</v>
      </c>
      <c r="AD9" s="177" t="str">
        <f t="shared" si="6"/>
        <v xml:space="preserve"> </v>
      </c>
      <c r="AE9" s="177" t="str">
        <f t="shared" si="7"/>
        <v>MIP (J)</v>
      </c>
      <c r="AF9" s="180" t="str">
        <f t="shared" si="8"/>
        <v xml:space="preserve"> </v>
      </c>
      <c r="AG9" s="178" t="str">
        <f t="shared" si="9"/>
        <v xml:space="preserve"> </v>
      </c>
      <c r="AH9" s="177" t="str">
        <f t="shared" si="10"/>
        <v xml:space="preserve"> </v>
      </c>
      <c r="AI9" s="177" t="str">
        <f t="shared" si="11"/>
        <v xml:space="preserve"> </v>
      </c>
      <c r="AJ9" s="180" t="str">
        <f t="shared" si="12"/>
        <v xml:space="preserve"> </v>
      </c>
      <c r="AK9" s="178" t="str">
        <f t="shared" si="13"/>
        <v xml:space="preserve"> </v>
      </c>
      <c r="AL9" s="177" t="str">
        <f t="shared" si="14"/>
        <v xml:space="preserve"> </v>
      </c>
      <c r="AM9" s="177" t="str">
        <f t="shared" si="15"/>
        <v xml:space="preserve"> </v>
      </c>
      <c r="AN9" s="179" t="str">
        <f t="shared" si="16"/>
        <v xml:space="preserve"> </v>
      </c>
    </row>
    <row r="10" spans="1:79" ht="18.75" customHeight="1" thickBot="1" x14ac:dyDescent="0.4">
      <c r="A10" s="374"/>
      <c r="B10" s="162" t="s">
        <v>64</v>
      </c>
      <c r="C10" s="3" t="s">
        <v>65</v>
      </c>
      <c r="D10" s="76"/>
      <c r="E10" s="6" t="str">
        <f>_xlfn.XLOOKUP(F10, $K$100:$K$107, $L$100:$L$107, "Training")</f>
        <v>AA</v>
      </c>
      <c r="F10" s="7" t="s">
        <v>53</v>
      </c>
      <c r="G10" s="6" t="str">
        <f>_xlfn.XLOOKUP(H10, $K$100:$K$107, $L$100:$L$107, "Training")</f>
        <v>IT</v>
      </c>
      <c r="H10" s="7" t="s">
        <v>52</v>
      </c>
      <c r="I10" s="375"/>
      <c r="J10" s="375"/>
      <c r="K10" s="6" t="str">
        <f>_xlfn.XLOOKUP(L10, $K$100:$K$107, $L$100:$L$107, "Training")</f>
        <v>FMS</v>
      </c>
      <c r="L10" s="7" t="s">
        <v>66</v>
      </c>
      <c r="M10" s="6" t="str">
        <f>_xlfn.XLOOKUP(N10, $K$100:$K$107, $L$100:$L$107, "Training")</f>
        <v>IF</v>
      </c>
      <c r="N10" s="11" t="s">
        <v>58</v>
      </c>
      <c r="O10" s="182" t="str">
        <f t="shared" si="17"/>
        <v>Unplanned</v>
      </c>
      <c r="P10" s="32" t="s">
        <v>67</v>
      </c>
      <c r="Q10" s="331"/>
      <c r="R10" s="331"/>
      <c r="S10" s="331"/>
      <c r="U10" s="165" t="s">
        <v>56</v>
      </c>
      <c r="V10" s="9">
        <f t="shared" si="19"/>
        <v>3</v>
      </c>
      <c r="X10" s="176" t="str">
        <f t="shared" si="5"/>
        <v>(AW)</v>
      </c>
      <c r="Y10" s="20">
        <f t="shared" si="0"/>
        <v>2</v>
      </c>
      <c r="Z10" s="21">
        <f t="shared" si="1"/>
        <v>0</v>
      </c>
      <c r="AA10" s="21">
        <f t="shared" si="2"/>
        <v>1</v>
      </c>
      <c r="AB10" s="22">
        <f t="shared" si="3"/>
        <v>0</v>
      </c>
      <c r="AC10" s="178" t="str">
        <f>CONCATENATE(IF($U10=$F$5,$E$5,IF($U10=$F$6,$E$6,IF($U10=$F$7,$E$7,IF($U10=$F$8,$E$8,IF($U10=$F$9,$E$9,IF($U10=$F$10,$E$10,IF($U10=$F$11,$E$11,IF($U10=$F$12,$E$12,IF($U10=$F$13,$E$13,IF($U10=$F$14,$E$14,IF($U10=$F$15,$E$15,IF($U10=$F$16,$E$16,IF($U10=$F$17,$E$17,"")))))))))))))&amp;" "&amp;IF($U10=$F$5,"(A)",IF($U10=$F$6,"(B)",IF($U10=$F$7,"(C)",IF($U10=$F$8,"(D)",IF($U10=$F$9,"(E)",IF($U10=$F$10,"(F)",IF($U10=$F$11,"(G)",IF($U10=$F$12,"(H)",IF($U10=$F$13,"(I)",IF($U10=$F$14,"(J)",IF($U10=$F$15,"(K)",IF($U10=$F$16,"(L)",IF($U10=$F$17,"(L)",""))))))))))))))</f>
        <v>ECOM (C)</v>
      </c>
      <c r="AD10" s="177" t="str">
        <f>CONCATENATE(IF($U10=$H$5,$G$5,IF($U10=$H$6,$G$6,IF($U10=$H$7,$G$7,IF($U10=$H$8,$G$8,IF($U10=$H$9,$G$9,IF($U10=$H$10,$G$10,IF($U10=$H$11,$G$11,IF($U10=$H$12,$G$12,IF($U10=$H$13,$G$13,IF($U10=$H$14,$G$14,IF($U10=$H$15,$G$15,IF($U10=$H$16,$G$16,IF($U10=$H$17,$G$17,"")))))))))))))&amp;" "&amp;IF($U10=$H$5,"(A)",IF($U10=$H$6,"(B)",IF($U10=$H$7,"(C)",IF($U10=$H$8,"(D)",IF($U10=$H$9,"(E)",IF($U10=$H$10,"(F)",IF($U10=$H$11,"(G)",IF($U10=$H$12,"(H)",IF($U10=$H$13,"(I)",IF($U10=$H$14,"(J)",IF($U10=$H$15,"(K)",IF($U10=$H$16,"(L)",IF($U10=$H$17,"(L)",""))))))))))))))</f>
        <v xml:space="preserve"> </v>
      </c>
      <c r="AE10" s="177" t="str">
        <f>CONCATENATE(IF($U10=$L$5,$K$5,IF($U10=$L$6,$K$6,IF($U10=$L$7,$K$7,IF($U10=$L$8,$K$8,IF($U10=$L$9,$K$9,IF($U10=$L$10,$K$10,IF($U10=$L$11,$K$11,IF($U10=$L$12,$K$12,IF($U10=$L$13,$K$13,IF($U10=$L$14,$K$14,IF($U10=$L$15,$K$15,IF($U10=$L$16,$K$16,IF($U10=$L$17,$K$17,"")))))))))))))&amp;" "&amp;IF($U10=$L$5,"(A)",IF($U10=$L$6,"(B)",IF($U10=$L$7,"(C)",IF($U10=$L$8,"(D)",IF($U10=$L$9,"(E)",IF($U10=$L$10,"(F)",IF($U10=$L$11,"(G)",IF($U10=$L$12,"(H)",IF($U10=$L$13,"(I)",IF($U10=$L$14,"(J)",IF($U10=$L$15,"(K)",IF($U10=$L$16,"(L)",IF($U10=$L$17,"(L)",""))))))))))))))</f>
        <v xml:space="preserve"> </v>
      </c>
      <c r="AF10" s="180" t="str">
        <f>CONCATENATE(IF($U10=$N$5,$M$5,IF($U10=$N$6,$M$6,IF($U10=$N$7,$M$7,IF($U10=$N$8,$M$8,IF($U10=$N$9,$M$9,IF($U10=$N$10,$M$10,IF($U10=$N$11,$M$11,IF($U10=$N$12,$M$12,IF($U10=$N$13,$M$13,IF($U10=$N$14,$M$14,IF($U10=$N$15,$M$15,IF($U10=$N$16,$M$16,IF($U10=$N$17,$M$17,"")))))))))))))&amp;" "&amp;(IF($U10=$N$5,"(A)",IF($U10=$N$6,"(B)",IF($U10=$N$7,"(C)",IF($U10=$N$8,"(D)",IF($U10=$N$9,"(E)",IF($U10=$N$10,"(F)",IF($U10=$N$11,"(G)",IF($U10=$N$12,"(H)",IF($U10=$N$13,"(I)",IF($U10=$N$14,"(J)",IF($U10=$N$15,"(K)",IF($U10=$N$16,"(L)",IF($U10=$N$17,"(L)","")))))))))))))))</f>
        <v xml:space="preserve"> </v>
      </c>
      <c r="AG10" s="178" t="str">
        <f t="shared" si="9"/>
        <v xml:space="preserve"> </v>
      </c>
      <c r="AH10" s="177" t="str">
        <f t="shared" si="10"/>
        <v xml:space="preserve"> </v>
      </c>
      <c r="AI10" s="177" t="str">
        <f t="shared" si="11"/>
        <v xml:space="preserve"> </v>
      </c>
      <c r="AJ10" s="180" t="str">
        <f t="shared" si="12"/>
        <v xml:space="preserve"> </v>
      </c>
      <c r="AK10" s="178" t="str">
        <f t="shared" si="13"/>
        <v>BT (K)</v>
      </c>
      <c r="AL10" s="177" t="str">
        <f t="shared" si="14"/>
        <v xml:space="preserve"> </v>
      </c>
      <c r="AM10" s="177" t="str">
        <f t="shared" si="15"/>
        <v>BT (A)</v>
      </c>
      <c r="AN10" s="179" t="str">
        <f t="shared" si="16"/>
        <v xml:space="preserve"> </v>
      </c>
    </row>
    <row r="11" spans="1:79" ht="18.75" customHeight="1" x14ac:dyDescent="0.35">
      <c r="A11" s="374"/>
      <c r="B11" s="19" t="s">
        <v>68</v>
      </c>
      <c r="C11" s="98" t="s">
        <v>69</v>
      </c>
      <c r="D11" s="76"/>
      <c r="E11" s="6" t="str">
        <f>_xlfn.XLOOKUP(F11, $M$100:$M$107, $N$100:$N$107, "Training")</f>
        <v>MIP</v>
      </c>
      <c r="F11" s="7" t="s">
        <v>62</v>
      </c>
      <c r="G11" s="6" t="str">
        <f>_xlfn.XLOOKUP(H11, $M$100:$M$107, $N$100:$N$107, "Training")</f>
        <v>MA</v>
      </c>
      <c r="H11" s="7" t="s">
        <v>66</v>
      </c>
      <c r="I11" s="375"/>
      <c r="J11" s="375"/>
      <c r="K11" s="6" t="str">
        <f>_xlfn.XLOOKUP(L11, $M$100:$M$107, $N$100:$N$107, "Training")</f>
        <v>ECOM</v>
      </c>
      <c r="L11" s="7" t="s">
        <v>51</v>
      </c>
      <c r="M11" s="6" t="str">
        <f>_xlfn.XLOOKUP(N11, $M$100:$M$107, $N$100:$N$107, "Training")</f>
        <v>CB</v>
      </c>
      <c r="N11" s="11" t="s">
        <v>70</v>
      </c>
      <c r="O11" s="68" t="str">
        <f>IF(P11="",".",P11)</f>
        <v>.</v>
      </c>
      <c r="P11" s="12"/>
      <c r="Q11" s="331"/>
      <c r="R11" s="331"/>
      <c r="S11" s="331"/>
      <c r="U11" s="165" t="s">
        <v>71</v>
      </c>
      <c r="V11" s="9">
        <f t="shared" si="19"/>
        <v>3</v>
      </c>
      <c r="X11" s="176" t="str">
        <f t="shared" si="5"/>
        <v>(BB)</v>
      </c>
      <c r="Y11" s="20">
        <f t="shared" si="0"/>
        <v>1</v>
      </c>
      <c r="Z11" s="21">
        <f t="shared" si="1"/>
        <v>0</v>
      </c>
      <c r="AA11" s="21">
        <f t="shared" si="2"/>
        <v>0</v>
      </c>
      <c r="AB11" s="22">
        <f t="shared" si="3"/>
        <v>2</v>
      </c>
      <c r="AC11" s="178" t="str">
        <f t="shared" ref="AC11:AC62" si="20">CONCATENATE(IF($U11=$F$5,$E$5,IF($U11=$F$6,$E$6,IF($U11=$F$7,$E$7,IF($U11=$F$8,$E$8,IF($U11=$F$9,$E$9,IF($U11=$F$10,$E$10,IF($U11=$F$11,$E$11,IF($U11=$F$12,$E$12,IF($U11=$F$13,$E$13,IF($U11=$F$14,$E$14,IF($U11=$F$15,$E$15,IF($U11=$F$16,$E$16,IF($U11=$F$17,$E$17,"")))))))))))))&amp;" "&amp;IF($U11=$F$5,"(A)",IF($U11=$F$6,"(B)",IF($U11=$F$7,"(C)",IF($U11=$F$8,"(D)",IF($U11=$F$9,"(E)",IF($U11=$F$10,"(F)",IF($U11=$F$11,"(G)",IF($U11=$F$12,"(H)",IF($U11=$F$13,"(I)",IF($U11=$F$14,"(J)",IF($U11=$F$15,"(K)",IF($U11=$F$16,"(L)",IF($U11=$F$17,"(L)",""))))))))))))))</f>
        <v xml:space="preserve"> </v>
      </c>
      <c r="AD11" s="177" t="str">
        <f t="shared" ref="AD11:AD62" si="21">CONCATENATE(IF($U11=$H$5,$G$5,IF($U11=$H$6,$G$6,IF($U11=$H$7,$G$7,IF($U11=$H$8,$G$8,IF($U11=$H$9,$G$9,IF($U11=$H$10,$G$10,IF($U11=$H$11,$G$11,IF($U11=$H$12,$G$12,IF($U11=$H$13,$G$13,IF($U11=$H$14,$G$14,IF($U11=$H$15,$G$15,IF($U11=$H$16,$G$16,IF($U11=$H$17,$G$17,"")))))))))))))&amp;" "&amp;IF($U11=$H$5,"(A)",IF($U11=$H$6,"(B)",IF($U11=$H$7,"(C)",IF($U11=$H$8,"(D)",IF($U11=$H$9,"(E)",IF($U11=$H$10,"(F)",IF($U11=$H$11,"(G)",IF($U11=$H$12,"(H)",IF($U11=$H$13,"(I)",IF($U11=$H$14,"(J)",IF($U11=$H$15,"(K)",IF($U11=$H$16,"(L)",IF($U11=$H$17,"(L)",""))))))))))))))</f>
        <v xml:space="preserve"> </v>
      </c>
      <c r="AE11" s="177" t="str">
        <f t="shared" ref="AE11:AE62" si="22">CONCATENATE(IF($U11=$L$5,$K$5,IF($U11=$L$6,$K$6,IF($U11=$L$7,$K$7,IF($U11=$L$8,$K$8,IF($U11=$L$9,$K$9,IF($U11=$L$10,$K$10,IF($U11=$L$11,$K$11,IF($U11=$L$12,$K$12,IF($U11=$L$13,$K$13,IF($U11=$L$14,$K$14,IF($U11=$L$15,$K$15,IF($U11=$L$16,$K$16,IF($U11=$L$17,$K$17,"")))))))))))))&amp;" "&amp;IF($U11=$L$5,"(A)",IF($U11=$L$6,"(B)",IF($U11=$L$7,"(C)",IF($U11=$L$8,"(D)",IF($U11=$L$9,"(E)",IF($U11=$L$10,"(F)",IF($U11=$L$11,"(G)",IF($U11=$L$12,"(H)",IF($U11=$L$13,"(I)",IF($U11=$L$14,"(J)",IF($U11=$L$15,"(K)",IF($U11=$L$16,"(L)",IF($U11=$L$17,"(L)",""))))))))))))))</f>
        <v xml:space="preserve"> </v>
      </c>
      <c r="AF11" s="180" t="str">
        <f t="shared" ref="AF11:AF62" si="23">CONCATENATE(IF($U11=$N$5,$M$5,IF($U11=$N$6,$M$6,IF($U11=$N$7,$M$7,IF($U11=$N$8,$M$8,IF($U11=$N$9,$M$9,IF($U11=$N$10,$M$10,IF($U11=$N$11,$M$11,IF($U11=$N$12,$M$12,IF($U11=$N$13,$M$13,IF($U11=$N$14,$M$14,IF($U11=$N$15,$M$15,IF($U11=$N$16,$M$16,IF($U11=$N$17,$M$17,"")))))))))))))&amp;" "&amp;(IF($U11=$N$5,"(A)",IF($U11=$N$6,"(B)",IF($U11=$N$7,"(C)",IF($U11=$N$8,"(D)",IF($U11=$N$9,"(E)",IF($U11=$N$10,"(F)",IF($U11=$N$11,"(G)",IF($U11=$N$12,"(H)",IF($U11=$N$13,"(I)",IF($U11=$N$14,"(J)",IF($U11=$N$15,"(K)",IF($U11=$N$16,"(L)",IF($U11=$N$17,"(L)","")))))))))))))))</f>
        <v>ECOM (L)</v>
      </c>
      <c r="AG11" s="178" t="str">
        <f t="shared" si="9"/>
        <v xml:space="preserve"> </v>
      </c>
      <c r="AH11" s="177" t="str">
        <f t="shared" si="10"/>
        <v xml:space="preserve"> </v>
      </c>
      <c r="AI11" s="177" t="str">
        <f t="shared" si="11"/>
        <v xml:space="preserve"> </v>
      </c>
      <c r="AJ11" s="180" t="str">
        <f t="shared" si="12"/>
        <v xml:space="preserve"> </v>
      </c>
      <c r="AK11" s="178" t="str">
        <f t="shared" si="13"/>
        <v>QT (G)</v>
      </c>
      <c r="AL11" s="177" t="str">
        <f t="shared" si="14"/>
        <v xml:space="preserve"> </v>
      </c>
      <c r="AM11" s="177" t="str">
        <f t="shared" si="15"/>
        <v xml:space="preserve"> </v>
      </c>
      <c r="AN11" s="179" t="str">
        <f t="shared" si="16"/>
        <v>QT (C)</v>
      </c>
    </row>
    <row r="12" spans="1:79" ht="18.75" customHeight="1" x14ac:dyDescent="0.35">
      <c r="A12" s="374"/>
      <c r="B12" s="19" t="s">
        <v>68</v>
      </c>
      <c r="C12" s="98" t="s">
        <v>72</v>
      </c>
      <c r="D12" s="76"/>
      <c r="E12" s="6" t="str">
        <f>_xlfn.XLOOKUP(F12, $O$100:$O$107, $P$100:$P$107, "Training")</f>
        <v>ECOM</v>
      </c>
      <c r="F12" s="7" t="s">
        <v>51</v>
      </c>
      <c r="G12" s="6" t="str">
        <f>_xlfn.XLOOKUP(H12, $O$100:$O$107, $P$100:$P$107, "Training")</f>
        <v>MIP</v>
      </c>
      <c r="H12" s="7" t="s">
        <v>73</v>
      </c>
      <c r="I12" s="375"/>
      <c r="J12" s="375"/>
      <c r="K12" s="6" t="str">
        <f>_xlfn.XLOOKUP(L12, $O$100:$O$107, $P$100:$P$107, "Training")</f>
        <v>IT</v>
      </c>
      <c r="L12" s="7" t="s">
        <v>50</v>
      </c>
      <c r="M12" s="6" t="str">
        <f>_xlfn.XLOOKUP(N12, $O$100:$O$107, $P$100:$P$107, "Training")</f>
        <v>CB</v>
      </c>
      <c r="N12" s="11" t="s">
        <v>74</v>
      </c>
      <c r="O12" s="69" t="str">
        <f t="shared" ref="O12:O18" si="24">IF(P12="",".",P12)</f>
        <v>.</v>
      </c>
      <c r="P12" s="13"/>
      <c r="Q12" s="331"/>
      <c r="R12" s="331"/>
      <c r="S12" s="331"/>
      <c r="U12" s="165" t="s">
        <v>75</v>
      </c>
      <c r="V12" s="9">
        <f t="shared" si="19"/>
        <v>3</v>
      </c>
      <c r="X12" s="176" t="str">
        <f t="shared" si="5"/>
        <v>(BD)</v>
      </c>
      <c r="Y12" s="20">
        <f t="shared" si="0"/>
        <v>1</v>
      </c>
      <c r="Z12" s="21">
        <f t="shared" si="1"/>
        <v>1</v>
      </c>
      <c r="AA12" s="21">
        <f t="shared" si="2"/>
        <v>0</v>
      </c>
      <c r="AB12" s="22">
        <f t="shared" si="3"/>
        <v>1</v>
      </c>
      <c r="AC12" s="178" t="str">
        <f t="shared" si="20"/>
        <v xml:space="preserve"> </v>
      </c>
      <c r="AD12" s="177" t="str">
        <f t="shared" si="21"/>
        <v xml:space="preserve"> </v>
      </c>
      <c r="AE12" s="177" t="str">
        <f t="shared" si="22"/>
        <v xml:space="preserve"> </v>
      </c>
      <c r="AF12" s="180" t="str">
        <f t="shared" si="23"/>
        <v xml:space="preserve"> </v>
      </c>
      <c r="AG12" s="178" t="str">
        <f t="shared" si="9"/>
        <v xml:space="preserve"> </v>
      </c>
      <c r="AH12" s="177" t="str">
        <f t="shared" si="10"/>
        <v xml:space="preserve"> </v>
      </c>
      <c r="AI12" s="177" t="str">
        <f t="shared" si="11"/>
        <v xml:space="preserve"> </v>
      </c>
      <c r="AJ12" s="180" t="str">
        <f t="shared" si="12"/>
        <v>HR (N)</v>
      </c>
      <c r="AK12" s="178" t="str">
        <f t="shared" si="13"/>
        <v>QT (J)</v>
      </c>
      <c r="AL12" s="177" t="str">
        <f t="shared" si="14"/>
        <v>QT (K)</v>
      </c>
      <c r="AM12" s="177" t="str">
        <f t="shared" si="15"/>
        <v xml:space="preserve"> </v>
      </c>
      <c r="AN12" s="179" t="str">
        <f t="shared" si="16"/>
        <v xml:space="preserve"> </v>
      </c>
    </row>
    <row r="13" spans="1:79" ht="18.75" customHeight="1" x14ac:dyDescent="0.35">
      <c r="A13" s="374"/>
      <c r="B13" s="19" t="s">
        <v>68</v>
      </c>
      <c r="C13" s="98" t="s">
        <v>76</v>
      </c>
      <c r="D13" s="76"/>
      <c r="E13" s="6" t="str">
        <f>_xlfn.XLOOKUP(F13, $Q$100:$Q$107, $R$100:$R$107, "Training")</f>
        <v>MA</v>
      </c>
      <c r="F13" s="7" t="s">
        <v>66</v>
      </c>
      <c r="G13" s="6" t="str">
        <f>_xlfn.XLOOKUP(H13, $Q$100:$Q$107, $R$100:$R$107, "Training")</f>
        <v>IT</v>
      </c>
      <c r="H13" s="7" t="s">
        <v>45</v>
      </c>
      <c r="I13" s="375"/>
      <c r="J13" s="375"/>
      <c r="K13" s="6" t="str">
        <f>_xlfn.XLOOKUP(L13, $Q$100:$Q$107, $R$100:$R$107, "Training")</f>
        <v>MIP</v>
      </c>
      <c r="L13" s="7" t="s">
        <v>73</v>
      </c>
      <c r="M13" s="6" t="str">
        <f>_xlfn.XLOOKUP(N13, $Q$100:$Q$107, $R$100:$R$107, "Training")</f>
        <v>RM</v>
      </c>
      <c r="N13" s="11" t="s">
        <v>47</v>
      </c>
      <c r="O13" s="69" t="str">
        <f t="shared" si="24"/>
        <v>.</v>
      </c>
      <c r="P13" s="13"/>
      <c r="Q13" s="331"/>
      <c r="R13" s="331"/>
      <c r="S13" s="331"/>
      <c r="U13" s="165" t="s">
        <v>77</v>
      </c>
      <c r="V13" s="9">
        <f t="shared" si="19"/>
        <v>4</v>
      </c>
      <c r="X13" s="176" t="str">
        <f t="shared" si="5"/>
        <v>(CG)</v>
      </c>
      <c r="Y13" s="20">
        <f t="shared" si="0"/>
        <v>0</v>
      </c>
      <c r="Z13" s="21">
        <f t="shared" si="1"/>
        <v>1</v>
      </c>
      <c r="AA13" s="21">
        <f t="shared" si="2"/>
        <v>1</v>
      </c>
      <c r="AB13" s="22">
        <f t="shared" si="3"/>
        <v>2</v>
      </c>
      <c r="AC13" s="178" t="str">
        <f t="shared" si="20"/>
        <v xml:space="preserve"> </v>
      </c>
      <c r="AD13" s="177" t="str">
        <f t="shared" si="21"/>
        <v xml:space="preserve"> </v>
      </c>
      <c r="AE13" s="177" t="str">
        <f t="shared" si="22"/>
        <v xml:space="preserve"> </v>
      </c>
      <c r="AF13" s="180" t="str">
        <f t="shared" si="23"/>
        <v xml:space="preserve"> </v>
      </c>
      <c r="AG13" s="178" t="str">
        <f t="shared" si="9"/>
        <v xml:space="preserve"> </v>
      </c>
      <c r="AH13" s="177" t="str">
        <f t="shared" si="10"/>
        <v xml:space="preserve"> </v>
      </c>
      <c r="AI13" s="177" t="str">
        <f t="shared" si="11"/>
        <v xml:space="preserve"> </v>
      </c>
      <c r="AJ13" s="180" t="str">
        <f t="shared" si="12"/>
        <v xml:space="preserve"> </v>
      </c>
      <c r="AK13" s="178" t="str">
        <f t="shared" si="13"/>
        <v xml:space="preserve"> </v>
      </c>
      <c r="AL13" s="177" t="str">
        <f t="shared" si="14"/>
        <v>GE (I)</v>
      </c>
      <c r="AM13" s="177" t="str">
        <f t="shared" si="15"/>
        <v xml:space="preserve"> </v>
      </c>
      <c r="AN13" s="179" t="str">
        <f t="shared" si="16"/>
        <v>GE (E)</v>
      </c>
    </row>
    <row r="14" spans="1:79" ht="18.75" customHeight="1" thickBot="1" x14ac:dyDescent="0.4">
      <c r="A14" s="374"/>
      <c r="B14" s="19" t="s">
        <v>78</v>
      </c>
      <c r="C14" s="98" t="s">
        <v>79</v>
      </c>
      <c r="D14" s="76"/>
      <c r="E14" s="6" t="str">
        <f>_xlfn.XLOOKUP(F14, $S$100:$S$107, $T$100:$T$107, "Training")</f>
        <v>RM</v>
      </c>
      <c r="F14" s="7" t="s">
        <v>73</v>
      </c>
      <c r="G14" s="6" t="str">
        <f>_xlfn.XLOOKUP(H14, $S$100:$S$107, $T$100:$T$107, "Training")</f>
        <v>CB</v>
      </c>
      <c r="H14" s="7" t="s">
        <v>70</v>
      </c>
      <c r="I14" s="375"/>
      <c r="J14" s="375"/>
      <c r="K14" s="6" t="str">
        <f>_xlfn.XLOOKUP(L14, $S$100:$S$107, $T$100:$T$107, "Training")</f>
        <v>MIP</v>
      </c>
      <c r="L14" s="7" t="s">
        <v>46</v>
      </c>
      <c r="M14" s="6" t="str">
        <f>_xlfn.XLOOKUP(N14, $S$100:$S$107, $T$100:$T$107, "Training")</f>
        <v>MA</v>
      </c>
      <c r="N14" s="11" t="s">
        <v>60</v>
      </c>
      <c r="O14" s="65" t="str">
        <f t="shared" si="24"/>
        <v>.</v>
      </c>
      <c r="P14" s="13"/>
      <c r="Q14" s="331"/>
      <c r="R14" s="331"/>
      <c r="S14" s="331"/>
      <c r="U14" s="165" t="s">
        <v>62</v>
      </c>
      <c r="V14" s="9">
        <f t="shared" si="19"/>
        <v>3</v>
      </c>
      <c r="X14" s="176" t="str">
        <f t="shared" si="5"/>
        <v>(DT)</v>
      </c>
      <c r="Y14" s="20">
        <f t="shared" si="0"/>
        <v>1</v>
      </c>
      <c r="Z14" s="21">
        <f t="shared" si="1"/>
        <v>1</v>
      </c>
      <c r="AA14" s="21">
        <f t="shared" si="2"/>
        <v>1</v>
      </c>
      <c r="AB14" s="22">
        <f t="shared" si="3"/>
        <v>0</v>
      </c>
      <c r="AC14" s="178" t="str">
        <f t="shared" si="20"/>
        <v>MIP (G)</v>
      </c>
      <c r="AD14" s="177" t="str">
        <f t="shared" si="21"/>
        <v>EBO (L)</v>
      </c>
      <c r="AE14" s="177" t="str">
        <f t="shared" si="22"/>
        <v>ECOM (E)</v>
      </c>
      <c r="AF14" s="180" t="str">
        <f t="shared" si="23"/>
        <v xml:space="preserve"> </v>
      </c>
      <c r="AG14" s="178" t="str">
        <f t="shared" si="9"/>
        <v xml:space="preserve"> </v>
      </c>
      <c r="AH14" s="177" t="str">
        <f t="shared" si="10"/>
        <v xml:space="preserve"> </v>
      </c>
      <c r="AI14" s="177" t="str">
        <f t="shared" si="11"/>
        <v xml:space="preserve"> </v>
      </c>
      <c r="AJ14" s="180" t="str">
        <f t="shared" si="12"/>
        <v xml:space="preserve"> </v>
      </c>
      <c r="AK14" s="178" t="str">
        <f t="shared" si="13"/>
        <v xml:space="preserve"> </v>
      </c>
      <c r="AL14" s="177" t="str">
        <f t="shared" si="14"/>
        <v xml:space="preserve"> </v>
      </c>
      <c r="AM14" s="177" t="str">
        <f t="shared" si="15"/>
        <v xml:space="preserve"> </v>
      </c>
      <c r="AN14" s="179" t="str">
        <f t="shared" si="16"/>
        <v xml:space="preserve"> </v>
      </c>
    </row>
    <row r="15" spans="1:79" ht="18.75" customHeight="1" thickBot="1" x14ac:dyDescent="0.4">
      <c r="A15" s="374"/>
      <c r="B15" s="99" t="s">
        <v>80</v>
      </c>
      <c r="C15" s="162" t="s">
        <v>81</v>
      </c>
      <c r="D15" s="76"/>
      <c r="E15" s="81" t="str">
        <f>_xlfn.XLOOKUP(F15, $U$100:$U$107, $V$100:$V$107, "Training")</f>
        <v>IB</v>
      </c>
      <c r="F15" s="80" t="s">
        <v>63</v>
      </c>
      <c r="G15" s="81" t="str">
        <f>_xlfn.XLOOKUP(H15, $U$100:$U$107, $V$100:$V$107, "Training")</f>
        <v>IT</v>
      </c>
      <c r="H15" s="80" t="s">
        <v>47</v>
      </c>
      <c r="I15" s="375"/>
      <c r="J15" s="375"/>
      <c r="K15" s="81" t="str">
        <f>_xlfn.XLOOKUP(L15, $U$100:$U$107, $V$100:$V$107, "Training")</f>
        <v>CB</v>
      </c>
      <c r="L15" s="80" t="s">
        <v>74</v>
      </c>
      <c r="M15" s="81" t="str">
        <f>_xlfn.XLOOKUP(N15, $U$100:$U$107, $V$100:$V$107, "Training")</f>
        <v>PR</v>
      </c>
      <c r="N15" s="86" t="s">
        <v>82</v>
      </c>
      <c r="O15" s="119" t="str">
        <f t="shared" si="24"/>
        <v>.</v>
      </c>
      <c r="P15" s="147"/>
      <c r="U15" s="165" t="s">
        <v>63</v>
      </c>
      <c r="V15" s="9">
        <f t="shared" si="19"/>
        <v>4</v>
      </c>
      <c r="X15" s="176" t="str">
        <f t="shared" si="5"/>
        <v>(EC)</v>
      </c>
      <c r="Y15" s="20">
        <f t="shared" si="0"/>
        <v>1</v>
      </c>
      <c r="Z15" s="21">
        <f t="shared" si="1"/>
        <v>1</v>
      </c>
      <c r="AA15" s="21">
        <f t="shared" si="2"/>
        <v>1</v>
      </c>
      <c r="AB15" s="22">
        <f t="shared" si="3"/>
        <v>1</v>
      </c>
      <c r="AC15" s="178" t="str">
        <f t="shared" si="20"/>
        <v>IB (K)</v>
      </c>
      <c r="AD15" s="177" t="str">
        <f t="shared" si="21"/>
        <v>HRD (L)</v>
      </c>
      <c r="AE15" s="177" t="str">
        <f t="shared" si="22"/>
        <v xml:space="preserve"> </v>
      </c>
      <c r="AF15" s="180" t="str">
        <f t="shared" si="23"/>
        <v>IB (E)</v>
      </c>
      <c r="AG15" s="178" t="str">
        <f t="shared" si="9"/>
        <v xml:space="preserve"> </v>
      </c>
      <c r="AH15" s="177" t="str">
        <f t="shared" si="10"/>
        <v xml:space="preserve"> </v>
      </c>
      <c r="AI15" s="177" t="str">
        <f t="shared" si="11"/>
        <v>ED (E)</v>
      </c>
      <c r="AJ15" s="180" t="str">
        <f t="shared" si="12"/>
        <v xml:space="preserve"> </v>
      </c>
      <c r="AK15" s="178" t="str">
        <f t="shared" si="13"/>
        <v xml:space="preserve"> </v>
      </c>
      <c r="AL15" s="177" t="str">
        <f t="shared" si="14"/>
        <v xml:space="preserve"> </v>
      </c>
      <c r="AM15" s="177" t="str">
        <f t="shared" si="15"/>
        <v xml:space="preserve"> </v>
      </c>
      <c r="AN15" s="179" t="str">
        <f t="shared" si="16"/>
        <v xml:space="preserve"> </v>
      </c>
    </row>
    <row r="16" spans="1:79" ht="18.75" customHeight="1" thickBot="1" x14ac:dyDescent="0.4">
      <c r="A16" s="374"/>
      <c r="B16" s="367" t="s">
        <v>83</v>
      </c>
      <c r="C16" s="368" t="s">
        <v>84</v>
      </c>
      <c r="D16" s="82"/>
      <c r="E16" s="83" t="str">
        <f>_xlfn.XLOOKUP(F16, $W$100:$W$107, $X$100:$X$107, "Training")</f>
        <v>IB</v>
      </c>
      <c r="F16" s="85" t="s">
        <v>46</v>
      </c>
      <c r="G16" s="83" t="str">
        <f>_xlfn.XLOOKUP(H16, $W$100:$W$107, $X$100:$X$107, "Training")</f>
        <v>HRD</v>
      </c>
      <c r="H16" s="84" t="s">
        <v>63</v>
      </c>
      <c r="I16" s="375"/>
      <c r="J16" s="375"/>
      <c r="K16" s="83" t="str">
        <f>_xlfn.XLOOKUP(L16, $W$100:$W$107, $X$100:$X$107, "Training")</f>
        <v>MA</v>
      </c>
      <c r="L16" s="85" t="s">
        <v>57</v>
      </c>
      <c r="M16" s="83" t="str">
        <f>_xlfn.XLOOKUP(N16, $W$100:$W$107, $X$100:$X$107, "Training")</f>
        <v>ECOM</v>
      </c>
      <c r="N16" s="85" t="s">
        <v>71</v>
      </c>
      <c r="O16" s="65" t="str">
        <f t="shared" si="24"/>
        <v>.</v>
      </c>
      <c r="P16" s="151"/>
      <c r="U16" s="165" t="s">
        <v>85</v>
      </c>
      <c r="V16" s="9">
        <f t="shared" si="19"/>
        <v>0</v>
      </c>
      <c r="X16" s="176" t="str">
        <f t="shared" si="5"/>
        <v>(HEM)</v>
      </c>
      <c r="Y16" s="20">
        <f t="shared" si="0"/>
        <v>0</v>
      </c>
      <c r="Z16" s="21">
        <f t="shared" si="1"/>
        <v>0</v>
      </c>
      <c r="AA16" s="21">
        <f t="shared" si="2"/>
        <v>0</v>
      </c>
      <c r="AB16" s="22">
        <f t="shared" si="3"/>
        <v>0</v>
      </c>
      <c r="AC16" s="178" t="str">
        <f t="shared" si="20"/>
        <v xml:space="preserve"> </v>
      </c>
      <c r="AD16" s="177" t="str">
        <f t="shared" si="21"/>
        <v xml:space="preserve"> </v>
      </c>
      <c r="AE16" s="177" t="str">
        <f t="shared" si="22"/>
        <v xml:space="preserve"> </v>
      </c>
      <c r="AF16" s="180" t="str">
        <f t="shared" si="23"/>
        <v xml:space="preserve"> </v>
      </c>
      <c r="AG16" s="178" t="str">
        <f t="shared" si="9"/>
        <v xml:space="preserve"> </v>
      </c>
      <c r="AH16" s="177" t="str">
        <f t="shared" si="10"/>
        <v xml:space="preserve"> </v>
      </c>
      <c r="AI16" s="177" t="str">
        <f t="shared" si="11"/>
        <v xml:space="preserve"> </v>
      </c>
      <c r="AJ16" s="180" t="str">
        <f t="shared" si="12"/>
        <v xml:space="preserve"> </v>
      </c>
      <c r="AK16" s="178" t="str">
        <f t="shared" si="13"/>
        <v xml:space="preserve"> </v>
      </c>
      <c r="AL16" s="177" t="str">
        <f t="shared" si="14"/>
        <v xml:space="preserve"> </v>
      </c>
      <c r="AM16" s="177" t="str">
        <f t="shared" si="15"/>
        <v xml:space="preserve"> </v>
      </c>
      <c r="AN16" s="179" t="str">
        <f t="shared" si="16"/>
        <v xml:space="preserve"> </v>
      </c>
    </row>
    <row r="17" spans="1:40" ht="18.75" customHeight="1" thickBot="1" x14ac:dyDescent="0.4">
      <c r="A17" s="374"/>
      <c r="B17" s="367"/>
      <c r="C17" s="368"/>
      <c r="D17" s="82"/>
      <c r="E17" s="298" t="str">
        <f>IF(F17="(LK)","LE",IF(F17="(ND)","ES",IF(F17="(DT)","EBO",IF(F17="(SP)","PR",""))))</f>
        <v/>
      </c>
      <c r="F17" s="34" t="str">
        <f>IF(F16="(RT)","(LK)",IF(F16="(SR)","(ND)",IF(F16="(EC)","(DT)",IF(F16="(BB)","(SP)",""))))</f>
        <v/>
      </c>
      <c r="G17" s="307" t="str">
        <f>IF(H17="(LK)","LE",IF(H17="(ND)","ES",IF(H17="(DT)","EBO",IF(H17="(SP)","PR",""))))</f>
        <v>EBO</v>
      </c>
      <c r="H17" s="313" t="str">
        <f>IF(H16="(RT)","(LK)",IF(H16="(SR)","(ND)",IF(H16="(EC)","(DT)",IF(H16="(BB)","(SP)",""))))</f>
        <v>(DT)</v>
      </c>
      <c r="I17" s="375"/>
      <c r="J17" s="375"/>
      <c r="K17" s="307" t="str">
        <f>IF(L17="(LK)","LE",IF(L17="(ND)","ES",IF(L17="(DT)","EBO",IF(L17="(SP)","PR",""))))</f>
        <v/>
      </c>
      <c r="L17" s="313" t="str">
        <f>IF(L16="(RT)","(LK)",IF(L16="(SR)","(ND)",IF(L16="(EC)","(DT)",IF(L16="(BB)","(SP)",""))))</f>
        <v/>
      </c>
      <c r="M17" s="307" t="str">
        <f>IF(N17="(LK)","LE",IF(N17="(ND)","ES",IF(N17="(DT)","EBO",IF(N17="(SP)","PR",""))))</f>
        <v>PR</v>
      </c>
      <c r="N17" s="313" t="str">
        <f>IF(N16="(RT)","(LK)",IF(N16="(SR)","(ND)",IF(N16="(EC)","(DT)",IF(N16="(BB)","(SP)",""))))</f>
        <v>(SP)</v>
      </c>
      <c r="O17" s="65" t="str">
        <f t="shared" si="24"/>
        <v>.</v>
      </c>
      <c r="P17" s="151"/>
      <c r="U17" s="165" t="s">
        <v>86</v>
      </c>
      <c r="V17" s="9">
        <f t="shared" si="19"/>
        <v>0</v>
      </c>
      <c r="X17" s="176" t="str">
        <f t="shared" si="5"/>
        <v>(HK)</v>
      </c>
      <c r="Y17" s="20">
        <f t="shared" si="0"/>
        <v>0</v>
      </c>
      <c r="Z17" s="21">
        <f t="shared" si="1"/>
        <v>0</v>
      </c>
      <c r="AA17" s="21">
        <f t="shared" si="2"/>
        <v>0</v>
      </c>
      <c r="AB17" s="22">
        <f t="shared" si="3"/>
        <v>0</v>
      </c>
      <c r="AC17" s="178" t="str">
        <f t="shared" si="20"/>
        <v xml:space="preserve"> </v>
      </c>
      <c r="AD17" s="177" t="str">
        <f t="shared" si="21"/>
        <v xml:space="preserve"> </v>
      </c>
      <c r="AE17" s="177" t="str">
        <f t="shared" si="22"/>
        <v xml:space="preserve"> </v>
      </c>
      <c r="AF17" s="180" t="str">
        <f t="shared" si="23"/>
        <v xml:space="preserve"> </v>
      </c>
      <c r="AG17" s="178" t="str">
        <f t="shared" si="9"/>
        <v xml:space="preserve"> </v>
      </c>
      <c r="AH17" s="177" t="str">
        <f t="shared" si="10"/>
        <v xml:space="preserve"> </v>
      </c>
      <c r="AI17" s="177" t="str">
        <f t="shared" si="11"/>
        <v xml:space="preserve"> </v>
      </c>
      <c r="AJ17" s="180" t="str">
        <f t="shared" si="12"/>
        <v xml:space="preserve"> </v>
      </c>
      <c r="AK17" s="178" t="str">
        <f t="shared" si="13"/>
        <v xml:space="preserve"> </v>
      </c>
      <c r="AL17" s="177" t="str">
        <f t="shared" si="14"/>
        <v xml:space="preserve"> </v>
      </c>
      <c r="AM17" s="177" t="str">
        <f t="shared" si="15"/>
        <v xml:space="preserve"> </v>
      </c>
      <c r="AN17" s="179" t="str">
        <f t="shared" si="16"/>
        <v xml:space="preserve"> </v>
      </c>
    </row>
    <row r="18" spans="1:40" ht="18.75" customHeight="1" thickBot="1" x14ac:dyDescent="0.4">
      <c r="A18" s="374"/>
      <c r="B18" s="100" t="s">
        <v>87</v>
      </c>
      <c r="C18" s="330" t="s">
        <v>41</v>
      </c>
      <c r="D18" s="82"/>
      <c r="E18" s="81" t="s">
        <v>88</v>
      </c>
      <c r="F18" s="86" t="s">
        <v>89</v>
      </c>
      <c r="G18" s="81" t="s">
        <v>90</v>
      </c>
      <c r="H18" s="80" t="s">
        <v>91</v>
      </c>
      <c r="I18" s="375"/>
      <c r="J18" s="375"/>
      <c r="K18" s="81" t="s">
        <v>92</v>
      </c>
      <c r="L18" s="86" t="s">
        <v>89</v>
      </c>
      <c r="M18" s="81" t="s">
        <v>93</v>
      </c>
      <c r="N18" s="80" t="s">
        <v>94</v>
      </c>
      <c r="O18" s="327" t="str">
        <f t="shared" si="24"/>
        <v>.</v>
      </c>
      <c r="P18" s="152"/>
      <c r="U18" s="165" t="s">
        <v>95</v>
      </c>
      <c r="V18" s="9">
        <f t="shared" si="19"/>
        <v>3</v>
      </c>
      <c r="X18" s="176" t="str">
        <f t="shared" si="5"/>
        <v>(JAY)</v>
      </c>
      <c r="Y18" s="20">
        <f t="shared" si="0"/>
        <v>1</v>
      </c>
      <c r="Z18" s="21">
        <f t="shared" si="1"/>
        <v>1</v>
      </c>
      <c r="AA18" s="21">
        <f t="shared" si="2"/>
        <v>1</v>
      </c>
      <c r="AB18" s="22">
        <f t="shared" si="3"/>
        <v>0</v>
      </c>
      <c r="AC18" s="178" t="str">
        <f t="shared" si="20"/>
        <v xml:space="preserve"> </v>
      </c>
      <c r="AD18" s="177" t="str">
        <f t="shared" si="21"/>
        <v xml:space="preserve"> </v>
      </c>
      <c r="AE18" s="177" t="str">
        <f t="shared" si="22"/>
        <v xml:space="preserve"> </v>
      </c>
      <c r="AF18" s="180" t="str">
        <f t="shared" si="23"/>
        <v xml:space="preserve"> </v>
      </c>
      <c r="AG18" s="178" t="str">
        <f t="shared" si="9"/>
        <v xml:space="preserve"> </v>
      </c>
      <c r="AH18" s="177" t="str">
        <f t="shared" si="10"/>
        <v xml:space="preserve"> </v>
      </c>
      <c r="AI18" s="177" t="str">
        <f t="shared" si="11"/>
        <v xml:space="preserve"> </v>
      </c>
      <c r="AJ18" s="180" t="str">
        <f t="shared" si="12"/>
        <v xml:space="preserve"> </v>
      </c>
      <c r="AK18" s="178" t="str">
        <f t="shared" si="13"/>
        <v>BT (I)</v>
      </c>
      <c r="AL18" s="177" t="str">
        <f t="shared" si="14"/>
        <v>BT (N)</v>
      </c>
      <c r="AM18" s="177" t="str">
        <f t="shared" si="15"/>
        <v>BT (E)</v>
      </c>
      <c r="AN18" s="179" t="str">
        <f t="shared" si="16"/>
        <v xml:space="preserve"> </v>
      </c>
    </row>
    <row r="19" spans="1:40" ht="18.75" customHeight="1" x14ac:dyDescent="0.35">
      <c r="A19" s="374"/>
      <c r="B19" s="99" t="s">
        <v>87</v>
      </c>
      <c r="C19" s="18" t="s">
        <v>49</v>
      </c>
      <c r="D19" s="82"/>
      <c r="E19" s="83" t="s">
        <v>96</v>
      </c>
      <c r="F19" s="85"/>
      <c r="G19" s="33" t="s">
        <v>97</v>
      </c>
      <c r="H19" s="92" t="s">
        <v>98</v>
      </c>
      <c r="I19" s="375"/>
      <c r="J19" s="375"/>
      <c r="K19" s="304" t="s">
        <v>99</v>
      </c>
      <c r="L19" s="29" t="s">
        <v>100</v>
      </c>
      <c r="M19" s="33" t="s">
        <v>101</v>
      </c>
      <c r="N19" s="92"/>
      <c r="O19" s="327"/>
      <c r="U19" s="165" t="s">
        <v>70</v>
      </c>
      <c r="V19" s="9">
        <f t="shared" si="19"/>
        <v>4</v>
      </c>
      <c r="X19" s="176" t="str">
        <f t="shared" si="5"/>
        <v>(KM)</v>
      </c>
      <c r="Y19" s="20">
        <f t="shared" si="0"/>
        <v>1</v>
      </c>
      <c r="Z19" s="21">
        <f t="shared" si="1"/>
        <v>1</v>
      </c>
      <c r="AA19" s="21">
        <f t="shared" si="2"/>
        <v>1</v>
      </c>
      <c r="AB19" s="22">
        <f t="shared" si="3"/>
        <v>1</v>
      </c>
      <c r="AC19" s="178" t="str">
        <f t="shared" si="20"/>
        <v xml:space="preserve"> </v>
      </c>
      <c r="AD19" s="177" t="str">
        <f t="shared" si="21"/>
        <v>CB (J)</v>
      </c>
      <c r="AE19" s="177" t="str">
        <f t="shared" si="22"/>
        <v xml:space="preserve"> </v>
      </c>
      <c r="AF19" s="180" t="str">
        <f t="shared" si="23"/>
        <v>CB (G)</v>
      </c>
      <c r="AG19" s="178" t="str">
        <f>CONCATENATE(IF($U19=$F$21,$E$21,IF($U19=$F$22,$E$22,IF($U19=$F$23,$E$23,IF($U19=$F$24,$E$24,IF($U19=$F$25,$E$25,IF($U19=$F$26,$E$26,IF($U19=$F$27,$E$27,IF($U19=$F$28,$E$28,IF($U19=$F$29,$E$29,IF($U19=$F$30,$E$30,IF($U19=$F$31,$E$31,IF($U19=$F$32,$E$32,IF($U19=$F$33,$E$33,IF($U19=$F$34,$E$34,"")))))))))))))&amp;" "&amp;(IF($U19=$F$21,"(A)",IF($U19=$F$22,"(B)",IF($U19=$F$23,"(C)",IF($U19=$F$24,"(D)",IF($U19=$F$25,"(E)",IF($U19=$F$26,"(F)",IF($U19=$F$27,"(G)",IF($U19=$F$28,"(H)",IF($U19=$F$29,"(I)",IF($U19=$F$30,"(J)",IF($U19=$D$63,"(K)",IF($U19=$F$32,"(L)",IF($U19=$F$33,"(M)",IF($U19=$F$34,"(N)","")))))))))))))))))</f>
        <v>MM</v>
      </c>
      <c r="AH19" s="177" t="str">
        <f t="shared" si="10"/>
        <v xml:space="preserve"> </v>
      </c>
      <c r="AI19" s="177" t="str">
        <f t="shared" si="11"/>
        <v>MM (N)</v>
      </c>
      <c r="AJ19" s="180" t="str">
        <f t="shared" si="12"/>
        <v xml:space="preserve"> </v>
      </c>
      <c r="AK19" s="178" t="str">
        <f t="shared" si="13"/>
        <v xml:space="preserve"> </v>
      </c>
      <c r="AL19" s="177" t="str">
        <f t="shared" si="14"/>
        <v xml:space="preserve"> </v>
      </c>
      <c r="AM19" s="177" t="str">
        <f t="shared" si="15"/>
        <v xml:space="preserve"> </v>
      </c>
      <c r="AN19" s="179" t="str">
        <f t="shared" si="16"/>
        <v xml:space="preserve"> </v>
      </c>
    </row>
    <row r="20" spans="1:40" ht="18.75" customHeight="1" x14ac:dyDescent="0.35">
      <c r="A20" s="173" t="s">
        <v>26</v>
      </c>
      <c r="B20" s="299"/>
      <c r="C20" s="94" t="s">
        <v>27</v>
      </c>
      <c r="D20" s="95"/>
      <c r="E20" s="352" t="s">
        <v>28</v>
      </c>
      <c r="F20" s="353"/>
      <c r="G20" s="390" t="s">
        <v>29</v>
      </c>
      <c r="H20" s="391"/>
      <c r="I20" s="354" t="s">
        <v>30</v>
      </c>
      <c r="J20" s="353"/>
      <c r="K20" s="354" t="s">
        <v>31</v>
      </c>
      <c r="L20" s="353"/>
      <c r="M20" s="390" t="s">
        <v>32</v>
      </c>
      <c r="N20" s="398"/>
      <c r="O20" s="65"/>
      <c r="U20" s="165" t="s">
        <v>42</v>
      </c>
      <c r="V20" s="9">
        <f t="shared" si="19"/>
        <v>3</v>
      </c>
      <c r="X20" s="176" t="str">
        <f t="shared" si="5"/>
        <v>(KR)</v>
      </c>
      <c r="Y20" s="20">
        <f t="shared" si="0"/>
        <v>1</v>
      </c>
      <c r="Z20" s="21">
        <f t="shared" si="1"/>
        <v>1</v>
      </c>
      <c r="AA20" s="21">
        <f t="shared" si="2"/>
        <v>0</v>
      </c>
      <c r="AB20" s="22">
        <f t="shared" si="3"/>
        <v>1</v>
      </c>
      <c r="AC20" s="178" t="str">
        <f t="shared" si="20"/>
        <v>MA (A)</v>
      </c>
      <c r="AD20" s="177" t="str">
        <f t="shared" si="21"/>
        <v>MA (E)</v>
      </c>
      <c r="AE20" s="177" t="str">
        <f t="shared" si="22"/>
        <v xml:space="preserve"> </v>
      </c>
      <c r="AF20" s="180" t="str">
        <f t="shared" si="23"/>
        <v xml:space="preserve"> </v>
      </c>
      <c r="AG20" s="178" t="str">
        <f>CONCATENATE(IF($U20=$F$21,$E$21,IF($U20=$F$22,$E$22,IF($U20=$F$23,$E$23,IF($U20=$F$24,$E$24,IF($U20=$F$25,$E$25,IF($U20=$F$26,$E$26,IF($U20=$F$27,$E$27,IF($U20=$F$28,$E$28,IF($U20=$F$29,$E$29,IF($U20=$F$30,$E$30,IF($U20=$F$31,$E$31,IF($U20=$F$32,$E$32,IF($U20=$F$33,$E$33,IF($U20=$F$34,$E$34,"")))))))))))))&amp;" "&amp;(IF($U20=$F$21,"(A)",IF($U20=$F$22,"(B)",IF($U20=$F$23,"(C)",IF($U20=$F$24,"(D)",IF($U20=$F$25,"(E)",IF($U20=$F$26,"(F)",IF($U20=$F$27,"(G)",IF($U20=$F$28,"(H)",IF($U20=$F$29,"(I)",IF($U20=$F$30,"(J)",IF($U20=$D$63,"(K)",IF($U20=$F$32,"(L)",IF($U20=$F$33,"(M)",IF($U20=$F$34,"(N)","")))))))))))))))))</f>
        <v xml:space="preserve"> </v>
      </c>
      <c r="AH20" s="177" t="str">
        <f t="shared" si="10"/>
        <v xml:space="preserve"> </v>
      </c>
      <c r="AI20" s="177" t="str">
        <f t="shared" si="11"/>
        <v xml:space="preserve"> </v>
      </c>
      <c r="AJ20" s="180" t="str">
        <f t="shared" si="12"/>
        <v>CA (G)</v>
      </c>
      <c r="AK20" s="178" t="str">
        <f t="shared" si="13"/>
        <v xml:space="preserve"> </v>
      </c>
      <c r="AL20" s="177" t="str">
        <f t="shared" si="14"/>
        <v xml:space="preserve"> </v>
      </c>
      <c r="AM20" s="177" t="str">
        <f t="shared" si="15"/>
        <v xml:space="preserve"> </v>
      </c>
      <c r="AN20" s="179" t="str">
        <f t="shared" si="16"/>
        <v xml:space="preserve"> </v>
      </c>
    </row>
    <row r="21" spans="1:40" ht="18.75" customHeight="1" x14ac:dyDescent="0.35">
      <c r="A21" s="343">
        <v>3</v>
      </c>
      <c r="B21" s="100" t="s">
        <v>102</v>
      </c>
      <c r="C21" s="330" t="s">
        <v>41</v>
      </c>
      <c r="D21" s="98"/>
      <c r="E21" s="33" t="str">
        <f>_xlfn.XLOOKUP(F21, $A$88:$A$95, $B$88:$B$95, "Training")</f>
        <v>MM</v>
      </c>
      <c r="F21" s="34" t="s">
        <v>70</v>
      </c>
      <c r="G21" s="33" t="str">
        <f>_xlfn.XLOOKUP(H21, $A$88:$A$95, $B$88:$B$95, "Training")</f>
        <v>ED</v>
      </c>
      <c r="H21" s="34" t="s">
        <v>103</v>
      </c>
      <c r="I21" s="346" t="s">
        <v>44</v>
      </c>
      <c r="J21" s="347"/>
      <c r="K21" s="33" t="str">
        <f>_xlfn.XLOOKUP(L21, $A$88:$A$95, $B$88:$B$95, "Training")</f>
        <v>EVS</v>
      </c>
      <c r="L21" s="34" t="s">
        <v>104</v>
      </c>
      <c r="M21" s="33" t="str">
        <f>_xlfn.XLOOKUP(N21, $A$88:$A$95, $B$88:$B$95, "Training")</f>
        <v>CA</v>
      </c>
      <c r="N21" s="34" t="s">
        <v>57</v>
      </c>
      <c r="O21" s="65"/>
      <c r="U21" s="165" t="s">
        <v>73</v>
      </c>
      <c r="V21" s="9">
        <f t="shared" si="19"/>
        <v>3</v>
      </c>
      <c r="X21" s="176" t="str">
        <f t="shared" si="5"/>
        <v>(LK)</v>
      </c>
      <c r="Y21" s="20">
        <f t="shared" si="0"/>
        <v>1</v>
      </c>
      <c r="Z21" s="21">
        <f t="shared" si="1"/>
        <v>1</v>
      </c>
      <c r="AA21" s="21">
        <f t="shared" si="2"/>
        <v>1</v>
      </c>
      <c r="AB21" s="22">
        <f t="shared" si="3"/>
        <v>0</v>
      </c>
      <c r="AC21" s="178" t="str">
        <f t="shared" si="20"/>
        <v>RM (J)</v>
      </c>
      <c r="AD21" s="177" t="str">
        <f t="shared" si="21"/>
        <v>MIP (H)</v>
      </c>
      <c r="AE21" s="177" t="str">
        <f t="shared" si="22"/>
        <v>MIP (I)</v>
      </c>
      <c r="AF21" s="180" t="str">
        <f t="shared" si="23"/>
        <v xml:space="preserve"> </v>
      </c>
      <c r="AG21" s="178" t="str">
        <f t="shared" si="9"/>
        <v xml:space="preserve"> </v>
      </c>
      <c r="AH21" s="177" t="str">
        <f t="shared" si="10"/>
        <v xml:space="preserve"> </v>
      </c>
      <c r="AI21" s="177" t="str">
        <f t="shared" si="11"/>
        <v xml:space="preserve"> </v>
      </c>
      <c r="AJ21" s="180" t="str">
        <f t="shared" si="12"/>
        <v xml:space="preserve"> </v>
      </c>
      <c r="AK21" s="178" t="str">
        <f t="shared" si="13"/>
        <v xml:space="preserve"> </v>
      </c>
      <c r="AL21" s="177" t="str">
        <f t="shared" si="14"/>
        <v xml:space="preserve"> </v>
      </c>
      <c r="AM21" s="177" t="str">
        <f t="shared" si="15"/>
        <v xml:space="preserve"> </v>
      </c>
      <c r="AN21" s="179" t="str">
        <f t="shared" si="16"/>
        <v xml:space="preserve"> </v>
      </c>
    </row>
    <row r="22" spans="1:40" ht="18.75" customHeight="1" x14ac:dyDescent="0.35">
      <c r="A22" s="344"/>
      <c r="B22" s="19" t="s">
        <v>102</v>
      </c>
      <c r="C22" s="98" t="s">
        <v>49</v>
      </c>
      <c r="D22" s="98"/>
      <c r="E22" s="6" t="str">
        <f>_xlfn.XLOOKUP(F22, $C$88:$C$95, $D$88:$D$95, "Training")</f>
        <v>EVS</v>
      </c>
      <c r="F22" s="7" t="s">
        <v>105</v>
      </c>
      <c r="G22" s="6" t="str">
        <f>_xlfn.XLOOKUP(H22, $C$88:$C$95, $D$88:$D$95, "Training")</f>
        <v>CA</v>
      </c>
      <c r="H22" s="7" t="s">
        <v>106</v>
      </c>
      <c r="I22" s="348"/>
      <c r="J22" s="349"/>
      <c r="K22" s="6" t="str">
        <f>_xlfn.XLOOKUP(L22, $C$88:$C$95, $D$88:$D$95, "Training")</f>
        <v>CM</v>
      </c>
      <c r="L22" s="7" t="s">
        <v>107</v>
      </c>
      <c r="M22" s="6" t="str">
        <f>_xlfn.XLOOKUP(N22, $C$88:$C$95, $D$88:$D$95, "Training")</f>
        <v>ED</v>
      </c>
      <c r="N22" s="7" t="s">
        <v>108</v>
      </c>
      <c r="O22" s="66"/>
      <c r="U22" s="165" t="s">
        <v>108</v>
      </c>
      <c r="V22" s="9">
        <f t="shared" si="19"/>
        <v>3</v>
      </c>
      <c r="X22" s="176" t="str">
        <f t="shared" si="5"/>
        <v>(LV)</v>
      </c>
      <c r="Y22" s="20">
        <f t="shared" ref="Y22:Y36" si="25">SUM((COUNTIF($E$5:$F$55,$U22)),IF($T23&lt;&gt;0,(COUNTIF($E$5:$F$55,$T23))),IF($S23&lt;&gt;0,(COUNTIF($E$5:$F$55,$S23))))</f>
        <v>0</v>
      </c>
      <c r="Z22" s="21">
        <f t="shared" ref="Z22:Z36" si="26">SUM(COUNTIF($G$5:$J$55,$U22),IF($T23&lt;&gt;0,(COUNTIF($G$5:$J$55,$T23))),IF($S23&lt;&gt;0,(COUNTIF($G$5:$J$55,$S23))))</f>
        <v>1</v>
      </c>
      <c r="AA22" s="21">
        <f t="shared" ref="AA22:AA36" si="27">SUM(COUNTIF($K$5:$L$55,$U22),IF($T23&lt;&gt;0,(COUNTIF($K$5:$L$55,$T23))),IF($S23&lt;&gt;0,(COUNTIF($K$5:$L$55,$S23))))</f>
        <v>1</v>
      </c>
      <c r="AB22" s="22">
        <f t="shared" ref="AB22:AB36" si="28">SUM(COUNTIF($M$5:$N$55,$U22),IF($T23&lt;&gt;0,(COUNTIF($M$5:$N$55,$T23))),IF($S23&lt;&gt;0,(COUNTIF($M$5:$N$55,$S23))))</f>
        <v>1</v>
      </c>
      <c r="AC22" s="178" t="str">
        <f t="shared" si="20"/>
        <v xml:space="preserve"> </v>
      </c>
      <c r="AD22" s="177" t="str">
        <f t="shared" si="21"/>
        <v xml:space="preserve"> </v>
      </c>
      <c r="AE22" s="177" t="str">
        <f t="shared" si="22"/>
        <v xml:space="preserve"> </v>
      </c>
      <c r="AF22" s="180" t="str">
        <f t="shared" si="23"/>
        <v xml:space="preserve"> </v>
      </c>
      <c r="AG22" s="178" t="str">
        <f t="shared" si="9"/>
        <v xml:space="preserve"> </v>
      </c>
      <c r="AH22" s="177" t="str">
        <f t="shared" si="10"/>
        <v>ED (J)</v>
      </c>
      <c r="AI22" s="177" t="str">
        <f t="shared" si="11"/>
        <v>ED (L)</v>
      </c>
      <c r="AJ22" s="180" t="str">
        <f t="shared" si="12"/>
        <v>ED (B)</v>
      </c>
      <c r="AK22" s="178" t="str">
        <f t="shared" si="13"/>
        <v xml:space="preserve"> </v>
      </c>
      <c r="AL22" s="177" t="str">
        <f t="shared" si="14"/>
        <v xml:space="preserve"> </v>
      </c>
      <c r="AM22" s="177" t="str">
        <f t="shared" si="15"/>
        <v xml:space="preserve"> </v>
      </c>
      <c r="AN22" s="179" t="str">
        <f t="shared" si="16"/>
        <v xml:space="preserve"> </v>
      </c>
    </row>
    <row r="23" spans="1:40" ht="18.75" customHeight="1" x14ac:dyDescent="0.35">
      <c r="A23" s="344"/>
      <c r="B23" s="19" t="s">
        <v>102</v>
      </c>
      <c r="C23" s="98" t="s">
        <v>55</v>
      </c>
      <c r="D23" s="98"/>
      <c r="E23" s="6" t="str">
        <f>_xlfn.XLOOKUP(F23, $E$88:$E$95, $F$88:$F$95, "Training")</f>
        <v>CM</v>
      </c>
      <c r="F23" s="7" t="s">
        <v>104</v>
      </c>
      <c r="G23" s="6" t="str">
        <f>_xlfn.XLOOKUP(H23, $E$88:$E$95, $F$88:$F$95, "Training")</f>
        <v>MM</v>
      </c>
      <c r="H23" s="7" t="s">
        <v>109</v>
      </c>
      <c r="I23" s="348"/>
      <c r="J23" s="349"/>
      <c r="K23" s="6" t="str">
        <f>_xlfn.XLOOKUP(L23, $E$88:$E$95, $F$88:$F$95, "Training")</f>
        <v>CA</v>
      </c>
      <c r="L23" s="7" t="s">
        <v>110</v>
      </c>
      <c r="M23" s="6" t="str">
        <f>_xlfn.XLOOKUP(N23, $E$88:$E$95, $F$88:$F$95, "Training")</f>
        <v>EVS</v>
      </c>
      <c r="N23" s="7" t="s">
        <v>54</v>
      </c>
      <c r="O23" s="66"/>
      <c r="U23" s="165" t="s">
        <v>105</v>
      </c>
      <c r="V23" s="9">
        <f t="shared" si="19"/>
        <v>4</v>
      </c>
      <c r="X23" s="176" t="str">
        <f t="shared" si="5"/>
        <v>(MB)</v>
      </c>
      <c r="Y23" s="20">
        <f t="shared" si="25"/>
        <v>1</v>
      </c>
      <c r="Z23" s="21">
        <f t="shared" si="26"/>
        <v>1</v>
      </c>
      <c r="AA23" s="21">
        <f t="shared" si="27"/>
        <v>1</v>
      </c>
      <c r="AB23" s="22">
        <f t="shared" si="28"/>
        <v>1</v>
      </c>
      <c r="AC23" s="178" t="str">
        <f t="shared" si="20"/>
        <v xml:space="preserve"> </v>
      </c>
      <c r="AD23" s="177" t="str">
        <f t="shared" si="21"/>
        <v xml:space="preserve"> </v>
      </c>
      <c r="AE23" s="177" t="str">
        <f t="shared" si="22"/>
        <v xml:space="preserve"> </v>
      </c>
      <c r="AF23" s="180" t="str">
        <f t="shared" si="23"/>
        <v xml:space="preserve"> </v>
      </c>
      <c r="AG23" s="178" t="str">
        <f t="shared" si="9"/>
        <v>EVS (B)</v>
      </c>
      <c r="AH23" s="177" t="str">
        <f t="shared" si="10"/>
        <v>EVS (G)</v>
      </c>
      <c r="AI23" s="177" t="str">
        <f t="shared" si="11"/>
        <v>CP (J)</v>
      </c>
      <c r="AJ23" s="180" t="str">
        <f t="shared" si="12"/>
        <v>CP (H)</v>
      </c>
      <c r="AK23" s="178" t="str">
        <f t="shared" si="13"/>
        <v xml:space="preserve"> </v>
      </c>
      <c r="AL23" s="177" t="str">
        <f t="shared" si="14"/>
        <v xml:space="preserve"> </v>
      </c>
      <c r="AM23" s="177" t="str">
        <f t="shared" si="15"/>
        <v xml:space="preserve"> </v>
      </c>
      <c r="AN23" s="179" t="str">
        <f t="shared" si="16"/>
        <v xml:space="preserve"> </v>
      </c>
    </row>
    <row r="24" spans="1:40" ht="18.75" customHeight="1" x14ac:dyDescent="0.35">
      <c r="A24" s="344"/>
      <c r="B24" s="19" t="s">
        <v>102</v>
      </c>
      <c r="C24" s="98" t="s">
        <v>37</v>
      </c>
      <c r="D24" s="98"/>
      <c r="E24" s="6" t="str">
        <f>_xlfn.XLOOKUP(F24, $G$88:$G$95, $H$88:$H$95, "Training")</f>
        <v>ED</v>
      </c>
      <c r="F24" s="5" t="s">
        <v>111</v>
      </c>
      <c r="G24" s="6" t="str">
        <f>_xlfn.XLOOKUP(H24, $G$88:$G$95, $H$88:$H$95, "Training")</f>
        <v>HR</v>
      </c>
      <c r="H24" s="5" t="s">
        <v>104</v>
      </c>
      <c r="I24" s="348"/>
      <c r="J24" s="349"/>
      <c r="K24" s="6" t="str">
        <f>_xlfn.XLOOKUP(L24, $G$88:$G$95, $H$88:$H$95, "Training")</f>
        <v>CM</v>
      </c>
      <c r="L24" s="5" t="s">
        <v>112</v>
      </c>
      <c r="M24" s="6" t="str">
        <f>_xlfn.XLOOKUP(N24, $G$88:$G$95, $H$88:$H$95, "Training")</f>
        <v>EVS</v>
      </c>
      <c r="N24" s="5" t="s">
        <v>113</v>
      </c>
      <c r="O24" s="66"/>
      <c r="U24" s="165" t="s">
        <v>60</v>
      </c>
      <c r="V24" s="9">
        <f t="shared" si="19"/>
        <v>3</v>
      </c>
      <c r="X24" s="176" t="str">
        <f t="shared" si="5"/>
        <v>(MEG)</v>
      </c>
      <c r="Y24" s="20">
        <f t="shared" si="25"/>
        <v>1</v>
      </c>
      <c r="Z24" s="21">
        <f t="shared" si="26"/>
        <v>0</v>
      </c>
      <c r="AA24" s="21">
        <f t="shared" si="27"/>
        <v>1</v>
      </c>
      <c r="AB24" s="22">
        <f t="shared" si="28"/>
        <v>1</v>
      </c>
      <c r="AC24" s="178" t="str">
        <f t="shared" si="20"/>
        <v xml:space="preserve"> </v>
      </c>
      <c r="AD24" s="177" t="str">
        <f t="shared" si="21"/>
        <v xml:space="preserve"> </v>
      </c>
      <c r="AE24" s="177" t="str">
        <f t="shared" si="22"/>
        <v>MA (D)</v>
      </c>
      <c r="AF24" s="180" t="str">
        <f t="shared" si="23"/>
        <v>MA (J)</v>
      </c>
      <c r="AG24" s="178" t="str">
        <f t="shared" si="9"/>
        <v>CA (L)</v>
      </c>
      <c r="AH24" s="177" t="str">
        <f t="shared" si="10"/>
        <v xml:space="preserve"> </v>
      </c>
      <c r="AI24" s="177" t="str">
        <f t="shared" si="11"/>
        <v xml:space="preserve"> </v>
      </c>
      <c r="AJ24" s="180" t="str">
        <f t="shared" si="12"/>
        <v xml:space="preserve"> </v>
      </c>
      <c r="AK24" s="178" t="str">
        <f t="shared" si="13"/>
        <v xml:space="preserve"> </v>
      </c>
      <c r="AL24" s="177" t="str">
        <f t="shared" si="14"/>
        <v xml:space="preserve"> </v>
      </c>
      <c r="AM24" s="177" t="str">
        <f t="shared" si="15"/>
        <v xml:space="preserve"> </v>
      </c>
      <c r="AN24" s="179" t="str">
        <f t="shared" si="16"/>
        <v xml:space="preserve"> </v>
      </c>
    </row>
    <row r="25" spans="1:40" ht="18.75" customHeight="1" x14ac:dyDescent="0.35">
      <c r="A25" s="344"/>
      <c r="B25" s="19" t="s">
        <v>102</v>
      </c>
      <c r="C25" s="98" t="s">
        <v>38</v>
      </c>
      <c r="D25" s="98"/>
      <c r="E25" s="6" t="str">
        <f>_xlfn.XLOOKUP(F25, $I$88:$I$95, $J$88:$J$95, "Training")</f>
        <v>EVS</v>
      </c>
      <c r="F25" s="5" t="s">
        <v>111</v>
      </c>
      <c r="G25" s="6" t="str">
        <f>_xlfn.XLOOKUP(H25, $I$88:$I$95, $J$88:$J$95, "Training")</f>
        <v>OP</v>
      </c>
      <c r="H25" s="5" t="s">
        <v>114</v>
      </c>
      <c r="I25" s="348"/>
      <c r="J25" s="349"/>
      <c r="K25" s="6" t="str">
        <f>_xlfn.XLOOKUP(L25, $I$88:$I$95, $J$88:$J$95, "Training")</f>
        <v>ED</v>
      </c>
      <c r="L25" s="5" t="s">
        <v>63</v>
      </c>
      <c r="M25" s="6" t="str">
        <f>_xlfn.XLOOKUP(N25, $I$88:$I$95, $J$88:$J$95, "Training")</f>
        <v>EVS</v>
      </c>
      <c r="N25" s="5" t="s">
        <v>111</v>
      </c>
      <c r="O25" s="66"/>
      <c r="U25" s="165" t="s">
        <v>113</v>
      </c>
      <c r="V25" s="9">
        <f t="shared" si="19"/>
        <v>3</v>
      </c>
      <c r="X25" s="176" t="str">
        <f t="shared" si="5"/>
        <v>(MH)</v>
      </c>
      <c r="Y25" s="20">
        <f t="shared" si="25"/>
        <v>1</v>
      </c>
      <c r="Z25" s="21">
        <f t="shared" si="26"/>
        <v>0</v>
      </c>
      <c r="AA25" s="21">
        <f t="shared" si="27"/>
        <v>1</v>
      </c>
      <c r="AB25" s="22">
        <f t="shared" si="28"/>
        <v>1</v>
      </c>
      <c r="AC25" s="178" t="str">
        <f t="shared" si="20"/>
        <v xml:space="preserve"> </v>
      </c>
      <c r="AD25" s="177" t="str">
        <f t="shared" si="21"/>
        <v xml:space="preserve"> </v>
      </c>
      <c r="AE25" s="177" t="str">
        <f t="shared" si="22"/>
        <v xml:space="preserve"> </v>
      </c>
      <c r="AF25" s="180" t="str">
        <f t="shared" si="23"/>
        <v xml:space="preserve"> </v>
      </c>
      <c r="AG25" s="178" t="str">
        <f t="shared" si="9"/>
        <v>SP (M)</v>
      </c>
      <c r="AH25" s="177" t="str">
        <f t="shared" si="10"/>
        <v xml:space="preserve"> </v>
      </c>
      <c r="AI25" s="177" t="str">
        <f t="shared" si="11"/>
        <v>SP (H)</v>
      </c>
      <c r="AJ25" s="180" t="str">
        <f t="shared" si="12"/>
        <v>EVS (D)</v>
      </c>
      <c r="AK25" s="178" t="str">
        <f t="shared" si="13"/>
        <v xml:space="preserve"> </v>
      </c>
      <c r="AL25" s="177" t="str">
        <f t="shared" si="14"/>
        <v xml:space="preserve"> </v>
      </c>
      <c r="AM25" s="177" t="str">
        <f t="shared" si="15"/>
        <v xml:space="preserve"> </v>
      </c>
      <c r="AN25" s="179" t="str">
        <f t="shared" si="16"/>
        <v xml:space="preserve"> </v>
      </c>
    </row>
    <row r="26" spans="1:40" ht="18.75" customHeight="1" x14ac:dyDescent="0.35">
      <c r="A26" s="344"/>
      <c r="B26" s="19" t="s">
        <v>102</v>
      </c>
      <c r="C26" s="98" t="s">
        <v>65</v>
      </c>
      <c r="D26" s="98"/>
      <c r="E26" s="6" t="str">
        <f>_xlfn.XLOOKUP(F26, $K$88:$K$95, $L$88:$L$95, "Training")</f>
        <v>MM</v>
      </c>
      <c r="F26" s="5" t="s">
        <v>109</v>
      </c>
      <c r="G26" s="6" t="str">
        <f>_xlfn.XLOOKUP(H26, $K$88:$K$95, $L$88:$L$95, "Training")</f>
        <v>EVS</v>
      </c>
      <c r="H26" s="5" t="s">
        <v>111</v>
      </c>
      <c r="I26" s="348"/>
      <c r="J26" s="349"/>
      <c r="K26" s="6" t="str">
        <f>_xlfn.XLOOKUP(L26, $K$88:$K$95, $L$88:$L$95, "Training")</f>
        <v>ED</v>
      </c>
      <c r="L26" s="5" t="s">
        <v>103</v>
      </c>
      <c r="M26" s="6" t="str">
        <f>_xlfn.XLOOKUP(N26, $K$88:$K$95, $L$88:$L$95, "Training")</f>
        <v>CA</v>
      </c>
      <c r="N26" s="5" t="s">
        <v>110</v>
      </c>
      <c r="O26" s="66"/>
      <c r="U26" s="165" t="s">
        <v>115</v>
      </c>
      <c r="V26" s="9">
        <f t="shared" si="19"/>
        <v>3</v>
      </c>
      <c r="X26" s="176" t="str">
        <f t="shared" si="5"/>
        <v>(MK)</v>
      </c>
      <c r="Y26" s="20">
        <f t="shared" si="25"/>
        <v>1</v>
      </c>
      <c r="Z26" s="21">
        <f t="shared" si="26"/>
        <v>0</v>
      </c>
      <c r="AA26" s="21">
        <f t="shared" si="27"/>
        <v>1</v>
      </c>
      <c r="AB26" s="22">
        <f t="shared" si="28"/>
        <v>1</v>
      </c>
      <c r="AC26" s="178" t="str">
        <f t="shared" si="20"/>
        <v xml:space="preserve"> </v>
      </c>
      <c r="AD26" s="177" t="str">
        <f t="shared" si="21"/>
        <v xml:space="preserve"> </v>
      </c>
      <c r="AE26" s="177" t="str">
        <f t="shared" si="22"/>
        <v xml:space="preserve"> </v>
      </c>
      <c r="AF26" s="180" t="str">
        <f t="shared" si="23"/>
        <v xml:space="preserve"> </v>
      </c>
      <c r="AG26" s="178" t="str">
        <f t="shared" si="9"/>
        <v xml:space="preserve"> </v>
      </c>
      <c r="AH26" s="177" t="str">
        <f t="shared" si="10"/>
        <v xml:space="preserve"> </v>
      </c>
      <c r="AI26" s="177" t="str">
        <f t="shared" si="11"/>
        <v xml:space="preserve"> </v>
      </c>
      <c r="AJ26" s="180" t="str">
        <f t="shared" si="12"/>
        <v xml:space="preserve"> </v>
      </c>
      <c r="AK26" s="178" t="str">
        <f t="shared" si="13"/>
        <v>FA (H)</v>
      </c>
      <c r="AL26" s="177" t="str">
        <f t="shared" si="14"/>
        <v xml:space="preserve"> </v>
      </c>
      <c r="AM26" s="177" t="str">
        <f t="shared" si="15"/>
        <v>FA (C)</v>
      </c>
      <c r="AN26" s="179" t="str">
        <f t="shared" si="16"/>
        <v>FA (A)</v>
      </c>
    </row>
    <row r="27" spans="1:40" ht="18.75" customHeight="1" x14ac:dyDescent="0.35">
      <c r="A27" s="344"/>
      <c r="B27" s="19" t="s">
        <v>116</v>
      </c>
      <c r="C27" s="98" t="s">
        <v>69</v>
      </c>
      <c r="D27" s="98"/>
      <c r="E27" s="6" t="str">
        <f>_xlfn.XLOOKUP(F27, $M$88:$M$95, $N$88:$N$95, "Training")</f>
        <v>MM</v>
      </c>
      <c r="F27" s="5" t="s">
        <v>58</v>
      </c>
      <c r="G27" s="6" t="str">
        <f>_xlfn.XLOOKUP(H27, $M$88:$M$95, $N$88:$N$95, "Training")</f>
        <v>EVS</v>
      </c>
      <c r="H27" s="5" t="s">
        <v>105</v>
      </c>
      <c r="I27" s="348"/>
      <c r="J27" s="349"/>
      <c r="K27" s="6" t="str">
        <f>_xlfn.XLOOKUP(L27, $M$88:$M$95, $N$88:$N$95, "Training")</f>
        <v>HR</v>
      </c>
      <c r="L27" s="5" t="s">
        <v>61</v>
      </c>
      <c r="M27" s="6" t="str">
        <f>_xlfn.XLOOKUP(N27, $M$88:$M$95, $N$88:$N$95, "Training")</f>
        <v>CA</v>
      </c>
      <c r="N27" s="5" t="s">
        <v>42</v>
      </c>
      <c r="O27" s="66"/>
      <c r="U27" s="165" t="s">
        <v>53</v>
      </c>
      <c r="V27" s="9">
        <f t="shared" si="19"/>
        <v>3</v>
      </c>
      <c r="X27" s="176" t="str">
        <f t="shared" si="5"/>
        <v>(MS)</v>
      </c>
      <c r="Y27" s="20">
        <f t="shared" si="25"/>
        <v>1</v>
      </c>
      <c r="Z27" s="21">
        <f t="shared" si="26"/>
        <v>1</v>
      </c>
      <c r="AA27" s="21">
        <f t="shared" si="27"/>
        <v>0</v>
      </c>
      <c r="AB27" s="22">
        <f t="shared" si="28"/>
        <v>1</v>
      </c>
      <c r="AC27" s="178" t="str">
        <f t="shared" si="20"/>
        <v>AA (F)</v>
      </c>
      <c r="AD27" s="177" t="str">
        <f t="shared" si="21"/>
        <v xml:space="preserve"> </v>
      </c>
      <c r="AE27" s="177" t="str">
        <f t="shared" si="22"/>
        <v xml:space="preserve"> </v>
      </c>
      <c r="AF27" s="180" t="str">
        <f t="shared" si="23"/>
        <v>FMS (B)</v>
      </c>
      <c r="AG27" s="178" t="str">
        <f t="shared" si="9"/>
        <v xml:space="preserve"> </v>
      </c>
      <c r="AH27" s="177" t="str">
        <f t="shared" si="10"/>
        <v>ED (I)</v>
      </c>
      <c r="AI27" s="177" t="str">
        <f t="shared" si="11"/>
        <v xml:space="preserve"> </v>
      </c>
      <c r="AJ27" s="180" t="str">
        <f t="shared" si="12"/>
        <v xml:space="preserve"> </v>
      </c>
      <c r="AK27" s="178" t="str">
        <f t="shared" si="13"/>
        <v xml:space="preserve"> </v>
      </c>
      <c r="AL27" s="177" t="str">
        <f t="shared" si="14"/>
        <v xml:space="preserve"> </v>
      </c>
      <c r="AM27" s="177" t="str">
        <f t="shared" si="15"/>
        <v xml:space="preserve"> </v>
      </c>
      <c r="AN27" s="179" t="str">
        <f t="shared" si="16"/>
        <v xml:space="preserve"> </v>
      </c>
    </row>
    <row r="28" spans="1:40" ht="18.75" customHeight="1" x14ac:dyDescent="0.35">
      <c r="A28" s="344"/>
      <c r="B28" s="19" t="s">
        <v>117</v>
      </c>
      <c r="C28" s="98" t="s">
        <v>72</v>
      </c>
      <c r="D28" s="98"/>
      <c r="E28" s="6" t="str">
        <f>_xlfn.XLOOKUP(F28, $O$88:$O$95, $P$88:$P$95, "Training")</f>
        <v>CA</v>
      </c>
      <c r="F28" s="5" t="s">
        <v>112</v>
      </c>
      <c r="G28" s="6" t="str">
        <f>_xlfn.XLOOKUP(H28, $O$88:$O$95, $P$88:$P$95, "Training")</f>
        <v>HR</v>
      </c>
      <c r="H28" s="5" t="s">
        <v>118</v>
      </c>
      <c r="I28" s="348"/>
      <c r="J28" s="349"/>
      <c r="K28" s="6" t="str">
        <f>_xlfn.XLOOKUP(L28, $O$88:$O$95, $P$88:$P$95, "Training")</f>
        <v>SP</v>
      </c>
      <c r="L28" s="5" t="s">
        <v>113</v>
      </c>
      <c r="M28" s="6" t="str">
        <f>_xlfn.XLOOKUP(N28, $O$88:$O$95, $P$88:$P$95, "Training")</f>
        <v>CP</v>
      </c>
      <c r="N28" s="5" t="s">
        <v>105</v>
      </c>
      <c r="O28" s="66"/>
      <c r="U28" s="165" t="s">
        <v>119</v>
      </c>
      <c r="V28" s="9">
        <f t="shared" si="19"/>
        <v>3</v>
      </c>
      <c r="X28" s="176" t="str">
        <f t="shared" si="5"/>
        <v>(ND)</v>
      </c>
      <c r="Y28" s="20">
        <f t="shared" si="25"/>
        <v>1</v>
      </c>
      <c r="Z28" s="21">
        <f t="shared" si="26"/>
        <v>0</v>
      </c>
      <c r="AA28" s="21">
        <f t="shared" si="27"/>
        <v>1</v>
      </c>
      <c r="AB28" s="22">
        <f t="shared" si="28"/>
        <v>1</v>
      </c>
      <c r="AC28" s="178" t="str">
        <f t="shared" si="20"/>
        <v xml:space="preserve"> </v>
      </c>
      <c r="AD28" s="177" t="str">
        <f t="shared" si="21"/>
        <v xml:space="preserve"> </v>
      </c>
      <c r="AE28" s="177" t="str">
        <f t="shared" si="22"/>
        <v xml:space="preserve"> </v>
      </c>
      <c r="AF28" s="180" t="str">
        <f t="shared" si="23"/>
        <v xml:space="preserve"> </v>
      </c>
      <c r="AG28" s="178" t="str">
        <f t="shared" si="9"/>
        <v>OP (J)</v>
      </c>
      <c r="AH28" s="177" t="str">
        <f t="shared" si="10"/>
        <v xml:space="preserve"> </v>
      </c>
      <c r="AI28" s="177" t="str">
        <f t="shared" si="11"/>
        <v>OP (K)</v>
      </c>
      <c r="AJ28" s="180" t="str">
        <f t="shared" si="12"/>
        <v>OP (L)</v>
      </c>
      <c r="AK28" s="178" t="str">
        <f t="shared" si="13"/>
        <v xml:space="preserve"> </v>
      </c>
      <c r="AL28" s="177" t="str">
        <f t="shared" si="14"/>
        <v xml:space="preserve"> </v>
      </c>
      <c r="AM28" s="177" t="str">
        <f t="shared" si="15"/>
        <v xml:space="preserve"> </v>
      </c>
      <c r="AN28" s="179" t="str">
        <f t="shared" si="16"/>
        <v xml:space="preserve"> </v>
      </c>
    </row>
    <row r="29" spans="1:40" ht="18.75" customHeight="1" x14ac:dyDescent="0.35">
      <c r="A29" s="344"/>
      <c r="B29" s="19" t="s">
        <v>117</v>
      </c>
      <c r="C29" s="98" t="s">
        <v>76</v>
      </c>
      <c r="D29" s="98"/>
      <c r="E29" s="6" t="str">
        <f>_xlfn.XLOOKUP(F29, $Q$88:$Q$95, $R$88:$R$95, "Training")</f>
        <v>MM</v>
      </c>
      <c r="F29" s="5" t="s">
        <v>107</v>
      </c>
      <c r="G29" s="6" t="str">
        <f>_xlfn.XLOOKUP(H29, $Q$88:$Q$95, $R$88:$R$95, "Training")</f>
        <v>ED</v>
      </c>
      <c r="H29" s="5" t="s">
        <v>53</v>
      </c>
      <c r="I29" s="348"/>
      <c r="J29" s="349"/>
      <c r="K29" s="6" t="str">
        <f>_xlfn.XLOOKUP(L29, $Q$88:$Q$95, $R$88:$R$95, "Training")</f>
        <v>CP</v>
      </c>
      <c r="L29" s="5" t="s">
        <v>82</v>
      </c>
      <c r="M29" s="6" t="str">
        <f>_xlfn.XLOOKUP(N29, $Q$88:$Q$95, $R$88:$R$95, "Training")</f>
        <v>HR</v>
      </c>
      <c r="N29" s="5" t="s">
        <v>104</v>
      </c>
      <c r="O29" s="66"/>
      <c r="U29" s="165" t="s">
        <v>66</v>
      </c>
      <c r="V29" s="9">
        <f t="shared" si="19"/>
        <v>3</v>
      </c>
      <c r="X29" s="176" t="str">
        <f t="shared" si="5"/>
        <v>(NG)</v>
      </c>
      <c r="Y29" s="20">
        <f t="shared" si="25"/>
        <v>1</v>
      </c>
      <c r="Z29" s="21">
        <f t="shared" si="26"/>
        <v>1</v>
      </c>
      <c r="AA29" s="21">
        <f t="shared" si="27"/>
        <v>1</v>
      </c>
      <c r="AB29" s="22">
        <f t="shared" si="28"/>
        <v>0</v>
      </c>
      <c r="AC29" s="178" t="str">
        <f t="shared" si="20"/>
        <v>MA (I)</v>
      </c>
      <c r="AD29" s="177" t="str">
        <f t="shared" si="21"/>
        <v>MA (G)</v>
      </c>
      <c r="AE29" s="177" t="str">
        <f t="shared" si="22"/>
        <v>FMS (F)</v>
      </c>
      <c r="AF29" s="180" t="str">
        <f t="shared" si="23"/>
        <v xml:space="preserve"> </v>
      </c>
      <c r="AG29" s="178" t="str">
        <f t="shared" si="9"/>
        <v xml:space="preserve"> </v>
      </c>
      <c r="AH29" s="177" t="str">
        <f t="shared" si="10"/>
        <v xml:space="preserve"> </v>
      </c>
      <c r="AI29" s="177" t="str">
        <f t="shared" si="11"/>
        <v xml:space="preserve"> </v>
      </c>
      <c r="AJ29" s="180" t="str">
        <f t="shared" si="12"/>
        <v xml:space="preserve"> </v>
      </c>
      <c r="AK29" s="178" t="str">
        <f t="shared" si="13"/>
        <v xml:space="preserve"> </v>
      </c>
      <c r="AL29" s="177" t="str">
        <f t="shared" si="14"/>
        <v xml:space="preserve"> </v>
      </c>
      <c r="AM29" s="177" t="str">
        <f t="shared" si="15"/>
        <v xml:space="preserve"> </v>
      </c>
      <c r="AN29" s="179" t="str">
        <f t="shared" si="16"/>
        <v xml:space="preserve"> </v>
      </c>
    </row>
    <row r="30" spans="1:40" ht="18.75" customHeight="1" x14ac:dyDescent="0.35">
      <c r="A30" s="344"/>
      <c r="B30" s="19" t="s">
        <v>117</v>
      </c>
      <c r="C30" s="98" t="s">
        <v>79</v>
      </c>
      <c r="D30" s="98"/>
      <c r="E30" s="6" t="str">
        <f>_xlfn.XLOOKUP(F30, $S$88:$S$95, $T$88:$T$95, "Training")</f>
        <v>OP</v>
      </c>
      <c r="F30" s="5" t="s">
        <v>119</v>
      </c>
      <c r="G30" s="6" t="str">
        <f>_xlfn.XLOOKUP(H30, $S$88:$S$95, $T$88:$T$95, "Training")</f>
        <v>ED</v>
      </c>
      <c r="H30" s="5" t="s">
        <v>108</v>
      </c>
      <c r="I30" s="348"/>
      <c r="J30" s="349"/>
      <c r="K30" s="6" t="str">
        <f>_xlfn.XLOOKUP(L30, $S$88:$S$95, $T$88:$T$95, "Training")</f>
        <v>CP</v>
      </c>
      <c r="L30" s="5" t="s">
        <v>105</v>
      </c>
      <c r="M30" s="6" t="str">
        <f>_xlfn.XLOOKUP(N30, $S$88:$S$95, $T$88:$T$95, "Training")</f>
        <v>CA</v>
      </c>
      <c r="N30" s="5" t="s">
        <v>112</v>
      </c>
      <c r="O30" s="66"/>
      <c r="U30" s="165" t="s">
        <v>120</v>
      </c>
      <c r="V30" s="9">
        <f t="shared" si="19"/>
        <v>2</v>
      </c>
      <c r="X30" s="176" t="str">
        <f t="shared" si="5"/>
        <v>(PM)</v>
      </c>
      <c r="Y30" s="20">
        <f t="shared" si="25"/>
        <v>1</v>
      </c>
      <c r="Z30" s="21">
        <f t="shared" si="26"/>
        <v>1</v>
      </c>
      <c r="AA30" s="21">
        <f t="shared" si="27"/>
        <v>0</v>
      </c>
      <c r="AB30" s="22">
        <f t="shared" si="28"/>
        <v>0</v>
      </c>
      <c r="AC30" s="178" t="str">
        <f t="shared" si="20"/>
        <v xml:space="preserve"> </v>
      </c>
      <c r="AD30" s="177" t="str">
        <f t="shared" si="21"/>
        <v xml:space="preserve"> </v>
      </c>
      <c r="AE30" s="177" t="str">
        <f t="shared" si="22"/>
        <v xml:space="preserve"> </v>
      </c>
      <c r="AF30" s="180" t="str">
        <f t="shared" si="23"/>
        <v xml:space="preserve"> </v>
      </c>
      <c r="AG30" s="178" t="str">
        <f t="shared" si="9"/>
        <v xml:space="preserve"> </v>
      </c>
      <c r="AH30" s="177" t="str">
        <f t="shared" si="10"/>
        <v xml:space="preserve"> </v>
      </c>
      <c r="AI30" s="177" t="str">
        <f t="shared" si="11"/>
        <v xml:space="preserve"> </v>
      </c>
      <c r="AJ30" s="180" t="str">
        <f t="shared" si="12"/>
        <v xml:space="preserve"> </v>
      </c>
      <c r="AK30" s="178" t="str">
        <f t="shared" si="13"/>
        <v>QT (F)</v>
      </c>
      <c r="AL30" s="177" t="str">
        <f t="shared" si="14"/>
        <v>QT (M)</v>
      </c>
      <c r="AM30" s="177" t="str">
        <f t="shared" si="15"/>
        <v xml:space="preserve"> </v>
      </c>
      <c r="AN30" s="179" t="str">
        <f t="shared" si="16"/>
        <v xml:space="preserve"> </v>
      </c>
    </row>
    <row r="31" spans="1:40" ht="18.75" customHeight="1" x14ac:dyDescent="0.35">
      <c r="A31" s="344"/>
      <c r="B31" s="19" t="s">
        <v>121</v>
      </c>
      <c r="C31" s="98" t="s">
        <v>81</v>
      </c>
      <c r="D31" s="98"/>
      <c r="E31" s="6" t="str">
        <f>_xlfn.XLOOKUP(F31, $U$88:$U$95, $V$88:$V$95, "Training")</f>
        <v>HR</v>
      </c>
      <c r="F31" s="5" t="s">
        <v>61</v>
      </c>
      <c r="G31" s="6" t="str">
        <f>_xlfn.XLOOKUP(H31, $U$88:$U$95, $V$88:$V$95, "Training")</f>
        <v>MM</v>
      </c>
      <c r="H31" s="5" t="s">
        <v>107</v>
      </c>
      <c r="I31" s="348"/>
      <c r="J31" s="349"/>
      <c r="K31" s="6" t="str">
        <f>_xlfn.XLOOKUP(L31, $U$88:$U$95, $V$88:$V$95, "Training")</f>
        <v>OP</v>
      </c>
      <c r="L31" s="5" t="s">
        <v>119</v>
      </c>
      <c r="M31" s="6" t="str">
        <f>_xlfn.XLOOKUP(N31, $U$88:$U$95, $V$88:$V$95, "Training")</f>
        <v>EVS</v>
      </c>
      <c r="N31" s="5" t="s">
        <v>122</v>
      </c>
      <c r="O31" s="66"/>
      <c r="U31" s="165" t="s">
        <v>123</v>
      </c>
      <c r="V31" s="9">
        <f t="shared" si="19"/>
        <v>4</v>
      </c>
      <c r="X31" s="176" t="str">
        <f t="shared" si="5"/>
        <v>(PR)</v>
      </c>
      <c r="Y31" s="20">
        <f t="shared" si="25"/>
        <v>0</v>
      </c>
      <c r="Z31" s="21">
        <f t="shared" si="26"/>
        <v>1</v>
      </c>
      <c r="AA31" s="21">
        <f t="shared" si="27"/>
        <v>2</v>
      </c>
      <c r="AB31" s="22">
        <f t="shared" si="28"/>
        <v>1</v>
      </c>
      <c r="AC31" s="178" t="str">
        <f t="shared" si="20"/>
        <v xml:space="preserve"> </v>
      </c>
      <c r="AD31" s="177" t="str">
        <f t="shared" si="21"/>
        <v xml:space="preserve"> </v>
      </c>
      <c r="AE31" s="177" t="str">
        <f t="shared" si="22"/>
        <v xml:space="preserve"> </v>
      </c>
      <c r="AF31" s="180" t="str">
        <f t="shared" si="23"/>
        <v xml:space="preserve"> </v>
      </c>
      <c r="AG31" s="178" t="str">
        <f t="shared" si="9"/>
        <v xml:space="preserve"> </v>
      </c>
      <c r="AH31" s="177" t="str">
        <f t="shared" si="10"/>
        <v xml:space="preserve"> </v>
      </c>
      <c r="AI31" s="177" t="str">
        <f t="shared" si="11"/>
        <v xml:space="preserve"> </v>
      </c>
      <c r="AJ31" s="180" t="str">
        <f t="shared" si="12"/>
        <v xml:space="preserve"> </v>
      </c>
      <c r="AK31" s="178" t="str">
        <f t="shared" si="13"/>
        <v xml:space="preserve"> </v>
      </c>
      <c r="AL31" s="177" t="str">
        <f t="shared" si="14"/>
        <v>AE (C)</v>
      </c>
      <c r="AM31" s="177" t="str">
        <f t="shared" si="15"/>
        <v>GE (L)</v>
      </c>
      <c r="AN31" s="179" t="str">
        <f t="shared" si="16"/>
        <v>GE (B)</v>
      </c>
    </row>
    <row r="32" spans="1:40" ht="18.75" customHeight="1" x14ac:dyDescent="0.35">
      <c r="A32" s="344"/>
      <c r="B32" s="19" t="s">
        <v>124</v>
      </c>
      <c r="C32" s="98" t="s">
        <v>84</v>
      </c>
      <c r="D32" s="98"/>
      <c r="E32" s="6" t="str">
        <f>_xlfn.XLOOKUP(F32, $W$88:$W$95, $X$88:$X$95, "Training")</f>
        <v>CA</v>
      </c>
      <c r="F32" s="5" t="s">
        <v>60</v>
      </c>
      <c r="G32" s="6" t="str">
        <f>_xlfn.XLOOKUP(H32, $W$88:$W$95, $X$88:$X$95, "Training")</f>
        <v>MM</v>
      </c>
      <c r="H32" s="5" t="s">
        <v>74</v>
      </c>
      <c r="I32" s="348"/>
      <c r="J32" s="349"/>
      <c r="K32" s="6" t="str">
        <f>_xlfn.XLOOKUP(L32, $W$88:$W$95, $X$88:$X$95, "Training")</f>
        <v>ED</v>
      </c>
      <c r="L32" s="5" t="s">
        <v>108</v>
      </c>
      <c r="M32" s="6" t="str">
        <f>_xlfn.XLOOKUP(N32, $W$88:$W$95, $X$88:$X$95, "Training")</f>
        <v>OP</v>
      </c>
      <c r="N32" s="5" t="s">
        <v>119</v>
      </c>
      <c r="O32" s="66"/>
      <c r="U32" s="165" t="s">
        <v>57</v>
      </c>
      <c r="V32" s="9">
        <f>SUM(COUNTIF($E$5:$N$55,U32),IF(T32&lt;&gt;0,COUNTIF($E$5:$N$55,T32),0),IF(S32&lt;&gt;0,COUNTIF($E$5:$N$55,S32),0))</f>
        <v>3</v>
      </c>
      <c r="X32" s="176" t="str">
        <f t="shared" si="5"/>
        <v>(RG)</v>
      </c>
      <c r="Y32" s="20">
        <f t="shared" si="25"/>
        <v>0</v>
      </c>
      <c r="Z32" s="21">
        <f t="shared" si="26"/>
        <v>1</v>
      </c>
      <c r="AA32" s="21">
        <f t="shared" si="27"/>
        <v>1</v>
      </c>
      <c r="AB32" s="22">
        <f t="shared" si="28"/>
        <v>1</v>
      </c>
      <c r="AC32" s="178" t="str">
        <f t="shared" si="20"/>
        <v xml:space="preserve"> </v>
      </c>
      <c r="AD32" s="177" t="str">
        <f t="shared" si="21"/>
        <v>MA (C)</v>
      </c>
      <c r="AE32" s="177" t="str">
        <f t="shared" si="22"/>
        <v>MA (L)</v>
      </c>
      <c r="AF32" s="180" t="str">
        <f t="shared" si="23"/>
        <v xml:space="preserve"> </v>
      </c>
      <c r="AG32" s="178" t="str">
        <f t="shared" si="9"/>
        <v xml:space="preserve"> </v>
      </c>
      <c r="AH32" s="177" t="str">
        <f t="shared" si="10"/>
        <v xml:space="preserve"> </v>
      </c>
      <c r="AI32" s="177" t="str">
        <f t="shared" si="11"/>
        <v xml:space="preserve"> </v>
      </c>
      <c r="AJ32" s="180" t="str">
        <f t="shared" si="12"/>
        <v>CA (A)</v>
      </c>
      <c r="AK32" s="178" t="str">
        <f t="shared" si="13"/>
        <v xml:space="preserve"> </v>
      </c>
      <c r="AL32" s="177" t="str">
        <f t="shared" si="14"/>
        <v xml:space="preserve"> </v>
      </c>
      <c r="AM32" s="177" t="str">
        <f t="shared" si="15"/>
        <v xml:space="preserve"> </v>
      </c>
      <c r="AN32" s="179" t="str">
        <f t="shared" si="16"/>
        <v xml:space="preserve"> </v>
      </c>
    </row>
    <row r="33" spans="1:40" ht="18.75" customHeight="1" x14ac:dyDescent="0.35">
      <c r="A33" s="344"/>
      <c r="B33" s="19" t="s">
        <v>125</v>
      </c>
      <c r="C33" s="98" t="s">
        <v>126</v>
      </c>
      <c r="D33" s="98"/>
      <c r="E33" s="6" t="str">
        <f>_xlfn.XLOOKUP(F33, $Y$88:$Y$95, $Z$88:$Z$95, "Training")</f>
        <v>SP</v>
      </c>
      <c r="F33" s="5" t="s">
        <v>113</v>
      </c>
      <c r="G33" s="6" t="str">
        <f>_xlfn.XLOOKUP(H33, $Y$88:$Y$95, $Z$88:$Z$95, "Training")</f>
        <v>CA</v>
      </c>
      <c r="H33" s="5" t="s">
        <v>112</v>
      </c>
      <c r="I33" s="348"/>
      <c r="J33" s="349"/>
      <c r="K33" s="6" t="str">
        <f>_xlfn.XLOOKUP(L33, $Y$88:$Y$95, $Z$88:$Z$95, "Training")</f>
        <v>MM</v>
      </c>
      <c r="L33" s="5" t="s">
        <v>109</v>
      </c>
      <c r="M33" s="6" t="str">
        <f>_xlfn.XLOOKUP(N33, $Y$88:$Y$95, $Z$88:$Z$95, "Training")</f>
        <v>HR</v>
      </c>
      <c r="N33" s="5" t="s">
        <v>118</v>
      </c>
      <c r="O33" s="66"/>
      <c r="U33" s="165" t="s">
        <v>127</v>
      </c>
      <c r="V33" s="9">
        <f t="shared" ref="V33:V59" si="29">SUM(COUNTIF($E$5:$N$55,U33),IF(T33&lt;&gt;0,COUNTIF($E$5:$N$55,T33),0),IF(S33&lt;&gt;0,COUNTIF($E$5:$N$55,S33),0))</f>
        <v>1</v>
      </c>
      <c r="X33" s="176" t="str">
        <f t="shared" si="5"/>
        <v>(RP)</v>
      </c>
      <c r="Y33" s="20">
        <f t="shared" si="25"/>
        <v>1</v>
      </c>
      <c r="Z33" s="21">
        <f t="shared" si="26"/>
        <v>0</v>
      </c>
      <c r="AA33" s="21">
        <f t="shared" si="27"/>
        <v>0</v>
      </c>
      <c r="AB33" s="22">
        <f t="shared" si="28"/>
        <v>0</v>
      </c>
      <c r="AC33" s="178" t="str">
        <f t="shared" si="20"/>
        <v xml:space="preserve"> </v>
      </c>
      <c r="AD33" s="177" t="str">
        <f t="shared" si="21"/>
        <v xml:space="preserve"> </v>
      </c>
      <c r="AE33" s="177" t="str">
        <f t="shared" si="22"/>
        <v xml:space="preserve"> </v>
      </c>
      <c r="AF33" s="180" t="str">
        <f t="shared" si="23"/>
        <v xml:space="preserve"> </v>
      </c>
      <c r="AG33" s="178" t="str">
        <f t="shared" si="9"/>
        <v xml:space="preserve"> </v>
      </c>
      <c r="AH33" s="177" t="str">
        <f t="shared" si="10"/>
        <v xml:space="preserve"> </v>
      </c>
      <c r="AI33" s="177" t="str">
        <f t="shared" si="11"/>
        <v xml:space="preserve"> </v>
      </c>
      <c r="AJ33" s="180" t="str">
        <f t="shared" si="12"/>
        <v xml:space="preserve"> </v>
      </c>
      <c r="AK33" s="178" t="str">
        <f t="shared" si="13"/>
        <v>SAN (N)</v>
      </c>
      <c r="AL33" s="177" t="str">
        <f t="shared" si="14"/>
        <v xml:space="preserve"> </v>
      </c>
      <c r="AM33" s="177" t="str">
        <f t="shared" si="15"/>
        <v xml:space="preserve"> </v>
      </c>
      <c r="AN33" s="179" t="str">
        <f t="shared" si="16"/>
        <v xml:space="preserve"> </v>
      </c>
    </row>
    <row r="34" spans="1:40" ht="18.75" customHeight="1" x14ac:dyDescent="0.35">
      <c r="A34" s="344"/>
      <c r="B34" s="19" t="s">
        <v>125</v>
      </c>
      <c r="C34" s="98" t="s">
        <v>128</v>
      </c>
      <c r="D34" s="98"/>
      <c r="E34" s="6" t="str">
        <f>_xlfn.XLOOKUP(F34, $AA$88:$AA$95, $AB$88:$AB$95, "Training")</f>
        <v>CA</v>
      </c>
      <c r="F34" s="5" t="s">
        <v>106</v>
      </c>
      <c r="G34" s="6" t="str">
        <f>_xlfn.XLOOKUP(H34, $AA$88:$AA$95, $AB$88:$AB$95, "Training")</f>
        <v>CP</v>
      </c>
      <c r="H34" s="5" t="s">
        <v>82</v>
      </c>
      <c r="I34" s="348"/>
      <c r="J34" s="349"/>
      <c r="K34" s="6" t="str">
        <f>_xlfn.XLOOKUP(L34, $AA$88:$AA$95, $AB$88:$AB$95, "Training")</f>
        <v>MM</v>
      </c>
      <c r="L34" s="5" t="s">
        <v>70</v>
      </c>
      <c r="M34" s="6" t="str">
        <f>_xlfn.XLOOKUP(N34, $AA$88:$AA$95, $AB$88:$AB$95, "Training")</f>
        <v>HR</v>
      </c>
      <c r="N34" s="5" t="s">
        <v>75</v>
      </c>
      <c r="O34" s="66"/>
      <c r="U34" s="165" t="s">
        <v>118</v>
      </c>
      <c r="V34" s="9">
        <f t="shared" si="29"/>
        <v>2</v>
      </c>
      <c r="X34" s="176" t="str">
        <f t="shared" si="5"/>
        <v>(RT)</v>
      </c>
      <c r="Y34" s="20">
        <f t="shared" si="25"/>
        <v>0</v>
      </c>
      <c r="Z34" s="21">
        <f t="shared" si="26"/>
        <v>1</v>
      </c>
      <c r="AA34" s="21">
        <f t="shared" si="27"/>
        <v>0</v>
      </c>
      <c r="AB34" s="22">
        <f t="shared" si="28"/>
        <v>1</v>
      </c>
      <c r="AC34" s="178" t="str">
        <f t="shared" si="20"/>
        <v xml:space="preserve"> </v>
      </c>
      <c r="AD34" s="177" t="str">
        <f t="shared" si="21"/>
        <v xml:space="preserve"> </v>
      </c>
      <c r="AE34" s="177" t="str">
        <f t="shared" si="22"/>
        <v xml:space="preserve"> </v>
      </c>
      <c r="AF34" s="180" t="str">
        <f t="shared" si="23"/>
        <v xml:space="preserve"> </v>
      </c>
      <c r="AG34" s="178" t="str">
        <f t="shared" si="9"/>
        <v xml:space="preserve"> </v>
      </c>
      <c r="AH34" s="177" t="str">
        <f t="shared" si="10"/>
        <v>HR (H)</v>
      </c>
      <c r="AI34" s="177" t="str">
        <f t="shared" si="11"/>
        <v xml:space="preserve"> </v>
      </c>
      <c r="AJ34" s="180" t="str">
        <f t="shared" si="12"/>
        <v>HR (M)</v>
      </c>
      <c r="AK34" s="178" t="str">
        <f t="shared" si="13"/>
        <v xml:space="preserve"> </v>
      </c>
      <c r="AL34" s="177" t="str">
        <f t="shared" si="14"/>
        <v xml:space="preserve"> </v>
      </c>
      <c r="AM34" s="177" t="str">
        <f t="shared" si="15"/>
        <v xml:space="preserve"> </v>
      </c>
      <c r="AN34" s="179" t="str">
        <f t="shared" si="16"/>
        <v xml:space="preserve"> </v>
      </c>
    </row>
    <row r="35" spans="1:40" ht="18.75" customHeight="1" x14ac:dyDescent="0.35">
      <c r="A35" s="344"/>
      <c r="B35" s="99" t="s">
        <v>87</v>
      </c>
      <c r="C35" s="162" t="s">
        <v>41</v>
      </c>
      <c r="D35" s="162"/>
      <c r="E35" s="6" t="s">
        <v>129</v>
      </c>
      <c r="F35" s="5" t="s">
        <v>100</v>
      </c>
      <c r="G35" s="6" t="s">
        <v>130</v>
      </c>
      <c r="H35" s="5" t="s">
        <v>131</v>
      </c>
      <c r="I35" s="348"/>
      <c r="J35" s="349"/>
      <c r="K35" s="6" t="s">
        <v>132</v>
      </c>
      <c r="L35" s="5" t="s">
        <v>133</v>
      </c>
      <c r="M35" s="6" t="s">
        <v>134</v>
      </c>
      <c r="N35" s="5" t="s">
        <v>98</v>
      </c>
      <c r="O35" s="66"/>
      <c r="U35" s="165" t="s">
        <v>133</v>
      </c>
      <c r="V35" s="9">
        <f t="shared" si="29"/>
        <v>5</v>
      </c>
      <c r="X35" s="176" t="str">
        <f t="shared" si="5"/>
        <v>(SA)</v>
      </c>
      <c r="Y35" s="20">
        <f t="shared" si="25"/>
        <v>1</v>
      </c>
      <c r="Z35" s="21">
        <f t="shared" si="26"/>
        <v>1</v>
      </c>
      <c r="AA35" s="21">
        <f t="shared" si="27"/>
        <v>2</v>
      </c>
      <c r="AB35" s="22">
        <f t="shared" si="28"/>
        <v>1</v>
      </c>
      <c r="AC35" s="178" t="str">
        <f t="shared" si="20"/>
        <v xml:space="preserve"> </v>
      </c>
      <c r="AD35" s="177" t="str">
        <f t="shared" si="21"/>
        <v xml:space="preserve"> </v>
      </c>
      <c r="AE35" s="177" t="str">
        <f t="shared" si="22"/>
        <v xml:space="preserve"> </v>
      </c>
      <c r="AF35" s="180" t="str">
        <f t="shared" si="23"/>
        <v xml:space="preserve"> </v>
      </c>
      <c r="AG35" s="178" t="str">
        <f t="shared" si="9"/>
        <v xml:space="preserve"> </v>
      </c>
      <c r="AH35" s="177" t="str">
        <f t="shared" si="10"/>
        <v xml:space="preserve"> </v>
      </c>
      <c r="AI35" s="177" t="str">
        <f t="shared" si="11"/>
        <v xml:space="preserve"> </v>
      </c>
      <c r="AJ35" s="180" t="str">
        <f t="shared" si="12"/>
        <v xml:space="preserve"> </v>
      </c>
      <c r="AK35" s="178" t="str">
        <f t="shared" si="13"/>
        <v>GE (A)</v>
      </c>
      <c r="AL35" s="177" t="str">
        <f t="shared" si="14"/>
        <v>GE (H)</v>
      </c>
      <c r="AM35" s="177" t="str">
        <f t="shared" si="15"/>
        <v>AE (B)</v>
      </c>
      <c r="AN35" s="179" t="str">
        <f t="shared" si="16"/>
        <v>GE (M)</v>
      </c>
    </row>
    <row r="36" spans="1:40" ht="18.75" customHeight="1" thickBot="1" x14ac:dyDescent="0.4">
      <c r="A36" s="345"/>
      <c r="B36" s="99" t="s">
        <v>87</v>
      </c>
      <c r="C36" s="162" t="s">
        <v>49</v>
      </c>
      <c r="D36" s="162"/>
      <c r="E36" s="6" t="s">
        <v>129</v>
      </c>
      <c r="F36" s="5" t="s">
        <v>94</v>
      </c>
      <c r="G36" s="6" t="s">
        <v>135</v>
      </c>
      <c r="H36" s="5" t="s">
        <v>89</v>
      </c>
      <c r="I36" s="350"/>
      <c r="J36" s="351"/>
      <c r="K36" s="6" t="s">
        <v>132</v>
      </c>
      <c r="L36" s="5" t="s">
        <v>123</v>
      </c>
      <c r="M36" s="6" t="s">
        <v>130</v>
      </c>
      <c r="N36" s="5" t="s">
        <v>131</v>
      </c>
      <c r="O36" s="67"/>
      <c r="U36" s="165" t="s">
        <v>107</v>
      </c>
      <c r="V36" s="9">
        <f t="shared" si="29"/>
        <v>3</v>
      </c>
      <c r="X36" s="176" t="str">
        <f t="shared" si="5"/>
        <v>(SAK)</v>
      </c>
      <c r="Y36" s="20">
        <f t="shared" si="25"/>
        <v>1</v>
      </c>
      <c r="Z36" s="21">
        <f t="shared" si="26"/>
        <v>1</v>
      </c>
      <c r="AA36" s="21">
        <f t="shared" si="27"/>
        <v>1</v>
      </c>
      <c r="AB36" s="22">
        <f t="shared" si="28"/>
        <v>0</v>
      </c>
      <c r="AC36" s="178" t="str">
        <f t="shared" si="20"/>
        <v xml:space="preserve"> </v>
      </c>
      <c r="AD36" s="177" t="str">
        <f t="shared" si="21"/>
        <v xml:space="preserve"> </v>
      </c>
      <c r="AE36" s="177" t="str">
        <f t="shared" si="22"/>
        <v xml:space="preserve"> </v>
      </c>
      <c r="AF36" s="180" t="str">
        <f t="shared" si="23"/>
        <v xml:space="preserve"> </v>
      </c>
      <c r="AG36" s="178" t="str">
        <f t="shared" si="9"/>
        <v>MM (I)</v>
      </c>
      <c r="AH36" s="177" t="str">
        <f t="shared" si="10"/>
        <v>MM (K)</v>
      </c>
      <c r="AI36" s="177" t="str">
        <f t="shared" si="11"/>
        <v>CM (B)</v>
      </c>
      <c r="AJ36" s="180" t="str">
        <f t="shared" si="12"/>
        <v xml:space="preserve"> </v>
      </c>
      <c r="AK36" s="178" t="str">
        <f t="shared" si="13"/>
        <v xml:space="preserve"> </v>
      </c>
      <c r="AL36" s="177" t="str">
        <f t="shared" si="14"/>
        <v xml:space="preserve"> </v>
      </c>
      <c r="AM36" s="177" t="str">
        <f t="shared" si="15"/>
        <v xml:space="preserve"> </v>
      </c>
      <c r="AN36" s="179" t="str">
        <f t="shared" si="16"/>
        <v xml:space="preserve"> </v>
      </c>
    </row>
    <row r="37" spans="1:40" ht="18.75" customHeight="1" thickBot="1" x14ac:dyDescent="0.4">
      <c r="A37" s="192" t="s">
        <v>26</v>
      </c>
      <c r="B37" s="299"/>
      <c r="C37" s="94" t="s">
        <v>27</v>
      </c>
      <c r="D37" s="95" t="s">
        <v>136</v>
      </c>
      <c r="E37" s="352" t="s">
        <v>137</v>
      </c>
      <c r="F37" s="353"/>
      <c r="G37" s="354" t="s">
        <v>138</v>
      </c>
      <c r="H37" s="353"/>
      <c r="I37" s="354" t="s">
        <v>139</v>
      </c>
      <c r="J37" s="353"/>
      <c r="K37" s="354" t="s">
        <v>140</v>
      </c>
      <c r="L37" s="353"/>
      <c r="M37" s="354" t="s">
        <v>141</v>
      </c>
      <c r="N37" s="358"/>
      <c r="O37" s="66"/>
      <c r="U37" s="165" t="s">
        <v>109</v>
      </c>
      <c r="V37" s="9">
        <f t="shared" si="29"/>
        <v>3</v>
      </c>
      <c r="X37" s="176" t="str">
        <f t="shared" si="5"/>
        <v>(SB)</v>
      </c>
      <c r="Y37" s="20">
        <f>SUM((COUNTIF($E$5:$F$55,$U37)),IF($T39&lt;&gt;0,(COUNTIF($E$5:$F$55,$T39))),IF($S39&lt;&gt;0,(COUNTIF($E$5:$F$55,$S39))))</f>
        <v>1</v>
      </c>
      <c r="Z37" s="21">
        <f>SUM(COUNTIF($G$5:$J$55,$U37),IF($T39&lt;&gt;0,(COUNTIF($G$5:$J$55,$T39))),IF($S39&lt;&gt;0,(COUNTIF($G$5:$J$55,$S39))))</f>
        <v>1</v>
      </c>
      <c r="AA37" s="21">
        <f>SUM(COUNTIF($K$5:$L$55,$U37),IF($T39&lt;&gt;0,(COUNTIF($K$5:$L$55,$T39))),IF($S39&lt;&gt;0,(COUNTIF($K$5:$L$55,$S39))))</f>
        <v>1</v>
      </c>
      <c r="AB37" s="22">
        <f>SUM(COUNTIF($M$5:$N$55,$U37),IF($T39&lt;&gt;0,(COUNTIF($M$5:$N$55,$T39))),IF($S39&lt;&gt;0,(COUNTIF($M$5:$N$55,$S39))))</f>
        <v>0</v>
      </c>
      <c r="AC37" s="178" t="str">
        <f t="shared" si="20"/>
        <v xml:space="preserve"> </v>
      </c>
      <c r="AD37" s="177" t="str">
        <f t="shared" si="21"/>
        <v xml:space="preserve"> </v>
      </c>
      <c r="AE37" s="177" t="str">
        <f t="shared" si="22"/>
        <v xml:space="preserve"> </v>
      </c>
      <c r="AF37" s="180" t="str">
        <f t="shared" si="23"/>
        <v xml:space="preserve"> </v>
      </c>
      <c r="AG37" s="178" t="str">
        <f t="shared" si="9"/>
        <v>MM (F)</v>
      </c>
      <c r="AH37" s="177" t="str">
        <f t="shared" si="10"/>
        <v>MM (C)</v>
      </c>
      <c r="AI37" s="177" t="str">
        <f t="shared" si="11"/>
        <v>MM (M)</v>
      </c>
      <c r="AJ37" s="180" t="str">
        <f t="shared" si="12"/>
        <v xml:space="preserve"> </v>
      </c>
      <c r="AK37" s="178" t="str">
        <f t="shared" si="13"/>
        <v xml:space="preserve"> </v>
      </c>
      <c r="AL37" s="177" t="str">
        <f t="shared" si="14"/>
        <v xml:space="preserve"> </v>
      </c>
      <c r="AM37" s="177" t="str">
        <f t="shared" si="15"/>
        <v xml:space="preserve"> </v>
      </c>
      <c r="AN37" s="179" t="str">
        <f t="shared" si="16"/>
        <v xml:space="preserve"> </v>
      </c>
    </row>
    <row r="38" spans="1:40" ht="19.5" customHeight="1" x14ac:dyDescent="0.35">
      <c r="A38" s="332">
        <v>1</v>
      </c>
      <c r="B38" s="100" t="s">
        <v>142</v>
      </c>
      <c r="C38" s="100" t="s">
        <v>41</v>
      </c>
      <c r="D38" s="91"/>
      <c r="E38" s="191" t="str">
        <f>_xlfn.XLOOKUP(F38, $A$74:$A$83, $B$74:$B$83, "Training")</f>
        <v>GE</v>
      </c>
      <c r="F38" s="96" t="s">
        <v>133</v>
      </c>
      <c r="G38" s="191" t="str">
        <f>_xlfn.XLOOKUP(H38, $A$74:$A$83, $B$74:$B$83, "Training")</f>
        <v>BM</v>
      </c>
      <c r="H38" s="51" t="s">
        <v>61</v>
      </c>
      <c r="I38" s="335" t="s">
        <v>143</v>
      </c>
      <c r="J38" s="336"/>
      <c r="K38" s="191" t="str">
        <f>_xlfn.XLOOKUP(L38, $A$74:$A$83, $B$74:$B$83, "Training")</f>
        <v>BT</v>
      </c>
      <c r="L38" s="96" t="s">
        <v>56</v>
      </c>
      <c r="M38" s="191" t="str">
        <f>_xlfn.XLOOKUP(N38, $A$74:$A$83, $B$74:$B$83, "Training")</f>
        <v>FA</v>
      </c>
      <c r="N38" s="96" t="s">
        <v>115</v>
      </c>
      <c r="O38" s="66"/>
      <c r="U38" s="165" t="s">
        <v>144</v>
      </c>
      <c r="V38" s="9">
        <f t="shared" si="29"/>
        <v>3</v>
      </c>
      <c r="X38" s="176" t="str">
        <f t="shared" si="5"/>
        <v>(SC)</v>
      </c>
      <c r="Y38" s="20">
        <f>SUM((COUNTIF($E$5:$F$55,$U38)),IF($T40&lt;&gt;0,(COUNTIF($E$5:$F$55,$T40))),IF($S40&lt;&gt;0,(COUNTIF($E$5:$F$55,$S40))))</f>
        <v>1</v>
      </c>
      <c r="Z38" s="21">
        <f>SUM(COUNTIF($G$5:$J$55,$U38),IF($T40&lt;&gt;0,(COUNTIF($G$5:$J$55,$T40))),IF($S40&lt;&gt;0,(COUNTIF($G$5:$J$55,$S40))))</f>
        <v>1</v>
      </c>
      <c r="AA38" s="21">
        <f>SUM(COUNTIF($K$5:$L$55,$U38),IF($T40&lt;&gt;0,(COUNTIF($K$5:$L$55,$T40))),IF($S40&lt;&gt;0,(COUNTIF($K$5:$L$55,$S40))))</f>
        <v>0</v>
      </c>
      <c r="AB38" s="22">
        <f>SUM(COUNTIF($M$5:$N$55,$U38),IF($T40&lt;&gt;0,(COUNTIF($M$5:$N$55,$T40))),IF($S40&lt;&gt;0,(COUNTIF($M$5:$N$55,$S40))))</f>
        <v>1</v>
      </c>
      <c r="AC38" s="178" t="str">
        <f t="shared" si="20"/>
        <v xml:space="preserve"> </v>
      </c>
      <c r="AD38" s="177" t="str">
        <f t="shared" si="21"/>
        <v xml:space="preserve"> </v>
      </c>
      <c r="AE38" s="177" t="str">
        <f t="shared" si="22"/>
        <v xml:space="preserve"> </v>
      </c>
      <c r="AF38" s="180" t="str">
        <f t="shared" si="23"/>
        <v xml:space="preserve"> </v>
      </c>
      <c r="AG38" s="178" t="str">
        <f t="shared" si="9"/>
        <v xml:space="preserve"> </v>
      </c>
      <c r="AH38" s="177" t="str">
        <f t="shared" si="10"/>
        <v xml:space="preserve"> </v>
      </c>
      <c r="AI38" s="177" t="str">
        <f t="shared" si="11"/>
        <v xml:space="preserve"> </v>
      </c>
      <c r="AJ38" s="180" t="str">
        <f t="shared" si="12"/>
        <v xml:space="preserve"> </v>
      </c>
      <c r="AK38" s="178" t="str">
        <f t="shared" si="13"/>
        <v>AE (E)</v>
      </c>
      <c r="AL38" s="177" t="str">
        <f t="shared" si="14"/>
        <v>AE (F)</v>
      </c>
      <c r="AM38" s="177" t="str">
        <f t="shared" si="15"/>
        <v xml:space="preserve"> </v>
      </c>
      <c r="AN38" s="179" t="str">
        <f t="shared" si="16"/>
        <v>GE (D)</v>
      </c>
    </row>
    <row r="39" spans="1:40" ht="19.5" customHeight="1" x14ac:dyDescent="0.35">
      <c r="A39" s="333"/>
      <c r="B39" s="19" t="s">
        <v>142</v>
      </c>
      <c r="C39" s="19" t="s">
        <v>49</v>
      </c>
      <c r="D39" s="76"/>
      <c r="E39" s="49" t="str">
        <f>_xlfn.XLOOKUP(F39, $C$74:$C$83, $D$74:$D$83, "Training")</f>
        <v>BT</v>
      </c>
      <c r="F39" s="50" t="s">
        <v>103</v>
      </c>
      <c r="G39" s="49" t="str">
        <f>_xlfn.XLOOKUP(H39, $C$74:$C$83, $D$74:$D$83, "Training")</f>
        <v>FA</v>
      </c>
      <c r="H39" s="50" t="s">
        <v>145</v>
      </c>
      <c r="I39" s="337"/>
      <c r="J39" s="338"/>
      <c r="K39" s="49" t="str">
        <f>_xlfn.XLOOKUP(L39, $C$74:$C$83, $D$74:$D$83, "Training")</f>
        <v>AE</v>
      </c>
      <c r="L39" s="50" t="s">
        <v>133</v>
      </c>
      <c r="M39" s="49" t="str">
        <f>_xlfn.XLOOKUP(N39, $C$74:$C$83, $D$74:$D$83, "Training")</f>
        <v>GE</v>
      </c>
      <c r="N39" s="50" t="s">
        <v>123</v>
      </c>
      <c r="O39" s="66"/>
      <c r="U39" s="165" t="s">
        <v>146</v>
      </c>
      <c r="V39" s="9">
        <f t="shared" si="29"/>
        <v>4</v>
      </c>
      <c r="X39" s="176" t="str">
        <f t="shared" si="5"/>
        <v>(SE)</v>
      </c>
      <c r="Y39" s="20">
        <f>SUM((COUNTIF($E$5:$F$55,$U39)),IF($T42&lt;&gt;0,(COUNTIF($E$5:$F$55,$T42))),IF($S42&lt;&gt;0,(COUNTIF($E$5:$F$55,$S42))))</f>
        <v>1</v>
      </c>
      <c r="Z39" s="21">
        <f>SUM(COUNTIF($G$5:$J$55,$U39),IF($T42&lt;&gt;0,(COUNTIF($G$5:$J$55,$T42))),IF($S42&lt;&gt;0,(COUNTIF($G$5:$J$55,$S42))))</f>
        <v>1</v>
      </c>
      <c r="AA39" s="21">
        <f>SUM(COUNTIF($K$5:$L$55,$U39),IF($T42&lt;&gt;0,(COUNTIF($K$5:$L$55,$T42))),IF($S42&lt;&gt;0,(COUNTIF($K$5:$L$55,$S42))))</f>
        <v>1</v>
      </c>
      <c r="AB39" s="22">
        <f>SUM(COUNTIF($M$5:$N$55,$U39),IF($T42&lt;&gt;0,(COUNTIF($M$5:$N$55,$T42))),IF($S42&lt;&gt;0,(COUNTIF($M$5:$N$55,$S42))))</f>
        <v>1</v>
      </c>
      <c r="AC39" s="178" t="str">
        <f t="shared" si="20"/>
        <v xml:space="preserve"> </v>
      </c>
      <c r="AD39" s="177" t="str">
        <f t="shared" si="21"/>
        <v xml:space="preserve"> </v>
      </c>
      <c r="AE39" s="177" t="str">
        <f t="shared" si="22"/>
        <v xml:space="preserve"> </v>
      </c>
      <c r="AF39" s="180" t="str">
        <f t="shared" si="23"/>
        <v xml:space="preserve"> </v>
      </c>
      <c r="AG39" s="178" t="str">
        <f t="shared" si="9"/>
        <v xml:space="preserve"> </v>
      </c>
      <c r="AH39" s="177" t="str">
        <f t="shared" si="10"/>
        <v xml:space="preserve"> </v>
      </c>
      <c r="AI39" s="177" t="str">
        <f t="shared" si="11"/>
        <v xml:space="preserve"> </v>
      </c>
      <c r="AJ39" s="180" t="str">
        <f t="shared" si="12"/>
        <v xml:space="preserve"> </v>
      </c>
      <c r="AK39" s="178" t="str">
        <f t="shared" si="13"/>
        <v>BT (M)</v>
      </c>
      <c r="AL39" s="177" t="str">
        <f t="shared" si="14"/>
        <v>BM (E)</v>
      </c>
      <c r="AM39" s="177" t="str">
        <f t="shared" si="15"/>
        <v>BM (F)</v>
      </c>
      <c r="AN39" s="179" t="str">
        <f t="shared" si="16"/>
        <v>BT (L)</v>
      </c>
    </row>
    <row r="40" spans="1:40" ht="19.5" customHeight="1" x14ac:dyDescent="0.35">
      <c r="A40" s="333"/>
      <c r="B40" s="19" t="s">
        <v>142</v>
      </c>
      <c r="C40" s="19" t="s">
        <v>55</v>
      </c>
      <c r="D40" s="76"/>
      <c r="E40" s="48" t="str">
        <f>_xlfn.XLOOKUP(F40, $E$74:$E$83, $F$74:$F$83, "Training")</f>
        <v>GE</v>
      </c>
      <c r="F40" s="51" t="s">
        <v>147</v>
      </c>
      <c r="G40" s="48" t="str">
        <f>_xlfn.XLOOKUP(H40, $E$74:$E$83, $F$74:$F$83, "Training")</f>
        <v>AE</v>
      </c>
      <c r="H40" s="51" t="s">
        <v>123</v>
      </c>
      <c r="I40" s="337"/>
      <c r="J40" s="338"/>
      <c r="K40" s="48" t="str">
        <f>_xlfn.XLOOKUP(L40, $E$74:$E$83, $F$74:$F$83, "Training")</f>
        <v>FA</v>
      </c>
      <c r="L40" s="51" t="s">
        <v>115</v>
      </c>
      <c r="M40" s="48" t="str">
        <f>_xlfn.XLOOKUP(N40, $E$74:$E$83, $F$74:$F$83, "Training")</f>
        <v>QT</v>
      </c>
      <c r="N40" s="51" t="s">
        <v>71</v>
      </c>
      <c r="O40" s="66"/>
      <c r="U40" s="165" t="s">
        <v>147</v>
      </c>
      <c r="V40" s="9">
        <f t="shared" si="29"/>
        <v>3</v>
      </c>
      <c r="X40" s="176" t="str">
        <f t="shared" si="5"/>
        <v>(SN)</v>
      </c>
      <c r="Y40" s="20">
        <f>SUM((COUNTIF($E$5:$F$55,$U40)),IF($T43&lt;&gt;0,(COUNTIF($E$5:$F$55,$T43))),IF($S43&lt;&gt;0,(COUNTIF($E$5:$F$55,$S43))))</f>
        <v>1</v>
      </c>
      <c r="Z40" s="21">
        <f>SUM(COUNTIF($G$5:$J$55,$U40),IF($T43&lt;&gt;0,(COUNTIF($G$5:$J$55,$T43))),IF($S43&lt;&gt;0,(COUNTIF($G$5:$J$55,$S43))))</f>
        <v>1</v>
      </c>
      <c r="AA40" s="21">
        <f>SUM(COUNTIF($K$5:$L$55,$U40),IF($T43&lt;&gt;0,(COUNTIF($K$5:$L$55,$T43))),IF($S43&lt;&gt;0,(COUNTIF($K$5:$L$55,$S43))))</f>
        <v>1</v>
      </c>
      <c r="AB40" s="22">
        <f>SUM(COUNTIF($M$5:$N$55,$U40),IF($T43&lt;&gt;0,(COUNTIF($M$5:$N$55,$T43))),IF($S43&lt;&gt;0,(COUNTIF($M$5:$N$55,$S43))))</f>
        <v>0</v>
      </c>
      <c r="AC40" s="178" t="str">
        <f t="shared" si="20"/>
        <v xml:space="preserve"> </v>
      </c>
      <c r="AD40" s="177" t="str">
        <f t="shared" si="21"/>
        <v xml:space="preserve"> </v>
      </c>
      <c r="AE40" s="177" t="str">
        <f t="shared" si="22"/>
        <v xml:space="preserve"> </v>
      </c>
      <c r="AF40" s="180" t="str">
        <f t="shared" si="23"/>
        <v xml:space="preserve"> </v>
      </c>
      <c r="AG40" s="178" t="str">
        <f t="shared" si="9"/>
        <v xml:space="preserve"> </v>
      </c>
      <c r="AH40" s="177" t="str">
        <f t="shared" si="10"/>
        <v xml:space="preserve"> </v>
      </c>
      <c r="AI40" s="177" t="str">
        <f t="shared" si="11"/>
        <v xml:space="preserve"> </v>
      </c>
      <c r="AJ40" s="180" t="str">
        <f t="shared" si="12"/>
        <v xml:space="preserve"> </v>
      </c>
      <c r="AK40" s="178" t="str">
        <f t="shared" si="13"/>
        <v>GE (C)</v>
      </c>
      <c r="AL40" s="177" t="str">
        <f t="shared" si="14"/>
        <v>GE (J)</v>
      </c>
      <c r="AM40" s="177" t="str">
        <f t="shared" si="15"/>
        <v>AE (G)</v>
      </c>
      <c r="AN40" s="179" t="str">
        <f t="shared" si="16"/>
        <v xml:space="preserve"> </v>
      </c>
    </row>
    <row r="41" spans="1:40" ht="19.5" customHeight="1" x14ac:dyDescent="0.35">
      <c r="A41" s="333"/>
      <c r="B41" s="19" t="s">
        <v>142</v>
      </c>
      <c r="C41" s="19" t="s">
        <v>37</v>
      </c>
      <c r="D41" s="76"/>
      <c r="E41" s="49" t="str">
        <f>_xlfn.XLOOKUP(F41, $G$74:$G$83, $H$74:$H$83, "Training")</f>
        <v>QT</v>
      </c>
      <c r="F41" s="50" t="s">
        <v>148</v>
      </c>
      <c r="G41" s="49" t="str">
        <f>_xlfn.XLOOKUP(H41, $G$74:$G$83, $H$74:$H$83, "Training")</f>
        <v>BM</v>
      </c>
      <c r="H41" s="50" t="s">
        <v>149</v>
      </c>
      <c r="I41" s="337"/>
      <c r="J41" s="338"/>
      <c r="K41" s="49" t="str">
        <f>_xlfn.XLOOKUP(L41, $G$74:$G$83, $H$74:$H$83, "Training")</f>
        <v>FA</v>
      </c>
      <c r="L41" s="50" t="s">
        <v>150</v>
      </c>
      <c r="M41" s="49" t="str">
        <f>_xlfn.XLOOKUP(N41, $G$74:$G$83, $H$74:$H$83, "Training")</f>
        <v>GE</v>
      </c>
      <c r="N41" s="50" t="s">
        <v>144</v>
      </c>
      <c r="O41" s="66"/>
      <c r="U41" s="165" t="s">
        <v>82</v>
      </c>
      <c r="V41" s="9">
        <f t="shared" si="29"/>
        <v>4</v>
      </c>
      <c r="X41" s="176" t="str">
        <f t="shared" si="5"/>
        <v>(SP)</v>
      </c>
      <c r="Y41" s="20">
        <f>SUM((COUNTIF($E$5:$F$55,$U41)),IF($T44&lt;&gt;0,(COUNTIF($E$5:$F$55,$T44))),IF($S44&lt;&gt;0,(COUNTIF($E$5:$F$55,$S44))))</f>
        <v>0</v>
      </c>
      <c r="Z41" s="21">
        <f>SUM(COUNTIF($G$5:$J$55,$U41),IF($T44&lt;&gt;0,(COUNTIF($G$5:$J$55,$T44))),IF($S44&lt;&gt;0,(COUNTIF($G$5:$J$55,$S44))))</f>
        <v>1</v>
      </c>
      <c r="AA41" s="21">
        <f>SUM(COUNTIF($K$5:$L$55,$U41),IF($T44&lt;&gt;0,(COUNTIF($K$5:$L$55,$T44))),IF($S44&lt;&gt;0,(COUNTIF($K$5:$L$55,$S44))))</f>
        <v>1</v>
      </c>
      <c r="AB41" s="22">
        <f>SUM(COUNTIF($M$5:$N$55,$U41),IF($T44&lt;&gt;0,(COUNTIF($M$5:$N$55,$T44))),IF($S44&lt;&gt;0,(COUNTIF($M$5:$N$55,$S44))))</f>
        <v>2</v>
      </c>
      <c r="AC41" s="178" t="str">
        <f t="shared" si="20"/>
        <v xml:space="preserve"> </v>
      </c>
      <c r="AD41" s="177" t="str">
        <f t="shared" si="21"/>
        <v xml:space="preserve"> </v>
      </c>
      <c r="AE41" s="177" t="str">
        <f t="shared" si="22"/>
        <v xml:space="preserve"> </v>
      </c>
      <c r="AF41" s="180" t="str">
        <f t="shared" si="23"/>
        <v>PR (K)</v>
      </c>
      <c r="AG41" s="178" t="str">
        <f t="shared" si="9"/>
        <v xml:space="preserve"> </v>
      </c>
      <c r="AH41" s="177" t="str">
        <f t="shared" si="10"/>
        <v>CP (N)</v>
      </c>
      <c r="AI41" s="177" t="str">
        <f t="shared" si="11"/>
        <v>CP (I)</v>
      </c>
      <c r="AJ41" s="180" t="str">
        <f t="shared" si="12"/>
        <v xml:space="preserve"> </v>
      </c>
      <c r="AK41" s="178" t="str">
        <f t="shared" si="13"/>
        <v xml:space="preserve"> </v>
      </c>
      <c r="AL41" s="177" t="str">
        <f t="shared" si="14"/>
        <v xml:space="preserve"> </v>
      </c>
      <c r="AM41" s="177" t="str">
        <f t="shared" si="15"/>
        <v xml:space="preserve"> </v>
      </c>
      <c r="AN41" s="179" t="str">
        <f t="shared" si="16"/>
        <v xml:space="preserve"> </v>
      </c>
    </row>
    <row r="42" spans="1:40" ht="19.5" customHeight="1" x14ac:dyDescent="0.35">
      <c r="A42" s="333"/>
      <c r="B42" s="19" t="s">
        <v>142</v>
      </c>
      <c r="C42" s="19" t="s">
        <v>38</v>
      </c>
      <c r="D42" s="76"/>
      <c r="E42" s="48" t="str">
        <f>_xlfn.XLOOKUP(F42, $I$74:$I$83, $J$74:$J$83, "Training")</f>
        <v>AE</v>
      </c>
      <c r="F42" s="51" t="s">
        <v>144</v>
      </c>
      <c r="G42" s="48" t="str">
        <f>_xlfn.XLOOKUP(H42, $I$74:$I$83, $J$74:$J$83, "Training")</f>
        <v>BM</v>
      </c>
      <c r="H42" s="51" t="s">
        <v>146</v>
      </c>
      <c r="I42" s="337"/>
      <c r="J42" s="338"/>
      <c r="K42" s="48" t="str">
        <f>_xlfn.XLOOKUP(L42, $I$74:$I$83, $J$74:$J$83, "Training")</f>
        <v>BT</v>
      </c>
      <c r="L42" s="51" t="s">
        <v>95</v>
      </c>
      <c r="M42" s="48" t="str">
        <f>_xlfn.XLOOKUP(N42, $I$74:$I$83, $J$74:$J$83, "Training")</f>
        <v>GE</v>
      </c>
      <c r="N42" s="51" t="s">
        <v>77</v>
      </c>
      <c r="O42" s="66"/>
      <c r="U42" s="165" t="s">
        <v>51</v>
      </c>
      <c r="V42" s="9">
        <f t="shared" si="29"/>
        <v>3</v>
      </c>
      <c r="X42" s="176" t="str">
        <f t="shared" si="5"/>
        <v>(SR)</v>
      </c>
      <c r="Y42" s="20">
        <f>SUM((COUNTIF($E$5:$F$55,$U42)),IF($T45&lt;&gt;0,(COUNTIF($E$5:$F$55,$T45))),IF($S45&lt;&gt;0,(COUNTIF($E$5:$F$55,$S45))))</f>
        <v>1</v>
      </c>
      <c r="Z42" s="21">
        <f>SUM(COUNTIF($G$5:$J$55,$U42),IF($T45&lt;&gt;0,(COUNTIF($G$5:$J$55,$T45))),IF($S45&lt;&gt;0,(COUNTIF($G$5:$J$55,$S45))))</f>
        <v>1</v>
      </c>
      <c r="AA42" s="21">
        <f>SUM(COUNTIF($K$5:$L$55,$U42),IF($T45&lt;&gt;0,(COUNTIF($K$5:$L$55,$T45))),IF($S45&lt;&gt;0,(COUNTIF($K$5:$L$55,$S45))))</f>
        <v>1</v>
      </c>
      <c r="AB42" s="22">
        <f>SUM(COUNTIF($M$5:$N$55,$U42),IF($T45&lt;&gt;0,(COUNTIF($M$5:$N$55,$T45))),IF($S45&lt;&gt;0,(COUNTIF($M$5:$N$55,$S45))))</f>
        <v>0</v>
      </c>
      <c r="AC42" s="178" t="str">
        <f t="shared" si="20"/>
        <v>ECOM (H)</v>
      </c>
      <c r="AD42" s="177" t="str">
        <f t="shared" si="21"/>
        <v>ECOM (B)</v>
      </c>
      <c r="AE42" s="177" t="str">
        <f t="shared" si="22"/>
        <v>ECOM (G)</v>
      </c>
      <c r="AF42" s="180" t="str">
        <f t="shared" si="23"/>
        <v xml:space="preserve"> </v>
      </c>
      <c r="AG42" s="178" t="str">
        <f t="shared" si="9"/>
        <v xml:space="preserve"> </v>
      </c>
      <c r="AH42" s="177" t="str">
        <f t="shared" si="10"/>
        <v xml:space="preserve"> </v>
      </c>
      <c r="AI42" s="177" t="str">
        <f t="shared" si="11"/>
        <v xml:space="preserve"> </v>
      </c>
      <c r="AJ42" s="180" t="str">
        <f t="shared" si="12"/>
        <v xml:space="preserve"> </v>
      </c>
      <c r="AK42" s="178" t="str">
        <f t="shared" si="13"/>
        <v xml:space="preserve"> </v>
      </c>
      <c r="AL42" s="177" t="str">
        <f t="shared" si="14"/>
        <v xml:space="preserve"> </v>
      </c>
      <c r="AM42" s="177" t="str">
        <f t="shared" si="15"/>
        <v xml:space="preserve"> </v>
      </c>
      <c r="AN42" s="179" t="str">
        <f t="shared" si="16"/>
        <v xml:space="preserve"> </v>
      </c>
    </row>
    <row r="43" spans="1:40" ht="19.5" customHeight="1" x14ac:dyDescent="0.35">
      <c r="A43" s="333"/>
      <c r="B43" s="19" t="s">
        <v>142</v>
      </c>
      <c r="C43" s="19" t="s">
        <v>65</v>
      </c>
      <c r="D43" s="76"/>
      <c r="E43" s="48" t="str">
        <f>_xlfn.XLOOKUP(F43, $K$74:$K$83, $L$74:$L$83, "Training")</f>
        <v>QT</v>
      </c>
      <c r="F43" s="51" t="s">
        <v>120</v>
      </c>
      <c r="G43" s="48" t="str">
        <f>_xlfn.XLOOKUP(H43, $K$74:$K$83, $L$74:$L$83, "Training")</f>
        <v>AE</v>
      </c>
      <c r="H43" s="51" t="s">
        <v>144</v>
      </c>
      <c r="I43" s="337"/>
      <c r="J43" s="338"/>
      <c r="K43" s="48" t="str">
        <f>_xlfn.XLOOKUP(L43, $K$74:$K$83, $L$74:$L$83, "Training")</f>
        <v>BM</v>
      </c>
      <c r="L43" s="51" t="s">
        <v>146</v>
      </c>
      <c r="M43" s="48" t="str">
        <f>_xlfn.XLOOKUP(N43, $K$74:$K$83, $L$74:$L$83, "Training")</f>
        <v>FA</v>
      </c>
      <c r="N43" s="51" t="s">
        <v>151</v>
      </c>
      <c r="O43" s="66"/>
      <c r="U43" s="165" t="s">
        <v>50</v>
      </c>
      <c r="V43" s="9">
        <f t="shared" si="29"/>
        <v>4</v>
      </c>
      <c r="X43" s="176" t="str">
        <f t="shared" si="5"/>
        <v>(SRN)</v>
      </c>
      <c r="Y43" s="20">
        <f t="shared" ref="Y43:Y55" si="30">SUM((COUNTIF($E$5:$F$55,$U43)),IF($T47&lt;&gt;0,(COUNTIF($E$5:$F$55,$T47))),IF($S47&lt;&gt;0,(COUNTIF($E$5:$F$55,$S47))))</f>
        <v>1</v>
      </c>
      <c r="Z43" s="21">
        <f t="shared" ref="Z43:Z55" si="31">SUM(COUNTIF($G$5:$J$55,$U43),IF($T47&lt;&gt;0,(COUNTIF($G$5:$J$55,$T47))),IF($S47&lt;&gt;0,(COUNTIF($G$5:$J$55,$S47))))</f>
        <v>1</v>
      </c>
      <c r="AA43" s="21">
        <f t="shared" ref="AA43:AA55" si="32">SUM(COUNTIF($K$5:$L$55,$U43),IF($T47&lt;&gt;0,(COUNTIF($K$5:$L$55,$T47))),IF($S47&lt;&gt;0,(COUNTIF($K$5:$L$55,$S47))))</f>
        <v>1</v>
      </c>
      <c r="AB43" s="22">
        <f t="shared" ref="AB43:AB55" si="33">SUM(COUNTIF($M$5:$N$55,$U43),IF($T47&lt;&gt;0,(COUNTIF($M$5:$N$55,$T47))),IF($S47&lt;&gt;0,(COUNTIF($M$5:$N$55,$S47))))</f>
        <v>1</v>
      </c>
      <c r="AC43" s="178" t="str">
        <f t="shared" si="20"/>
        <v>IF (B)</v>
      </c>
      <c r="AD43" s="177" t="str">
        <f t="shared" si="21"/>
        <v>IT (D)</v>
      </c>
      <c r="AE43" s="177" t="str">
        <f t="shared" si="22"/>
        <v>IT (H)</v>
      </c>
      <c r="AF43" s="180" t="str">
        <f t="shared" si="23"/>
        <v>IT (A)</v>
      </c>
      <c r="AG43" s="178" t="str">
        <f t="shared" si="9"/>
        <v xml:space="preserve"> </v>
      </c>
      <c r="AH43" s="177" t="str">
        <f t="shared" si="10"/>
        <v xml:space="preserve"> </v>
      </c>
      <c r="AI43" s="177" t="str">
        <f t="shared" si="11"/>
        <v xml:space="preserve"> </v>
      </c>
      <c r="AJ43" s="180" t="str">
        <f t="shared" si="12"/>
        <v xml:space="preserve"> </v>
      </c>
      <c r="AK43" s="178" t="str">
        <f t="shared" si="13"/>
        <v xml:space="preserve"> </v>
      </c>
      <c r="AL43" s="177" t="str">
        <f t="shared" si="14"/>
        <v xml:space="preserve"> </v>
      </c>
      <c r="AM43" s="177" t="str">
        <f t="shared" si="15"/>
        <v xml:space="preserve"> </v>
      </c>
      <c r="AN43" s="179" t="str">
        <f t="shared" si="16"/>
        <v xml:space="preserve"> </v>
      </c>
    </row>
    <row r="44" spans="1:40" ht="19.5" customHeight="1" x14ac:dyDescent="0.35">
      <c r="A44" s="333"/>
      <c r="B44" s="19" t="s">
        <v>142</v>
      </c>
      <c r="C44" s="19" t="s">
        <v>69</v>
      </c>
      <c r="D44" s="76"/>
      <c r="E44" s="48" t="str">
        <f>_xlfn.XLOOKUP(F44, $M$74:$M$83, $N$74:$N$83, "Training")</f>
        <v>QT</v>
      </c>
      <c r="F44" s="51" t="s">
        <v>71</v>
      </c>
      <c r="G44" s="48" t="str">
        <f>_xlfn.XLOOKUP(H44, $M$74:$M$83, $N$74:$N$83, "Training")</f>
        <v>BM</v>
      </c>
      <c r="H44" s="51" t="s">
        <v>54</v>
      </c>
      <c r="I44" s="337"/>
      <c r="J44" s="338"/>
      <c r="K44" s="48" t="str">
        <f>_xlfn.XLOOKUP(L44, $M$74:$M$83, $N$74:$N$83, "Training")</f>
        <v>AE</v>
      </c>
      <c r="L44" s="51" t="s">
        <v>147</v>
      </c>
      <c r="M44" s="48" t="str">
        <f>_xlfn.XLOOKUP(N44, $M$74:$M$83, $N$74:$N$83, "Training")</f>
        <v>BT</v>
      </c>
      <c r="N44" s="51" t="s">
        <v>34</v>
      </c>
      <c r="O44" s="66"/>
      <c r="U44" s="165" t="s">
        <v>74</v>
      </c>
      <c r="V44" s="9">
        <f t="shared" si="29"/>
        <v>3</v>
      </c>
      <c r="X44" s="176" t="str">
        <f t="shared" si="5"/>
        <v>(SRS)</v>
      </c>
      <c r="Y44" s="20">
        <f t="shared" si="30"/>
        <v>0</v>
      </c>
      <c r="Z44" s="21">
        <f t="shared" si="31"/>
        <v>1</v>
      </c>
      <c r="AA44" s="21">
        <f t="shared" si="32"/>
        <v>1</v>
      </c>
      <c r="AB44" s="22">
        <f t="shared" si="33"/>
        <v>1</v>
      </c>
      <c r="AC44" s="178" t="str">
        <f t="shared" si="20"/>
        <v xml:space="preserve"> </v>
      </c>
      <c r="AD44" s="177" t="str">
        <f t="shared" si="21"/>
        <v xml:space="preserve"> </v>
      </c>
      <c r="AE44" s="177" t="str">
        <f t="shared" si="22"/>
        <v>CB (K)</v>
      </c>
      <c r="AF44" s="180" t="str">
        <f t="shared" si="23"/>
        <v>CB (H)</v>
      </c>
      <c r="AG44" s="178" t="str">
        <f t="shared" si="9"/>
        <v xml:space="preserve"> </v>
      </c>
      <c r="AH44" s="177" t="str">
        <f t="shared" si="10"/>
        <v>MM (L)</v>
      </c>
      <c r="AI44" s="177" t="str">
        <f t="shared" si="11"/>
        <v xml:space="preserve"> </v>
      </c>
      <c r="AJ44" s="180" t="str">
        <f t="shared" si="12"/>
        <v xml:space="preserve"> </v>
      </c>
      <c r="AK44" s="178" t="str">
        <f t="shared" si="13"/>
        <v xml:space="preserve"> </v>
      </c>
      <c r="AL44" s="177" t="str">
        <f t="shared" si="14"/>
        <v xml:space="preserve"> </v>
      </c>
      <c r="AM44" s="177" t="str">
        <f t="shared" si="15"/>
        <v xml:space="preserve"> </v>
      </c>
      <c r="AN44" s="179" t="str">
        <f t="shared" si="16"/>
        <v xml:space="preserve"> </v>
      </c>
    </row>
    <row r="45" spans="1:40" ht="19.5" customHeight="1" x14ac:dyDescent="0.35">
      <c r="A45" s="333"/>
      <c r="B45" s="19" t="s">
        <v>142</v>
      </c>
      <c r="C45" s="19" t="s">
        <v>72</v>
      </c>
      <c r="D45" s="76"/>
      <c r="E45" s="48" t="str">
        <f>_xlfn.XLOOKUP(F45, $O$74:$O$83, $P$74:$P$83, "Training")</f>
        <v>FA</v>
      </c>
      <c r="F45" s="51" t="s">
        <v>115</v>
      </c>
      <c r="G45" s="48" t="str">
        <f>_xlfn.XLOOKUP(H45, $O$74:$O$83, $P$74:$P$83, "Training")</f>
        <v>GE</v>
      </c>
      <c r="H45" s="51" t="s">
        <v>133</v>
      </c>
      <c r="I45" s="337"/>
      <c r="J45" s="338"/>
      <c r="K45" s="48" t="str">
        <f>_xlfn.XLOOKUP(L45, $O$74:$O$83, $P$74:$P$83, "Training")</f>
        <v>QT</v>
      </c>
      <c r="L45" s="51" t="s">
        <v>148</v>
      </c>
      <c r="M45" s="48" t="str">
        <f>_xlfn.XLOOKUP(N45, $O$74:$O$83, $P$74:$P$83, "Training")</f>
        <v>BM</v>
      </c>
      <c r="N45" s="51" t="s">
        <v>149</v>
      </c>
      <c r="O45" s="66"/>
      <c r="U45" s="165" t="s">
        <v>104</v>
      </c>
      <c r="V45" s="9">
        <f t="shared" si="29"/>
        <v>4</v>
      </c>
      <c r="X45" s="176" t="str">
        <f t="shared" si="5"/>
        <v>(SUH)</v>
      </c>
      <c r="Y45" s="20">
        <f t="shared" si="30"/>
        <v>1</v>
      </c>
      <c r="Z45" s="21">
        <f t="shared" si="31"/>
        <v>1</v>
      </c>
      <c r="AA45" s="21">
        <f t="shared" si="32"/>
        <v>1</v>
      </c>
      <c r="AB45" s="22">
        <f t="shared" si="33"/>
        <v>1</v>
      </c>
      <c r="AC45" s="178" t="str">
        <f t="shared" si="20"/>
        <v xml:space="preserve"> </v>
      </c>
      <c r="AD45" s="177" t="str">
        <f t="shared" si="21"/>
        <v xml:space="preserve"> </v>
      </c>
      <c r="AE45" s="177" t="str">
        <f t="shared" si="22"/>
        <v xml:space="preserve"> </v>
      </c>
      <c r="AF45" s="180" t="str">
        <f t="shared" si="23"/>
        <v xml:space="preserve"> </v>
      </c>
      <c r="AG45" s="178" t="str">
        <f t="shared" si="9"/>
        <v>CM (C)</v>
      </c>
      <c r="AH45" s="177" t="str">
        <f t="shared" si="10"/>
        <v>HR (D)</v>
      </c>
      <c r="AI45" s="177" t="str">
        <f t="shared" si="11"/>
        <v>EVS (A)</v>
      </c>
      <c r="AJ45" s="180" t="str">
        <f t="shared" si="12"/>
        <v>HR (I)</v>
      </c>
      <c r="AK45" s="178" t="str">
        <f t="shared" si="13"/>
        <v xml:space="preserve"> </v>
      </c>
      <c r="AL45" s="177" t="str">
        <f t="shared" si="14"/>
        <v xml:space="preserve"> </v>
      </c>
      <c r="AM45" s="177" t="str">
        <f t="shared" si="15"/>
        <v xml:space="preserve"> </v>
      </c>
      <c r="AN45" s="179" t="str">
        <f t="shared" si="16"/>
        <v xml:space="preserve"> </v>
      </c>
    </row>
    <row r="46" spans="1:40" ht="19.5" customHeight="1" x14ac:dyDescent="0.35">
      <c r="A46" s="333"/>
      <c r="B46" s="19" t="s">
        <v>152</v>
      </c>
      <c r="C46" s="19" t="s">
        <v>76</v>
      </c>
      <c r="D46" s="76"/>
      <c r="E46" s="48" t="str">
        <f>_xlfn.XLOOKUP(F46, $Q$74:$Q$83, $R$74:$R$83, "Training")</f>
        <v>BT</v>
      </c>
      <c r="F46" s="51" t="s">
        <v>95</v>
      </c>
      <c r="G46" s="48" t="str">
        <f>_xlfn.XLOOKUP(H46, $Q$74:$Q$83, $R$74:$R$83, "Training")</f>
        <v>GE</v>
      </c>
      <c r="H46" s="51" t="s">
        <v>77</v>
      </c>
      <c r="I46" s="337"/>
      <c r="J46" s="338"/>
      <c r="K46" s="48" t="str">
        <f>_xlfn.XLOOKUP(L46, $Q$74:$Q$83, $R$74:$R$83, "Training")</f>
        <v>BM</v>
      </c>
      <c r="L46" s="51" t="s">
        <v>149</v>
      </c>
      <c r="M46" s="48" t="str">
        <f>_xlfn.XLOOKUP(N46, $Q$74:$Q$83, $R$74:$R$83, "Training")</f>
        <v>FA</v>
      </c>
      <c r="N46" s="51" t="s">
        <v>145</v>
      </c>
      <c r="O46" s="66"/>
      <c r="U46" s="165" t="s">
        <v>43</v>
      </c>
      <c r="V46" s="9">
        <f t="shared" si="29"/>
        <v>3</v>
      </c>
      <c r="X46" s="176" t="str">
        <f t="shared" si="5"/>
        <v>(SUN)</v>
      </c>
      <c r="Y46" s="20">
        <f t="shared" si="30"/>
        <v>1</v>
      </c>
      <c r="Z46" s="21">
        <f t="shared" si="31"/>
        <v>1</v>
      </c>
      <c r="AA46" s="21">
        <f t="shared" si="32"/>
        <v>0</v>
      </c>
      <c r="AB46" s="22">
        <f t="shared" si="33"/>
        <v>1</v>
      </c>
      <c r="AC46" s="178" t="str">
        <f t="shared" si="20"/>
        <v>FMS (D)</v>
      </c>
      <c r="AD46" s="177" t="str">
        <f t="shared" si="21"/>
        <v>FMS (A)</v>
      </c>
      <c r="AE46" s="177" t="str">
        <f t="shared" si="22"/>
        <v xml:space="preserve"> </v>
      </c>
      <c r="AF46" s="180" t="str">
        <f t="shared" si="23"/>
        <v>IB (C)</v>
      </c>
      <c r="AG46" s="178" t="str">
        <f t="shared" si="9"/>
        <v xml:space="preserve"> </v>
      </c>
      <c r="AH46" s="177" t="str">
        <f t="shared" si="10"/>
        <v xml:space="preserve"> </v>
      </c>
      <c r="AI46" s="177" t="str">
        <f t="shared" si="11"/>
        <v xml:space="preserve"> </v>
      </c>
      <c r="AJ46" s="180" t="str">
        <f t="shared" si="12"/>
        <v xml:space="preserve"> </v>
      </c>
      <c r="AK46" s="178" t="str">
        <f t="shared" si="13"/>
        <v xml:space="preserve"> </v>
      </c>
      <c r="AL46" s="177" t="str">
        <f t="shared" si="14"/>
        <v xml:space="preserve"> </v>
      </c>
      <c r="AM46" s="177" t="str">
        <f t="shared" si="15"/>
        <v xml:space="preserve"> </v>
      </c>
      <c r="AN46" s="179" t="str">
        <f t="shared" si="16"/>
        <v xml:space="preserve"> </v>
      </c>
    </row>
    <row r="47" spans="1:40" ht="19.5" customHeight="1" x14ac:dyDescent="0.35">
      <c r="A47" s="333"/>
      <c r="B47" s="19" t="s">
        <v>152</v>
      </c>
      <c r="C47" s="19" t="s">
        <v>79</v>
      </c>
      <c r="D47" s="76"/>
      <c r="E47" s="48" t="str">
        <f>_xlfn.XLOOKUP(F47, $S$74:$S$83, $T$74:$T$83, "Training")</f>
        <v>QT</v>
      </c>
      <c r="F47" s="51" t="s">
        <v>75</v>
      </c>
      <c r="G47" s="48" t="str">
        <f>_xlfn.XLOOKUP(H47, $S$74:$S$83, $T$74:$T$83, "Training")</f>
        <v>GE</v>
      </c>
      <c r="H47" s="51" t="s">
        <v>147</v>
      </c>
      <c r="I47" s="337"/>
      <c r="J47" s="338"/>
      <c r="K47" s="48" t="str">
        <f>_xlfn.XLOOKUP(L47, $S$74:$S$83, $T$74:$T$83, "Training")</f>
        <v>BT</v>
      </c>
      <c r="L47" s="51" t="s">
        <v>34</v>
      </c>
      <c r="M47" s="48" t="str">
        <f>_xlfn.XLOOKUP(N47, $S$74:$S$83, $T$74:$T$83, "Training")</f>
        <v>HIN</v>
      </c>
      <c r="N47" s="51" t="s">
        <v>153</v>
      </c>
      <c r="O47" s="66"/>
      <c r="U47" s="165" t="s">
        <v>45</v>
      </c>
      <c r="V47" s="9">
        <f t="shared" si="29"/>
        <v>3</v>
      </c>
      <c r="X47" s="176" t="str">
        <f t="shared" si="5"/>
        <v>(SUP)</v>
      </c>
      <c r="Y47" s="20">
        <f t="shared" si="30"/>
        <v>0</v>
      </c>
      <c r="Z47" s="21">
        <f t="shared" si="31"/>
        <v>1</v>
      </c>
      <c r="AA47" s="21">
        <f t="shared" si="32"/>
        <v>1</v>
      </c>
      <c r="AB47" s="22">
        <f t="shared" si="33"/>
        <v>1</v>
      </c>
      <c r="AC47" s="178" t="str">
        <f t="shared" si="20"/>
        <v xml:space="preserve"> </v>
      </c>
      <c r="AD47" s="177" t="str">
        <f t="shared" si="21"/>
        <v>IT (I)</v>
      </c>
      <c r="AE47" s="177" t="str">
        <f t="shared" si="22"/>
        <v>AA (A)</v>
      </c>
      <c r="AF47" s="180" t="str">
        <f t="shared" si="23"/>
        <v>AA (D)</v>
      </c>
      <c r="AG47" s="178" t="str">
        <f t="shared" si="9"/>
        <v xml:space="preserve"> </v>
      </c>
      <c r="AH47" s="177" t="str">
        <f t="shared" si="10"/>
        <v xml:space="preserve"> </v>
      </c>
      <c r="AI47" s="177" t="str">
        <f t="shared" si="11"/>
        <v xml:space="preserve"> </v>
      </c>
      <c r="AJ47" s="180" t="str">
        <f t="shared" si="12"/>
        <v xml:space="preserve"> </v>
      </c>
      <c r="AK47" s="178" t="str">
        <f t="shared" si="13"/>
        <v xml:space="preserve"> </v>
      </c>
      <c r="AL47" s="177" t="str">
        <f t="shared" si="14"/>
        <v xml:space="preserve"> </v>
      </c>
      <c r="AM47" s="177" t="str">
        <f t="shared" si="15"/>
        <v xml:space="preserve"> </v>
      </c>
      <c r="AN47" s="179" t="str">
        <f t="shared" si="16"/>
        <v xml:space="preserve"> </v>
      </c>
    </row>
    <row r="48" spans="1:40" ht="19.5" customHeight="1" x14ac:dyDescent="0.35">
      <c r="A48" s="333"/>
      <c r="B48" s="19" t="s">
        <v>152</v>
      </c>
      <c r="C48" s="19" t="s">
        <v>81</v>
      </c>
      <c r="D48" s="76"/>
      <c r="E48" s="48" t="str">
        <f>_xlfn.XLOOKUP(F48, $U$74:$U$83, $V$74:$V$83, "Training")</f>
        <v>BT</v>
      </c>
      <c r="F48" s="51" t="s">
        <v>56</v>
      </c>
      <c r="G48" s="48" t="str">
        <f>_xlfn.XLOOKUP(H48, $U$74:$U$83, $V$74:$V$83, "Training")</f>
        <v>QT</v>
      </c>
      <c r="H48" s="51" t="s">
        <v>75</v>
      </c>
      <c r="I48" s="337"/>
      <c r="J48" s="338"/>
      <c r="K48" s="48" t="str">
        <f>_xlfn.XLOOKUP(L48, $U$74:$U$83, $V$74:$V$83, "Training")</f>
        <v>HIN</v>
      </c>
      <c r="L48" s="51" t="s">
        <v>153</v>
      </c>
      <c r="M48" s="48" t="str">
        <f>_xlfn.XLOOKUP(N48, $U$74:$U$83, $V$74:$V$83, "Training")</f>
        <v>FA</v>
      </c>
      <c r="N48" s="51" t="s">
        <v>110</v>
      </c>
      <c r="O48" s="66"/>
      <c r="U48" s="165" t="s">
        <v>153</v>
      </c>
      <c r="V48" s="9">
        <f t="shared" si="29"/>
        <v>2</v>
      </c>
      <c r="X48" s="176" t="str">
        <f t="shared" si="5"/>
        <v>(SV)</v>
      </c>
      <c r="Y48" s="20">
        <f t="shared" si="30"/>
        <v>0</v>
      </c>
      <c r="Z48" s="21">
        <f t="shared" si="31"/>
        <v>0</v>
      </c>
      <c r="AA48" s="21">
        <f t="shared" si="32"/>
        <v>1</v>
      </c>
      <c r="AB48" s="22">
        <f t="shared" si="33"/>
        <v>1</v>
      </c>
      <c r="AC48" s="178" t="str">
        <f t="shared" si="20"/>
        <v xml:space="preserve"> </v>
      </c>
      <c r="AD48" s="177" t="str">
        <f t="shared" si="21"/>
        <v xml:space="preserve"> </v>
      </c>
      <c r="AE48" s="177" t="str">
        <f t="shared" si="22"/>
        <v xml:space="preserve"> </v>
      </c>
      <c r="AF48" s="180" t="str">
        <f t="shared" si="23"/>
        <v xml:space="preserve"> </v>
      </c>
      <c r="AG48" s="178" t="str">
        <f t="shared" si="9"/>
        <v xml:space="preserve"> </v>
      </c>
      <c r="AH48" s="177" t="str">
        <f t="shared" si="10"/>
        <v xml:space="preserve"> </v>
      </c>
      <c r="AI48" s="177" t="str">
        <f t="shared" si="11"/>
        <v xml:space="preserve"> </v>
      </c>
      <c r="AJ48" s="180" t="str">
        <f t="shared" si="12"/>
        <v xml:space="preserve"> </v>
      </c>
      <c r="AK48" s="178" t="str">
        <f t="shared" si="13"/>
        <v xml:space="preserve"> </v>
      </c>
      <c r="AL48" s="177" t="str">
        <f t="shared" si="14"/>
        <v xml:space="preserve"> </v>
      </c>
      <c r="AM48" s="177" t="str">
        <f t="shared" si="15"/>
        <v>HIN (K)</v>
      </c>
      <c r="AN48" s="179" t="str">
        <f t="shared" si="16"/>
        <v>HIN (J)</v>
      </c>
    </row>
    <row r="49" spans="1:40" ht="15" customHeight="1" x14ac:dyDescent="0.35">
      <c r="A49" s="333"/>
      <c r="B49" s="19" t="s">
        <v>152</v>
      </c>
      <c r="C49" s="19" t="s">
        <v>84</v>
      </c>
      <c r="D49" s="91"/>
      <c r="E49" s="48" t="str">
        <f>_xlfn.XLOOKUP(F49, $W$74:$W$83, $X$74:$X$83, "Training")</f>
        <v>BM</v>
      </c>
      <c r="F49" s="51" t="s">
        <v>149</v>
      </c>
      <c r="G49" s="48" t="str">
        <f>_xlfn.XLOOKUP(H49, $W$74:$W$83, $X$74:$X$83, "Training")</f>
        <v>QT</v>
      </c>
      <c r="H49" s="51" t="s">
        <v>148</v>
      </c>
      <c r="I49" s="337"/>
      <c r="J49" s="338"/>
      <c r="K49" s="48" t="str">
        <f>_xlfn.XLOOKUP(L49, $W$74:$W$83, $X$74:$X$83, "Training")</f>
        <v>GE</v>
      </c>
      <c r="L49" s="51" t="s">
        <v>123</v>
      </c>
      <c r="M49" s="48" t="str">
        <f>_xlfn.XLOOKUP(N49, $W$74:$W$83, $X$74:$X$83, "Training")</f>
        <v>BT</v>
      </c>
      <c r="N49" s="51" t="s">
        <v>146</v>
      </c>
      <c r="O49" s="66"/>
      <c r="U49" s="165" t="s">
        <v>112</v>
      </c>
      <c r="V49" s="9">
        <f t="shared" si="29"/>
        <v>4</v>
      </c>
      <c r="X49" s="176" t="str">
        <f t="shared" si="5"/>
        <v>(SW)</v>
      </c>
      <c r="Y49" s="20">
        <f t="shared" si="30"/>
        <v>1</v>
      </c>
      <c r="Z49" s="21">
        <f t="shared" si="31"/>
        <v>1</v>
      </c>
      <c r="AA49" s="21">
        <f t="shared" si="32"/>
        <v>1</v>
      </c>
      <c r="AB49" s="22">
        <f t="shared" si="33"/>
        <v>1</v>
      </c>
      <c r="AC49" s="178" t="str">
        <f t="shared" si="20"/>
        <v xml:space="preserve"> </v>
      </c>
      <c r="AD49" s="177" t="str">
        <f t="shared" si="21"/>
        <v xml:space="preserve"> </v>
      </c>
      <c r="AE49" s="177" t="str">
        <f t="shared" si="22"/>
        <v xml:space="preserve"> </v>
      </c>
      <c r="AF49" s="180" t="str">
        <f t="shared" si="23"/>
        <v xml:space="preserve"> </v>
      </c>
      <c r="AG49" s="178" t="str">
        <f t="shared" si="9"/>
        <v>CA (H)</v>
      </c>
      <c r="AH49" s="177" t="str">
        <f t="shared" si="10"/>
        <v>CA (M)</v>
      </c>
      <c r="AI49" s="177" t="str">
        <f t="shared" si="11"/>
        <v>CM (D)</v>
      </c>
      <c r="AJ49" s="180" t="str">
        <f t="shared" si="12"/>
        <v>CA (J)</v>
      </c>
      <c r="AK49" s="178" t="str">
        <f t="shared" si="13"/>
        <v xml:space="preserve"> </v>
      </c>
      <c r="AL49" s="177" t="str">
        <f t="shared" si="14"/>
        <v xml:space="preserve"> </v>
      </c>
      <c r="AM49" s="177" t="str">
        <f t="shared" si="15"/>
        <v xml:space="preserve"> </v>
      </c>
      <c r="AN49" s="179" t="str">
        <f t="shared" si="16"/>
        <v xml:space="preserve"> </v>
      </c>
    </row>
    <row r="50" spans="1:40" ht="15.75" customHeight="1" x14ac:dyDescent="0.35">
      <c r="A50" s="333"/>
      <c r="B50" s="19" t="s">
        <v>154</v>
      </c>
      <c r="C50" s="19" t="s">
        <v>126</v>
      </c>
      <c r="D50" s="91"/>
      <c r="E50" s="83" t="str">
        <f>_xlfn.XLOOKUP(F50, $Y$74:$Y$83, $Z$74:$Z$83, "Training")</f>
        <v>BT</v>
      </c>
      <c r="F50" s="187" t="s">
        <v>146</v>
      </c>
      <c r="G50" s="83" t="str">
        <f>_xlfn.XLOOKUP(H50, $Y$74:$Y$83, $Z$74:$Z$83, "Training")</f>
        <v>QT</v>
      </c>
      <c r="H50" s="188" t="s">
        <v>120</v>
      </c>
      <c r="I50" s="337"/>
      <c r="J50" s="338"/>
      <c r="K50" s="83" t="str">
        <f>_xlfn.XLOOKUP(L50, $Y$74:$Y$83, $Z$74:$Z$83, "Training")</f>
        <v>FA</v>
      </c>
      <c r="L50" s="187" t="s">
        <v>145</v>
      </c>
      <c r="M50" s="83" t="str">
        <f>_xlfn.XLOOKUP(N50, $Y$74:$Y$83, $Z$74:$Z$83, "Training")</f>
        <v>GE</v>
      </c>
      <c r="N50" s="187" t="s">
        <v>133</v>
      </c>
      <c r="O50" s="66"/>
      <c r="U50" s="165" t="s">
        <v>106</v>
      </c>
      <c r="V50" s="9">
        <f t="shared" si="29"/>
        <v>2</v>
      </c>
      <c r="X50" s="176" t="str">
        <f t="shared" si="5"/>
        <v>(TK)</v>
      </c>
      <c r="Y50" s="20">
        <f t="shared" si="30"/>
        <v>1</v>
      </c>
      <c r="Z50" s="21">
        <f t="shared" si="31"/>
        <v>1</v>
      </c>
      <c r="AA50" s="21">
        <f t="shared" si="32"/>
        <v>0</v>
      </c>
      <c r="AB50" s="22">
        <f t="shared" si="33"/>
        <v>0</v>
      </c>
      <c r="AC50" s="178" t="str">
        <f t="shared" si="20"/>
        <v xml:space="preserve"> </v>
      </c>
      <c r="AD50" s="177" t="str">
        <f t="shared" si="21"/>
        <v xml:space="preserve"> </v>
      </c>
      <c r="AE50" s="177" t="str">
        <f t="shared" si="22"/>
        <v xml:space="preserve"> </v>
      </c>
      <c r="AF50" s="180" t="str">
        <f t="shared" si="23"/>
        <v xml:space="preserve"> </v>
      </c>
      <c r="AG50" s="178" t="str">
        <f t="shared" si="9"/>
        <v>CA (N)</v>
      </c>
      <c r="AH50" s="177" t="str">
        <f t="shared" si="10"/>
        <v>CA (B)</v>
      </c>
      <c r="AI50" s="177" t="str">
        <f t="shared" si="11"/>
        <v xml:space="preserve"> </v>
      </c>
      <c r="AJ50" s="180" t="str">
        <f t="shared" si="12"/>
        <v xml:space="preserve"> </v>
      </c>
      <c r="AK50" s="178" t="str">
        <f t="shared" si="13"/>
        <v xml:space="preserve"> </v>
      </c>
      <c r="AL50" s="177" t="str">
        <f t="shared" si="14"/>
        <v xml:space="preserve"> </v>
      </c>
      <c r="AM50" s="177" t="str">
        <f t="shared" si="15"/>
        <v xml:space="preserve"> </v>
      </c>
      <c r="AN50" s="179" t="str">
        <f t="shared" si="16"/>
        <v xml:space="preserve"> </v>
      </c>
    </row>
    <row r="51" spans="1:40" ht="15" customHeight="1" x14ac:dyDescent="0.35">
      <c r="A51" s="333"/>
      <c r="B51" s="161" t="s">
        <v>155</v>
      </c>
      <c r="C51" s="98" t="s">
        <v>128</v>
      </c>
      <c r="D51" s="201"/>
      <c r="E51" s="49" t="str">
        <f>_xlfn.XLOOKUP(F51, $AA$74:$AA$83, $AB$74:$AB$83, "Training")</f>
        <v>SAN</v>
      </c>
      <c r="F51" s="203" t="s">
        <v>127</v>
      </c>
      <c r="G51" s="49" t="str">
        <f>_xlfn.XLOOKUP(H51, $AA$74:$AA$83, $AB$74:$AB$83, "Training")</f>
        <v>BT</v>
      </c>
      <c r="H51" s="50" t="s">
        <v>95</v>
      </c>
      <c r="I51" s="337"/>
      <c r="J51" s="338"/>
      <c r="K51" s="49" t="str">
        <f>_xlfn.XLOOKUP(L51, $AA$74:$AA$83, $AB$74:$AB$83, "Training")</f>
        <v>QT</v>
      </c>
      <c r="L51" s="203" t="s">
        <v>151</v>
      </c>
      <c r="M51" s="49" t="str">
        <f>_xlfn.XLOOKUP(N51, $AA$74:$AA$83, $AB$74:$AB$83, "Training")</f>
        <v>BM</v>
      </c>
      <c r="N51" s="203" t="s">
        <v>54</v>
      </c>
      <c r="O51" s="66"/>
      <c r="U51" s="165" t="s">
        <v>52</v>
      </c>
      <c r="V51" s="9">
        <f t="shared" si="29"/>
        <v>2</v>
      </c>
      <c r="X51" s="176" t="str">
        <f t="shared" si="5"/>
        <v>(UK)</v>
      </c>
      <c r="Y51" s="20">
        <f t="shared" si="30"/>
        <v>0</v>
      </c>
      <c r="Z51" s="21">
        <f t="shared" si="31"/>
        <v>1</v>
      </c>
      <c r="AA51" s="21">
        <f t="shared" si="32"/>
        <v>1</v>
      </c>
      <c r="AB51" s="22">
        <f t="shared" si="33"/>
        <v>0</v>
      </c>
      <c r="AC51" s="178" t="str">
        <f t="shared" si="20"/>
        <v xml:space="preserve"> </v>
      </c>
      <c r="AD51" s="177" t="str">
        <f t="shared" si="21"/>
        <v>IT (F)</v>
      </c>
      <c r="AE51" s="177" t="str">
        <f t="shared" si="22"/>
        <v>IT (B)</v>
      </c>
      <c r="AF51" s="180" t="str">
        <f t="shared" si="23"/>
        <v xml:space="preserve"> </v>
      </c>
      <c r="AG51" s="178" t="str">
        <f t="shared" si="9"/>
        <v xml:space="preserve"> </v>
      </c>
      <c r="AH51" s="177" t="str">
        <f t="shared" si="10"/>
        <v xml:space="preserve"> </v>
      </c>
      <c r="AI51" s="177" t="str">
        <f t="shared" si="11"/>
        <v xml:space="preserve"> </v>
      </c>
      <c r="AJ51" s="180" t="str">
        <f t="shared" si="12"/>
        <v xml:space="preserve"> </v>
      </c>
      <c r="AK51" s="178" t="str">
        <f t="shared" si="13"/>
        <v xml:space="preserve"> </v>
      </c>
      <c r="AL51" s="177" t="str">
        <f t="shared" si="14"/>
        <v xml:space="preserve"> </v>
      </c>
      <c r="AM51" s="177" t="str">
        <f t="shared" si="15"/>
        <v xml:space="preserve"> </v>
      </c>
      <c r="AN51" s="179" t="str">
        <f t="shared" si="16"/>
        <v xml:space="preserve"> </v>
      </c>
    </row>
    <row r="52" spans="1:40" x14ac:dyDescent="0.35">
      <c r="A52" s="333"/>
      <c r="B52" s="19" t="s">
        <v>87</v>
      </c>
      <c r="C52" s="98" t="s">
        <v>41</v>
      </c>
      <c r="D52" s="201"/>
      <c r="E52" s="48" t="s">
        <v>156</v>
      </c>
      <c r="F52" s="51"/>
      <c r="G52" s="48" t="s">
        <v>157</v>
      </c>
      <c r="H52" s="51" t="s">
        <v>98</v>
      </c>
      <c r="I52" s="337"/>
      <c r="J52" s="338"/>
      <c r="K52" s="48" t="s">
        <v>158</v>
      </c>
      <c r="L52" s="51" t="s">
        <v>77</v>
      </c>
      <c r="M52" s="48" t="s">
        <v>159</v>
      </c>
      <c r="N52" s="51" t="s">
        <v>131</v>
      </c>
      <c r="O52" s="66"/>
      <c r="U52" s="165" t="s">
        <v>110</v>
      </c>
      <c r="V52" s="9">
        <f t="shared" si="29"/>
        <v>3</v>
      </c>
      <c r="X52" s="176" t="str">
        <f t="shared" si="5"/>
        <v>(VA)</v>
      </c>
      <c r="Y52" s="20">
        <f t="shared" si="30"/>
        <v>0</v>
      </c>
      <c r="Z52" s="21">
        <f t="shared" si="31"/>
        <v>0</v>
      </c>
      <c r="AA52" s="21">
        <f t="shared" si="32"/>
        <v>1</v>
      </c>
      <c r="AB52" s="22">
        <f t="shared" si="33"/>
        <v>2</v>
      </c>
      <c r="AC52" s="178" t="str">
        <f t="shared" si="20"/>
        <v xml:space="preserve"> </v>
      </c>
      <c r="AD52" s="177" t="str">
        <f t="shared" si="21"/>
        <v xml:space="preserve"> </v>
      </c>
      <c r="AE52" s="177" t="str">
        <f t="shared" si="22"/>
        <v xml:space="preserve"> </v>
      </c>
      <c r="AF52" s="180" t="str">
        <f t="shared" si="23"/>
        <v xml:space="preserve"> </v>
      </c>
      <c r="AG52" s="178" t="str">
        <f t="shared" si="9"/>
        <v xml:space="preserve"> </v>
      </c>
      <c r="AH52" s="177" t="str">
        <f t="shared" si="10"/>
        <v xml:space="preserve"> </v>
      </c>
      <c r="AI52" s="177" t="str">
        <f t="shared" si="11"/>
        <v>CA (C)</v>
      </c>
      <c r="AJ52" s="180" t="str">
        <f t="shared" si="12"/>
        <v>CA (F)</v>
      </c>
      <c r="AK52" s="178" t="str">
        <f t="shared" si="13"/>
        <v xml:space="preserve"> </v>
      </c>
      <c r="AL52" s="177" t="str">
        <f t="shared" si="14"/>
        <v xml:space="preserve"> </v>
      </c>
      <c r="AM52" s="177" t="str">
        <f t="shared" si="15"/>
        <v xml:space="preserve"> </v>
      </c>
      <c r="AN52" s="179" t="str">
        <f t="shared" si="16"/>
        <v>FA (K)</v>
      </c>
    </row>
    <row r="53" spans="1:40" x14ac:dyDescent="0.35">
      <c r="A53" s="334"/>
      <c r="B53" s="19" t="s">
        <v>87</v>
      </c>
      <c r="C53" s="98" t="s">
        <v>49</v>
      </c>
      <c r="D53" s="201"/>
      <c r="E53" s="48" t="s">
        <v>156</v>
      </c>
      <c r="F53" s="51"/>
      <c r="G53" s="48" t="s">
        <v>159</v>
      </c>
      <c r="H53" s="51" t="s">
        <v>131</v>
      </c>
      <c r="I53" s="339"/>
      <c r="J53" s="340"/>
      <c r="K53" s="48" t="s">
        <v>157</v>
      </c>
      <c r="L53" s="51" t="s">
        <v>98</v>
      </c>
      <c r="M53" s="48" t="s">
        <v>158</v>
      </c>
      <c r="N53" s="51" t="s">
        <v>77</v>
      </c>
      <c r="O53" s="66"/>
      <c r="U53" s="165" t="s">
        <v>58</v>
      </c>
      <c r="V53" s="163">
        <f t="shared" si="29"/>
        <v>3</v>
      </c>
      <c r="X53" s="176" t="str">
        <f t="shared" si="5"/>
        <v>(VAR)</v>
      </c>
      <c r="Y53" s="20">
        <f t="shared" si="30"/>
        <v>1</v>
      </c>
      <c r="Z53" s="21">
        <f t="shared" si="31"/>
        <v>0</v>
      </c>
      <c r="AA53" s="21">
        <f t="shared" si="32"/>
        <v>1</v>
      </c>
      <c r="AB53" s="22">
        <f t="shared" si="33"/>
        <v>1</v>
      </c>
      <c r="AC53" s="178" t="str">
        <f t="shared" si="20"/>
        <v xml:space="preserve"> </v>
      </c>
      <c r="AD53" s="177" t="str">
        <f t="shared" si="21"/>
        <v xml:space="preserve"> </v>
      </c>
      <c r="AE53" s="177" t="str">
        <f t="shared" si="22"/>
        <v>IF (C)</v>
      </c>
      <c r="AF53" s="180" t="str">
        <f t="shared" si="23"/>
        <v>IF (F)</v>
      </c>
      <c r="AG53" s="178" t="str">
        <f t="shared" si="9"/>
        <v>MM (G)</v>
      </c>
      <c r="AH53" s="177" t="str">
        <f t="shared" si="10"/>
        <v xml:space="preserve"> </v>
      </c>
      <c r="AI53" s="177" t="str">
        <f t="shared" si="11"/>
        <v xml:space="preserve"> </v>
      </c>
      <c r="AJ53" s="180" t="str">
        <f t="shared" si="12"/>
        <v xml:space="preserve"> </v>
      </c>
      <c r="AK53" s="178" t="str">
        <f t="shared" si="13"/>
        <v xml:space="preserve"> </v>
      </c>
      <c r="AL53" s="177" t="str">
        <f t="shared" si="14"/>
        <v xml:space="preserve"> </v>
      </c>
      <c r="AM53" s="177" t="str">
        <f t="shared" si="15"/>
        <v xml:space="preserve"> </v>
      </c>
      <c r="AN53" s="179" t="str">
        <f t="shared" si="16"/>
        <v xml:space="preserve"> </v>
      </c>
    </row>
    <row r="54" spans="1:40" x14ac:dyDescent="0.35">
      <c r="U54" s="165" t="s">
        <v>145</v>
      </c>
      <c r="V54" s="163">
        <f t="shared" si="29"/>
        <v>3</v>
      </c>
      <c r="X54" s="176" t="str">
        <f t="shared" si="5"/>
        <v>(VIN)</v>
      </c>
      <c r="Y54" s="20">
        <f t="shared" si="30"/>
        <v>0</v>
      </c>
      <c r="Z54" s="21">
        <f t="shared" si="31"/>
        <v>1</v>
      </c>
      <c r="AA54" s="21">
        <f t="shared" si="32"/>
        <v>1</v>
      </c>
      <c r="AB54" s="22">
        <f t="shared" si="33"/>
        <v>1</v>
      </c>
      <c r="AC54" s="178" t="str">
        <f t="shared" si="20"/>
        <v xml:space="preserve"> </v>
      </c>
      <c r="AD54" s="177" t="str">
        <f t="shared" si="21"/>
        <v xml:space="preserve"> </v>
      </c>
      <c r="AE54" s="177" t="str">
        <f t="shared" si="22"/>
        <v xml:space="preserve"> </v>
      </c>
      <c r="AF54" s="180" t="str">
        <f t="shared" si="23"/>
        <v xml:space="preserve"> </v>
      </c>
      <c r="AG54" s="178" t="str">
        <f t="shared" si="9"/>
        <v xml:space="preserve"> </v>
      </c>
      <c r="AH54" s="177" t="str">
        <f t="shared" si="10"/>
        <v xml:space="preserve"> </v>
      </c>
      <c r="AI54" s="177" t="str">
        <f t="shared" si="11"/>
        <v xml:space="preserve"> </v>
      </c>
      <c r="AJ54" s="180" t="str">
        <f t="shared" si="12"/>
        <v xml:space="preserve"> </v>
      </c>
      <c r="AK54" s="178" t="str">
        <f t="shared" si="13"/>
        <v xml:space="preserve"> </v>
      </c>
      <c r="AL54" s="177" t="str">
        <f t="shared" si="14"/>
        <v>FA (B)</v>
      </c>
      <c r="AM54" s="177" t="str">
        <f t="shared" si="15"/>
        <v>FA (M)</v>
      </c>
      <c r="AN54" s="179" t="str">
        <f t="shared" si="16"/>
        <v>FA (I)</v>
      </c>
    </row>
    <row r="55" spans="1:40" x14ac:dyDescent="0.35">
      <c r="U55" s="165" t="s">
        <v>148</v>
      </c>
      <c r="V55" s="163">
        <f t="shared" si="29"/>
        <v>3</v>
      </c>
      <c r="X55" s="176" t="str">
        <f t="shared" si="5"/>
        <v>(VRL)</v>
      </c>
      <c r="Y55" s="20">
        <f t="shared" si="30"/>
        <v>1</v>
      </c>
      <c r="Z55" s="21">
        <f t="shared" si="31"/>
        <v>1</v>
      </c>
      <c r="AA55" s="21">
        <f t="shared" si="32"/>
        <v>1</v>
      </c>
      <c r="AB55" s="22">
        <f t="shared" si="33"/>
        <v>0</v>
      </c>
      <c r="AC55" s="178" t="str">
        <f t="shared" si="20"/>
        <v xml:space="preserve"> </v>
      </c>
      <c r="AD55" s="177" t="str">
        <f t="shared" si="21"/>
        <v xml:space="preserve"> </v>
      </c>
      <c r="AE55" s="177" t="str">
        <f t="shared" si="22"/>
        <v xml:space="preserve"> </v>
      </c>
      <c r="AF55" s="180" t="str">
        <f t="shared" si="23"/>
        <v xml:space="preserve"> </v>
      </c>
      <c r="AG55" s="178" t="str">
        <f t="shared" si="9"/>
        <v xml:space="preserve"> </v>
      </c>
      <c r="AH55" s="177" t="str">
        <f t="shared" si="10"/>
        <v xml:space="preserve"> </v>
      </c>
      <c r="AI55" s="177" t="str">
        <f t="shared" si="11"/>
        <v xml:space="preserve"> </v>
      </c>
      <c r="AJ55" s="180" t="str">
        <f t="shared" si="12"/>
        <v xml:space="preserve"> </v>
      </c>
      <c r="AK55" s="178" t="str">
        <f t="shared" si="13"/>
        <v>QT (D)</v>
      </c>
      <c r="AL55" s="177" t="str">
        <f t="shared" si="14"/>
        <v>QT (L)</v>
      </c>
      <c r="AM55" s="177" t="str">
        <f t="shared" si="15"/>
        <v>QT (H)</v>
      </c>
      <c r="AN55" s="179" t="str">
        <f t="shared" si="16"/>
        <v xml:space="preserve"> </v>
      </c>
    </row>
    <row r="56" spans="1:40" x14ac:dyDescent="0.35">
      <c r="U56" s="165" t="s">
        <v>103</v>
      </c>
      <c r="V56" s="163">
        <f t="shared" si="29"/>
        <v>3</v>
      </c>
      <c r="X56" s="176" t="str">
        <f t="shared" si="5"/>
        <v>(YL)</v>
      </c>
      <c r="Y56" s="20">
        <f t="shared" ref="Y56:Y62" si="34">SUM((COUNTIF($E$5:$F$55,$U56)),IF($T60&lt;&gt;0,(COUNTIF($E$5:$F$55,$T60))),IF($S60&lt;&gt;0,(COUNTIF($E$5:$F$55,$S60))))</f>
        <v>1</v>
      </c>
      <c r="Z56" s="21">
        <f t="shared" ref="Z56:Z62" si="35">SUM(COUNTIF($G$5:$J$55,$U56),IF($T60&lt;&gt;0,(COUNTIF($G$5:$J$55,$T60))),IF($S60&lt;&gt;0,(COUNTIF($G$5:$J$55,$S60))))</f>
        <v>1</v>
      </c>
      <c r="AA56" s="21">
        <f t="shared" ref="AA56:AA62" si="36">SUM(COUNTIF($K$5:$L$55,$U56),IF($T60&lt;&gt;0,(COUNTIF($K$5:$L$55,$T60))),IF($S60&lt;&gt;0,(COUNTIF($K$5:$L$55,$S60))))</f>
        <v>1</v>
      </c>
      <c r="AB56" s="22">
        <f t="shared" ref="AB56:AB62" si="37">SUM(COUNTIF($M$5:$N$55,$U56),IF($T60&lt;&gt;0,(COUNTIF($M$5:$N$55,$T60))),IF($S60&lt;&gt;0,(COUNTIF($M$5:$N$55,$S60))))</f>
        <v>0</v>
      </c>
      <c r="AC56" s="178" t="str">
        <f t="shared" si="20"/>
        <v xml:space="preserve"> </v>
      </c>
      <c r="AD56" s="177" t="str">
        <f t="shared" si="21"/>
        <v xml:space="preserve"> </v>
      </c>
      <c r="AE56" s="177" t="str">
        <f t="shared" si="22"/>
        <v xml:space="preserve"> </v>
      </c>
      <c r="AF56" s="180" t="str">
        <f t="shared" si="23"/>
        <v xml:space="preserve"> </v>
      </c>
      <c r="AG56" s="178" t="str">
        <f t="shared" si="9"/>
        <v xml:space="preserve"> </v>
      </c>
      <c r="AH56" s="177" t="str">
        <f t="shared" si="10"/>
        <v>ED (A)</v>
      </c>
      <c r="AI56" s="177" t="str">
        <f t="shared" si="11"/>
        <v>ED (F)</v>
      </c>
      <c r="AJ56" s="180" t="str">
        <f t="shared" si="12"/>
        <v xml:space="preserve"> </v>
      </c>
      <c r="AK56" s="178" t="str">
        <f t="shared" si="13"/>
        <v>BT (B)</v>
      </c>
      <c r="AL56" s="177" t="str">
        <f t="shared" si="14"/>
        <v xml:space="preserve"> </v>
      </c>
      <c r="AM56" s="177" t="str">
        <f t="shared" si="15"/>
        <v xml:space="preserve"> </v>
      </c>
      <c r="AN56" s="179" t="str">
        <f t="shared" si="16"/>
        <v xml:space="preserve"> </v>
      </c>
    </row>
    <row r="57" spans="1:40" x14ac:dyDescent="0.35">
      <c r="U57" s="210" t="s">
        <v>111</v>
      </c>
      <c r="V57" s="163">
        <f t="shared" si="29"/>
        <v>4</v>
      </c>
      <c r="X57" s="176" t="str">
        <f t="shared" ref="X57:X58" si="38">U57</f>
        <v>(RR)</v>
      </c>
      <c r="Y57" s="20">
        <f t="shared" si="34"/>
        <v>2</v>
      </c>
      <c r="Z57" s="21">
        <f t="shared" si="35"/>
        <v>1</v>
      </c>
      <c r="AA57" s="21">
        <f t="shared" si="36"/>
        <v>0</v>
      </c>
      <c r="AB57" s="22">
        <f t="shared" si="37"/>
        <v>1</v>
      </c>
      <c r="AC57" s="178" t="str">
        <f t="shared" si="20"/>
        <v xml:space="preserve"> </v>
      </c>
      <c r="AD57" s="177" t="str">
        <f t="shared" si="21"/>
        <v xml:space="preserve"> </v>
      </c>
      <c r="AE57" s="177" t="str">
        <f t="shared" si="22"/>
        <v xml:space="preserve"> </v>
      </c>
      <c r="AF57" s="180" t="str">
        <f t="shared" si="23"/>
        <v xml:space="preserve"> </v>
      </c>
      <c r="AG57" s="178" t="str">
        <f t="shared" si="9"/>
        <v>ED (D)</v>
      </c>
      <c r="AH57" s="177" t="str">
        <f t="shared" si="10"/>
        <v>EVS (F)</v>
      </c>
      <c r="AI57" s="177" t="str">
        <f t="shared" si="11"/>
        <v xml:space="preserve"> </v>
      </c>
      <c r="AJ57" s="180" t="str">
        <f t="shared" si="12"/>
        <v>EVS (E)</v>
      </c>
      <c r="AK57" s="178" t="str">
        <f t="shared" si="13"/>
        <v xml:space="preserve"> </v>
      </c>
      <c r="AL57" s="177" t="str">
        <f t="shared" si="14"/>
        <v xml:space="preserve"> </v>
      </c>
      <c r="AM57" s="177" t="str">
        <f t="shared" si="15"/>
        <v xml:space="preserve"> </v>
      </c>
      <c r="AN57" s="179" t="str">
        <f t="shared" si="16"/>
        <v xml:space="preserve"> </v>
      </c>
    </row>
    <row r="58" spans="1:40" x14ac:dyDescent="0.35">
      <c r="U58" s="210" t="s">
        <v>149</v>
      </c>
      <c r="V58" s="163">
        <f t="shared" si="29"/>
        <v>4</v>
      </c>
      <c r="X58" s="176" t="str">
        <f t="shared" si="38"/>
        <v>(DRP)</v>
      </c>
      <c r="Y58" s="20">
        <f t="shared" si="34"/>
        <v>1</v>
      </c>
      <c r="Z58" s="21">
        <f t="shared" si="35"/>
        <v>1</v>
      </c>
      <c r="AA58" s="21">
        <f t="shared" si="36"/>
        <v>1</v>
      </c>
      <c r="AB58" s="22">
        <f t="shared" si="37"/>
        <v>1</v>
      </c>
      <c r="AC58" s="178" t="str">
        <f t="shared" si="20"/>
        <v xml:space="preserve"> </v>
      </c>
      <c r="AD58" s="177" t="str">
        <f t="shared" si="21"/>
        <v xml:space="preserve"> </v>
      </c>
      <c r="AE58" s="177" t="str">
        <f t="shared" si="22"/>
        <v xml:space="preserve"> </v>
      </c>
      <c r="AF58" s="180" t="str">
        <f t="shared" si="23"/>
        <v xml:space="preserve"> </v>
      </c>
      <c r="AG58" s="178" t="str">
        <f t="shared" si="9"/>
        <v xml:space="preserve"> </v>
      </c>
      <c r="AH58" s="177" t="str">
        <f t="shared" si="10"/>
        <v xml:space="preserve"> </v>
      </c>
      <c r="AI58" s="177" t="str">
        <f t="shared" si="11"/>
        <v xml:space="preserve"> </v>
      </c>
      <c r="AJ58" s="180" t="str">
        <f t="shared" si="12"/>
        <v xml:space="preserve"> </v>
      </c>
      <c r="AK58" s="178" t="str">
        <f t="shared" si="13"/>
        <v>BM (L)</v>
      </c>
      <c r="AL58" s="177" t="str">
        <f t="shared" si="14"/>
        <v>BM (D)</v>
      </c>
      <c r="AM58" s="177" t="str">
        <f t="shared" si="15"/>
        <v>BM (I)</v>
      </c>
      <c r="AN58" s="179" t="str">
        <f t="shared" si="16"/>
        <v>BM (H)</v>
      </c>
    </row>
    <row r="59" spans="1:40" x14ac:dyDescent="0.35">
      <c r="U59" t="s">
        <v>160</v>
      </c>
      <c r="V59" s="163">
        <f t="shared" si="29"/>
        <v>1</v>
      </c>
      <c r="X59" s="176" t="str">
        <f t="shared" ref="X59:X62" si="39">U59</f>
        <v>(NEW)</v>
      </c>
      <c r="Y59" s="20">
        <f t="shared" si="34"/>
        <v>0</v>
      </c>
      <c r="Z59" s="21">
        <f t="shared" si="35"/>
        <v>0</v>
      </c>
      <c r="AA59" s="21">
        <f t="shared" si="36"/>
        <v>0</v>
      </c>
      <c r="AB59" s="22">
        <f t="shared" si="37"/>
        <v>1</v>
      </c>
      <c r="AC59" s="178" t="str">
        <f t="shared" si="20"/>
        <v xml:space="preserve"> </v>
      </c>
      <c r="AD59" s="177" t="str">
        <f t="shared" si="21"/>
        <v xml:space="preserve"> </v>
      </c>
      <c r="AE59" s="177" t="str">
        <f t="shared" si="22"/>
        <v xml:space="preserve"> </v>
      </c>
      <c r="AF59" s="180" t="str">
        <f t="shared" si="23"/>
        <v xml:space="preserve"> </v>
      </c>
      <c r="AG59" s="178" t="str">
        <f t="shared" si="9"/>
        <v xml:space="preserve"> </v>
      </c>
      <c r="AH59" s="177" t="str">
        <f t="shared" si="10"/>
        <v xml:space="preserve"> </v>
      </c>
      <c r="AI59" s="177" t="str">
        <f t="shared" si="11"/>
        <v xml:space="preserve"> </v>
      </c>
      <c r="AJ59" s="180" t="str">
        <f t="shared" si="12"/>
        <v>EVS (K)</v>
      </c>
      <c r="AK59" s="178" t="str">
        <f t="shared" si="13"/>
        <v xml:space="preserve"> </v>
      </c>
      <c r="AL59" s="177" t="str">
        <f t="shared" si="14"/>
        <v xml:space="preserve"> </v>
      </c>
      <c r="AM59" s="177" t="str">
        <f t="shared" si="15"/>
        <v xml:space="preserve"> </v>
      </c>
      <c r="AN59" s="179" t="str">
        <f t="shared" si="16"/>
        <v xml:space="preserve"> </v>
      </c>
    </row>
    <row r="60" spans="1:40" x14ac:dyDescent="0.35">
      <c r="X60" s="176">
        <f t="shared" si="39"/>
        <v>0</v>
      </c>
      <c r="Y60" s="20">
        <f t="shared" si="34"/>
        <v>0</v>
      </c>
      <c r="Z60" s="21">
        <f t="shared" si="35"/>
        <v>0</v>
      </c>
      <c r="AA60" s="21">
        <f t="shared" si="36"/>
        <v>0</v>
      </c>
      <c r="AB60" s="22">
        <f t="shared" si="37"/>
        <v>0</v>
      </c>
      <c r="AC60" s="178" t="str">
        <f t="shared" si="20"/>
        <v xml:space="preserve"> (L)</v>
      </c>
      <c r="AD60" s="177" t="str">
        <f t="shared" si="21"/>
        <v xml:space="preserve"> </v>
      </c>
      <c r="AE60" s="177" t="str">
        <f t="shared" si="22"/>
        <v xml:space="preserve"> (L)</v>
      </c>
      <c r="AF60" s="180" t="str">
        <f t="shared" si="23"/>
        <v xml:space="preserve"> </v>
      </c>
      <c r="AG60" s="178" t="str">
        <f t="shared" si="9"/>
        <v xml:space="preserve"> (K)</v>
      </c>
      <c r="AH60" s="177" t="str">
        <f t="shared" si="10"/>
        <v xml:space="preserve"> </v>
      </c>
      <c r="AI60" s="177" t="str">
        <f t="shared" si="11"/>
        <v xml:space="preserve"> </v>
      </c>
      <c r="AJ60" s="180" t="str">
        <f t="shared" si="12"/>
        <v xml:space="preserve"> </v>
      </c>
      <c r="AK60" s="178" t="str">
        <f t="shared" si="13"/>
        <v>11:45-12:35</v>
      </c>
      <c r="AL60" s="177" t="str">
        <f t="shared" si="14"/>
        <v xml:space="preserve">12:35-1:25 </v>
      </c>
      <c r="AM60" s="177" t="str">
        <f t="shared" si="15"/>
        <v xml:space="preserve">2:05-2:55 </v>
      </c>
      <c r="AN60" s="179" t="str">
        <f t="shared" si="16"/>
        <v xml:space="preserve">2:55-3:45 </v>
      </c>
    </row>
    <row r="61" spans="1:40" x14ac:dyDescent="0.35">
      <c r="X61" s="176">
        <f t="shared" si="39"/>
        <v>0</v>
      </c>
      <c r="Y61" s="20">
        <f t="shared" si="34"/>
        <v>0</v>
      </c>
      <c r="Z61" s="21">
        <f t="shared" si="35"/>
        <v>0</v>
      </c>
      <c r="AA61" s="21">
        <f t="shared" si="36"/>
        <v>0</v>
      </c>
      <c r="AB61" s="22">
        <f t="shared" si="37"/>
        <v>0</v>
      </c>
      <c r="AC61" s="178" t="str">
        <f t="shared" si="20"/>
        <v xml:space="preserve"> (L)</v>
      </c>
      <c r="AD61" s="177" t="str">
        <f t="shared" si="21"/>
        <v xml:space="preserve"> </v>
      </c>
      <c r="AE61" s="177" t="str">
        <f t="shared" si="22"/>
        <v xml:space="preserve"> (L)</v>
      </c>
      <c r="AF61" s="180" t="str">
        <f t="shared" si="23"/>
        <v xml:space="preserve"> </v>
      </c>
      <c r="AG61" s="178" t="str">
        <f t="shared" si="9"/>
        <v xml:space="preserve"> (K)</v>
      </c>
      <c r="AH61" s="177" t="str">
        <f t="shared" si="10"/>
        <v xml:space="preserve"> </v>
      </c>
      <c r="AI61" s="177" t="str">
        <f t="shared" si="11"/>
        <v xml:space="preserve"> </v>
      </c>
      <c r="AJ61" s="180" t="str">
        <f t="shared" si="12"/>
        <v xml:space="preserve"> </v>
      </c>
      <c r="AK61" s="178" t="str">
        <f t="shared" si="13"/>
        <v>11:45-12:35</v>
      </c>
      <c r="AL61" s="177" t="str">
        <f t="shared" si="14"/>
        <v xml:space="preserve">12:35-1:25 </v>
      </c>
      <c r="AM61" s="177" t="str">
        <f t="shared" si="15"/>
        <v xml:space="preserve">2:05-2:55 </v>
      </c>
      <c r="AN61" s="179" t="str">
        <f t="shared" si="16"/>
        <v xml:space="preserve">2:55-3:45 </v>
      </c>
    </row>
    <row r="62" spans="1:40" x14ac:dyDescent="0.35">
      <c r="X62" s="176">
        <f t="shared" si="39"/>
        <v>0</v>
      </c>
      <c r="Y62" s="20">
        <f t="shared" si="34"/>
        <v>0</v>
      </c>
      <c r="Z62" s="21">
        <f t="shared" si="35"/>
        <v>0</v>
      </c>
      <c r="AA62" s="21">
        <f t="shared" si="36"/>
        <v>0</v>
      </c>
      <c r="AB62" s="22">
        <f t="shared" si="37"/>
        <v>0</v>
      </c>
      <c r="AC62" s="178" t="str">
        <f t="shared" si="20"/>
        <v xml:space="preserve"> (L)</v>
      </c>
      <c r="AD62" s="177" t="str">
        <f t="shared" si="21"/>
        <v xml:space="preserve"> </v>
      </c>
      <c r="AE62" s="177" t="str">
        <f t="shared" si="22"/>
        <v xml:space="preserve"> (L)</v>
      </c>
      <c r="AF62" s="180" t="str">
        <f t="shared" si="23"/>
        <v xml:space="preserve"> </v>
      </c>
      <c r="AG62" s="178" t="str">
        <f t="shared" si="9"/>
        <v xml:space="preserve"> (K)</v>
      </c>
      <c r="AH62" s="177" t="str">
        <f t="shared" si="10"/>
        <v xml:space="preserve"> </v>
      </c>
      <c r="AI62" s="177" t="str">
        <f t="shared" si="11"/>
        <v xml:space="preserve"> </v>
      </c>
      <c r="AJ62" s="180" t="str">
        <f t="shared" si="12"/>
        <v xml:space="preserve"> </v>
      </c>
      <c r="AK62" s="178" t="str">
        <f t="shared" si="13"/>
        <v>11:45-12:35</v>
      </c>
      <c r="AL62" s="177" t="str">
        <f t="shared" si="14"/>
        <v xml:space="preserve">12:35-1:25 </v>
      </c>
      <c r="AM62" s="177" t="str">
        <f t="shared" si="15"/>
        <v xml:space="preserve">2:05-2:55 </v>
      </c>
      <c r="AN62" s="179" t="str">
        <f t="shared" si="16"/>
        <v xml:space="preserve">2:55-3:45 </v>
      </c>
    </row>
    <row r="71" spans="1:30" x14ac:dyDescent="0.35">
      <c r="A71" s="388" t="s">
        <v>4</v>
      </c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23" t="s">
        <v>87</v>
      </c>
      <c r="AD71" s="324"/>
    </row>
    <row r="72" spans="1:30" ht="15.75" customHeight="1" x14ac:dyDescent="0.35">
      <c r="A72" s="341" t="s">
        <v>161</v>
      </c>
      <c r="B72" s="342"/>
      <c r="C72" s="341" t="s">
        <v>162</v>
      </c>
      <c r="D72" s="342"/>
      <c r="E72" s="341" t="s">
        <v>163</v>
      </c>
      <c r="F72" s="342"/>
      <c r="G72" s="341" t="s">
        <v>164</v>
      </c>
      <c r="H72" s="342"/>
      <c r="I72" s="341" t="s">
        <v>165</v>
      </c>
      <c r="J72" s="342"/>
      <c r="K72" s="341" t="s">
        <v>166</v>
      </c>
      <c r="L72" s="342"/>
      <c r="M72" s="341" t="s">
        <v>167</v>
      </c>
      <c r="N72" s="342"/>
      <c r="O72" s="341" t="s">
        <v>168</v>
      </c>
      <c r="P72" s="342"/>
      <c r="Q72" s="341" t="s">
        <v>169</v>
      </c>
      <c r="R72" s="342"/>
      <c r="S72" s="341" t="s">
        <v>170</v>
      </c>
      <c r="T72" s="342"/>
      <c r="U72" s="341" t="s">
        <v>171</v>
      </c>
      <c r="V72" s="342"/>
      <c r="W72" s="341" t="s">
        <v>172</v>
      </c>
      <c r="X72" s="342"/>
      <c r="Y72" s="341" t="s">
        <v>173</v>
      </c>
      <c r="Z72" s="342"/>
      <c r="AA72" s="341" t="s">
        <v>174</v>
      </c>
      <c r="AB72" s="342"/>
      <c r="AC72" s="318" t="s">
        <v>175</v>
      </c>
      <c r="AD72" s="172" t="s">
        <v>176</v>
      </c>
    </row>
    <row r="73" spans="1:30" x14ac:dyDescent="0.35">
      <c r="A73" s="166" t="s">
        <v>175</v>
      </c>
      <c r="B73" s="167" t="s">
        <v>176</v>
      </c>
      <c r="C73" s="166" t="s">
        <v>175</v>
      </c>
      <c r="D73" s="167" t="s">
        <v>176</v>
      </c>
      <c r="E73" s="166" t="s">
        <v>175</v>
      </c>
      <c r="F73" s="167" t="s">
        <v>176</v>
      </c>
      <c r="G73" s="166" t="s">
        <v>175</v>
      </c>
      <c r="H73" s="167" t="s">
        <v>176</v>
      </c>
      <c r="I73" s="166" t="s">
        <v>175</v>
      </c>
      <c r="J73" s="167" t="s">
        <v>176</v>
      </c>
      <c r="K73" s="166" t="s">
        <v>175</v>
      </c>
      <c r="L73" s="167" t="s">
        <v>176</v>
      </c>
      <c r="M73" s="166" t="s">
        <v>175</v>
      </c>
      <c r="N73" s="167" t="s">
        <v>176</v>
      </c>
      <c r="O73" s="166" t="s">
        <v>175</v>
      </c>
      <c r="P73" s="167" t="s">
        <v>176</v>
      </c>
      <c r="Q73" s="166" t="s">
        <v>175</v>
      </c>
      <c r="R73" s="167" t="s">
        <v>176</v>
      </c>
      <c r="S73" s="166" t="s">
        <v>175</v>
      </c>
      <c r="T73" s="167" t="s">
        <v>176</v>
      </c>
      <c r="U73" s="166" t="s">
        <v>175</v>
      </c>
      <c r="V73" s="172" t="s">
        <v>176</v>
      </c>
      <c r="W73" s="166" t="s">
        <v>175</v>
      </c>
      <c r="X73" s="167" t="s">
        <v>176</v>
      </c>
      <c r="Y73" s="166" t="s">
        <v>175</v>
      </c>
      <c r="Z73" s="167" t="s">
        <v>176</v>
      </c>
      <c r="AA73" s="166" t="s">
        <v>175</v>
      </c>
      <c r="AB73" s="167" t="s">
        <v>176</v>
      </c>
      <c r="AC73" s="315" t="s">
        <v>98</v>
      </c>
      <c r="AD73" s="315" t="s">
        <v>157</v>
      </c>
    </row>
    <row r="74" spans="1:30" x14ac:dyDescent="0.35">
      <c r="A74" s="270" t="s">
        <v>144</v>
      </c>
      <c r="B74" s="170" t="s">
        <v>142</v>
      </c>
      <c r="C74" s="270" t="s">
        <v>133</v>
      </c>
      <c r="D74" s="170" t="s">
        <v>142</v>
      </c>
      <c r="E74" s="198" t="s">
        <v>123</v>
      </c>
      <c r="F74" s="170" t="s">
        <v>142</v>
      </c>
      <c r="G74" s="270" t="s">
        <v>123</v>
      </c>
      <c r="H74" s="170" t="s">
        <v>142</v>
      </c>
      <c r="I74" s="198" t="s">
        <v>144</v>
      </c>
      <c r="J74" s="170" t="s">
        <v>142</v>
      </c>
      <c r="K74" s="270" t="s">
        <v>144</v>
      </c>
      <c r="L74" s="170" t="s">
        <v>142</v>
      </c>
      <c r="M74" s="270" t="s">
        <v>147</v>
      </c>
      <c r="N74" s="170" t="s">
        <v>142</v>
      </c>
      <c r="O74" s="198" t="s">
        <v>147</v>
      </c>
      <c r="P74" s="170" t="s">
        <v>142</v>
      </c>
      <c r="Q74" s="270" t="s">
        <v>153</v>
      </c>
      <c r="R74" s="170" t="s">
        <v>152</v>
      </c>
      <c r="S74" s="198" t="s">
        <v>153</v>
      </c>
      <c r="T74" s="89" t="s">
        <v>152</v>
      </c>
      <c r="U74" s="271" t="s">
        <v>153</v>
      </c>
      <c r="V74" s="89" t="s">
        <v>152</v>
      </c>
      <c r="W74" s="272" t="s">
        <v>153</v>
      </c>
      <c r="X74" s="170" t="s">
        <v>152</v>
      </c>
      <c r="Y74" s="199" t="s">
        <v>85</v>
      </c>
      <c r="Z74" s="170" t="s">
        <v>154</v>
      </c>
      <c r="AA74" s="273" t="s">
        <v>127</v>
      </c>
      <c r="AB74" s="316" t="s">
        <v>155</v>
      </c>
      <c r="AC74" s="315" t="s">
        <v>131</v>
      </c>
      <c r="AD74" s="315" t="s">
        <v>159</v>
      </c>
    </row>
    <row r="75" spans="1:30" x14ac:dyDescent="0.35">
      <c r="A75" s="274" t="s">
        <v>133</v>
      </c>
      <c r="B75" s="170" t="s">
        <v>158</v>
      </c>
      <c r="C75" s="274" t="s">
        <v>123</v>
      </c>
      <c r="D75" s="170" t="s">
        <v>158</v>
      </c>
      <c r="E75" s="274" t="s">
        <v>147</v>
      </c>
      <c r="F75" s="170" t="s">
        <v>158</v>
      </c>
      <c r="G75" s="274" t="s">
        <v>144</v>
      </c>
      <c r="H75" s="170" t="s">
        <v>158</v>
      </c>
      <c r="I75" s="274" t="s">
        <v>77</v>
      </c>
      <c r="J75" s="170" t="s">
        <v>158</v>
      </c>
      <c r="K75" s="274" t="s">
        <v>123</v>
      </c>
      <c r="L75" s="170" t="s">
        <v>158</v>
      </c>
      <c r="M75" s="274" t="s">
        <v>144</v>
      </c>
      <c r="N75" s="170" t="s">
        <v>158</v>
      </c>
      <c r="O75" s="274" t="s">
        <v>133</v>
      </c>
      <c r="P75" s="170" t="s">
        <v>158</v>
      </c>
      <c r="Q75" s="274" t="s">
        <v>77</v>
      </c>
      <c r="R75" s="170" t="s">
        <v>158</v>
      </c>
      <c r="S75" s="274" t="s">
        <v>147</v>
      </c>
      <c r="T75" s="170" t="s">
        <v>158</v>
      </c>
      <c r="U75" s="274" t="s">
        <v>147</v>
      </c>
      <c r="V75" s="170" t="s">
        <v>158</v>
      </c>
      <c r="W75" s="274" t="s">
        <v>123</v>
      </c>
      <c r="X75" s="170" t="s">
        <v>158</v>
      </c>
      <c r="Y75" s="274" t="s">
        <v>133</v>
      </c>
      <c r="Z75" s="170" t="s">
        <v>158</v>
      </c>
      <c r="AA75" s="274" t="s">
        <v>133</v>
      </c>
      <c r="AB75" s="316" t="s">
        <v>158</v>
      </c>
      <c r="AC75" s="315" t="s">
        <v>94</v>
      </c>
      <c r="AD75" s="315" t="s">
        <v>177</v>
      </c>
    </row>
    <row r="76" spans="1:30" x14ac:dyDescent="0.35">
      <c r="A76" s="274" t="s">
        <v>56</v>
      </c>
      <c r="B76" s="170" t="s">
        <v>178</v>
      </c>
      <c r="C76" s="274" t="s">
        <v>103</v>
      </c>
      <c r="D76" s="170" t="s">
        <v>178</v>
      </c>
      <c r="E76" s="274" t="s">
        <v>56</v>
      </c>
      <c r="F76" s="170" t="s">
        <v>178</v>
      </c>
      <c r="G76" s="274" t="s">
        <v>95</v>
      </c>
      <c r="H76" s="170" t="s">
        <v>178</v>
      </c>
      <c r="I76" s="274" t="s">
        <v>95</v>
      </c>
      <c r="J76" s="170" t="s">
        <v>178</v>
      </c>
      <c r="K76" s="274" t="s">
        <v>95</v>
      </c>
      <c r="L76" s="170" t="s">
        <v>178</v>
      </c>
      <c r="M76" s="274" t="s">
        <v>34</v>
      </c>
      <c r="N76" s="170" t="s">
        <v>178</v>
      </c>
      <c r="O76" s="274" t="s">
        <v>56</v>
      </c>
      <c r="P76" s="170" t="s">
        <v>178</v>
      </c>
      <c r="Q76" s="275" t="s">
        <v>95</v>
      </c>
      <c r="R76" s="170" t="s">
        <v>178</v>
      </c>
      <c r="S76" s="276" t="s">
        <v>34</v>
      </c>
      <c r="T76" s="170" t="s">
        <v>178</v>
      </c>
      <c r="U76" s="275" t="s">
        <v>56</v>
      </c>
      <c r="V76" s="170" t="s">
        <v>178</v>
      </c>
      <c r="W76" s="276" t="s">
        <v>146</v>
      </c>
      <c r="X76" s="170" t="s">
        <v>178</v>
      </c>
      <c r="Y76" s="274" t="s">
        <v>146</v>
      </c>
      <c r="Z76" s="170" t="s">
        <v>178</v>
      </c>
      <c r="AA76" s="274" t="s">
        <v>95</v>
      </c>
      <c r="AB76" s="316" t="s">
        <v>178</v>
      </c>
      <c r="AC76" s="315" t="s">
        <v>77</v>
      </c>
      <c r="AD76" s="315" t="s">
        <v>179</v>
      </c>
    </row>
    <row r="77" spans="1:30" x14ac:dyDescent="0.35">
      <c r="A77" s="274" t="s">
        <v>61</v>
      </c>
      <c r="B77" s="170" t="s">
        <v>180</v>
      </c>
      <c r="C77" s="274" t="s">
        <v>146</v>
      </c>
      <c r="D77" s="170" t="s">
        <v>180</v>
      </c>
      <c r="E77" s="274" t="s">
        <v>95</v>
      </c>
      <c r="F77" s="170" t="s">
        <v>180</v>
      </c>
      <c r="G77" s="276" t="s">
        <v>149</v>
      </c>
      <c r="H77" s="170" t="s">
        <v>180</v>
      </c>
      <c r="I77" s="274" t="s">
        <v>146</v>
      </c>
      <c r="J77" s="170" t="s">
        <v>180</v>
      </c>
      <c r="K77" s="274" t="s">
        <v>146</v>
      </c>
      <c r="L77" s="170" t="s">
        <v>180</v>
      </c>
      <c r="M77" s="274" t="s">
        <v>54</v>
      </c>
      <c r="N77" s="170" t="s">
        <v>180</v>
      </c>
      <c r="O77" s="276" t="s">
        <v>149</v>
      </c>
      <c r="P77" s="170" t="s">
        <v>180</v>
      </c>
      <c r="Q77" s="274" t="s">
        <v>149</v>
      </c>
      <c r="R77" s="170" t="s">
        <v>180</v>
      </c>
      <c r="S77" s="274" t="s">
        <v>146</v>
      </c>
      <c r="T77" s="170" t="s">
        <v>180</v>
      </c>
      <c r="U77" s="274" t="s">
        <v>54</v>
      </c>
      <c r="V77" s="170" t="s">
        <v>180</v>
      </c>
      <c r="W77" s="274" t="s">
        <v>149</v>
      </c>
      <c r="X77" s="170" t="s">
        <v>180</v>
      </c>
      <c r="Y77" s="276" t="s">
        <v>149</v>
      </c>
      <c r="Z77" s="170" t="s">
        <v>180</v>
      </c>
      <c r="AA77" s="274" t="s">
        <v>54</v>
      </c>
      <c r="AB77" s="316" t="s">
        <v>180</v>
      </c>
      <c r="AC77" s="315" t="s">
        <v>153</v>
      </c>
      <c r="AD77" s="315" t="s">
        <v>158</v>
      </c>
    </row>
    <row r="78" spans="1:30" x14ac:dyDescent="0.35">
      <c r="A78" s="274" t="s">
        <v>115</v>
      </c>
      <c r="B78" s="170" t="s">
        <v>181</v>
      </c>
      <c r="C78" s="274" t="s">
        <v>145</v>
      </c>
      <c r="D78" s="170" t="s">
        <v>181</v>
      </c>
      <c r="E78" s="274" t="s">
        <v>115</v>
      </c>
      <c r="F78" s="170" t="s">
        <v>181</v>
      </c>
      <c r="G78" s="276" t="s">
        <v>150</v>
      </c>
      <c r="H78" s="170" t="s">
        <v>181</v>
      </c>
      <c r="I78" s="276" t="s">
        <v>182</v>
      </c>
      <c r="J78" s="170" t="s">
        <v>181</v>
      </c>
      <c r="K78" s="276" t="s">
        <v>151</v>
      </c>
      <c r="L78" s="170" t="s">
        <v>181</v>
      </c>
      <c r="M78" s="274" t="s">
        <v>145</v>
      </c>
      <c r="N78" s="170" t="s">
        <v>181</v>
      </c>
      <c r="O78" s="274" t="s">
        <v>115</v>
      </c>
      <c r="P78" s="170" t="s">
        <v>181</v>
      </c>
      <c r="Q78" s="274" t="s">
        <v>145</v>
      </c>
      <c r="R78" s="170" t="s">
        <v>181</v>
      </c>
      <c r="S78" s="274" t="s">
        <v>110</v>
      </c>
      <c r="T78" s="170" t="s">
        <v>181</v>
      </c>
      <c r="U78" s="287" t="s">
        <v>110</v>
      </c>
      <c r="V78" s="170" t="s">
        <v>181</v>
      </c>
      <c r="W78" s="287" t="s">
        <v>145</v>
      </c>
      <c r="X78" s="170" t="s">
        <v>181</v>
      </c>
      <c r="Y78" s="274" t="s">
        <v>145</v>
      </c>
      <c r="Z78" s="170" t="s">
        <v>181</v>
      </c>
      <c r="AA78" s="274" t="s">
        <v>115</v>
      </c>
      <c r="AB78" s="316" t="s">
        <v>181</v>
      </c>
      <c r="AC78" s="315" t="s">
        <v>127</v>
      </c>
      <c r="AD78" s="315" t="s">
        <v>156</v>
      </c>
    </row>
    <row r="79" spans="1:30" x14ac:dyDescent="0.35">
      <c r="A79" s="274" t="s">
        <v>148</v>
      </c>
      <c r="B79" s="170" t="s">
        <v>183</v>
      </c>
      <c r="C79" s="274" t="s">
        <v>71</v>
      </c>
      <c r="D79" s="170" t="s">
        <v>183</v>
      </c>
      <c r="E79" s="274" t="s">
        <v>71</v>
      </c>
      <c r="F79" s="170" t="s">
        <v>183</v>
      </c>
      <c r="G79" s="274" t="s">
        <v>148</v>
      </c>
      <c r="H79" s="170" t="s">
        <v>183</v>
      </c>
      <c r="I79" s="274" t="s">
        <v>120</v>
      </c>
      <c r="J79" s="170" t="s">
        <v>183</v>
      </c>
      <c r="K79" s="274" t="s">
        <v>120</v>
      </c>
      <c r="L79" s="170" t="s">
        <v>183</v>
      </c>
      <c r="M79" s="274" t="s">
        <v>71</v>
      </c>
      <c r="N79" s="170" t="s">
        <v>183</v>
      </c>
      <c r="O79" s="274" t="s">
        <v>148</v>
      </c>
      <c r="P79" s="170" t="s">
        <v>183</v>
      </c>
      <c r="Q79" s="274" t="s">
        <v>120</v>
      </c>
      <c r="R79" s="170" t="s">
        <v>183</v>
      </c>
      <c r="S79" s="274" t="s">
        <v>75</v>
      </c>
      <c r="T79" s="170" t="s">
        <v>183</v>
      </c>
      <c r="U79" s="274" t="s">
        <v>75</v>
      </c>
      <c r="V79" s="170" t="s">
        <v>183</v>
      </c>
      <c r="W79" s="287" t="s">
        <v>148</v>
      </c>
      <c r="X79" s="170" t="s">
        <v>183</v>
      </c>
      <c r="Y79" s="287" t="s">
        <v>120</v>
      </c>
      <c r="Z79" s="170" t="s">
        <v>183</v>
      </c>
      <c r="AA79" s="276" t="s">
        <v>151</v>
      </c>
      <c r="AB79" s="316" t="s">
        <v>183</v>
      </c>
      <c r="AC79" s="315" t="s">
        <v>144</v>
      </c>
      <c r="AD79" s="315"/>
    </row>
    <row r="80" spans="1:30" x14ac:dyDescent="0.35">
      <c r="A80" s="198"/>
      <c r="B80" s="170"/>
      <c r="C80" s="198"/>
      <c r="D80" s="170"/>
      <c r="E80" s="198"/>
      <c r="F80" s="170"/>
      <c r="G80" s="198"/>
      <c r="H80" s="170"/>
      <c r="I80" s="198"/>
      <c r="J80" s="170"/>
      <c r="K80" s="198"/>
      <c r="L80" s="170"/>
      <c r="M80" s="198"/>
      <c r="N80" s="170"/>
      <c r="O80" s="198"/>
      <c r="P80" s="170"/>
      <c r="Q80" s="198"/>
      <c r="R80" s="170"/>
      <c r="S80" s="198"/>
      <c r="T80" s="170"/>
      <c r="U80" s="198"/>
      <c r="V80" s="170"/>
      <c r="W80" s="198"/>
      <c r="X80" s="170"/>
      <c r="Y80" s="165"/>
      <c r="Z80" s="170"/>
      <c r="AA80" s="165"/>
      <c r="AB80" s="316"/>
      <c r="AC80" s="315" t="s">
        <v>85</v>
      </c>
      <c r="AD80" s="315"/>
    </row>
    <row r="81" spans="1:30" x14ac:dyDescent="0.35">
      <c r="A81" s="198"/>
      <c r="B81" s="170"/>
      <c r="C81" s="198"/>
      <c r="D81" s="170"/>
      <c r="E81" s="198"/>
      <c r="F81" s="170"/>
      <c r="G81" s="198"/>
      <c r="H81" s="170"/>
      <c r="I81" s="198"/>
      <c r="J81" s="170"/>
      <c r="K81" s="198"/>
      <c r="L81" s="170"/>
      <c r="M81" s="198"/>
      <c r="N81" s="170"/>
      <c r="O81" s="198"/>
      <c r="P81" s="170"/>
      <c r="Q81" s="198"/>
      <c r="R81" s="170"/>
      <c r="S81" s="198"/>
      <c r="T81" s="170"/>
      <c r="U81" s="198"/>
      <c r="V81" s="170"/>
      <c r="W81" s="198"/>
      <c r="X81" s="170"/>
      <c r="Y81" s="165"/>
      <c r="Z81" s="170"/>
      <c r="AA81" s="165"/>
      <c r="AB81" s="316"/>
      <c r="AC81" s="315"/>
      <c r="AD81" s="315"/>
    </row>
    <row r="82" spans="1:30" x14ac:dyDescent="0.35">
      <c r="A82" s="198"/>
      <c r="B82" s="170"/>
      <c r="C82" s="198"/>
      <c r="D82" s="170"/>
      <c r="E82" s="198"/>
      <c r="F82" s="170"/>
      <c r="G82" s="198"/>
      <c r="H82" s="170"/>
      <c r="I82" s="198"/>
      <c r="J82" s="170"/>
      <c r="K82" s="198"/>
      <c r="L82" s="170"/>
      <c r="M82" s="198"/>
      <c r="N82" s="170"/>
      <c r="O82" s="198"/>
      <c r="P82" s="170"/>
      <c r="Q82" s="198"/>
      <c r="R82" s="170"/>
      <c r="S82" s="198"/>
      <c r="T82" s="170"/>
      <c r="U82" s="198"/>
      <c r="V82" s="170"/>
      <c r="W82" s="198"/>
      <c r="X82" s="170"/>
      <c r="Y82" s="165"/>
      <c r="Z82" s="170"/>
      <c r="AA82" s="165"/>
      <c r="AB82" s="316"/>
      <c r="AC82" s="315"/>
      <c r="AD82" s="315"/>
    </row>
    <row r="83" spans="1:30" x14ac:dyDescent="0.35">
      <c r="A83" s="30"/>
      <c r="B83" s="31"/>
      <c r="C83" s="30"/>
      <c r="D83" s="31"/>
      <c r="E83" s="30"/>
      <c r="F83" s="31"/>
      <c r="G83" s="30"/>
      <c r="H83" s="31"/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0"/>
      <c r="V83" s="31"/>
      <c r="W83" s="30"/>
      <c r="X83" s="31"/>
      <c r="Y83" s="30"/>
      <c r="Z83" s="31"/>
      <c r="AA83" s="30"/>
      <c r="AB83" s="317"/>
      <c r="AC83" s="315"/>
      <c r="AD83" s="315"/>
    </row>
    <row r="85" spans="1:30" x14ac:dyDescent="0.35">
      <c r="A85" s="396" t="s">
        <v>3</v>
      </c>
      <c r="B85" s="397"/>
      <c r="C85" s="397"/>
      <c r="D85" s="397"/>
      <c r="E85" s="397"/>
      <c r="F85" s="397"/>
      <c r="G85" s="397"/>
      <c r="H85" s="397"/>
      <c r="I85" s="397"/>
      <c r="J85" s="397"/>
      <c r="K85" s="397"/>
      <c r="L85" s="397"/>
      <c r="M85" s="397"/>
      <c r="N85" s="397"/>
      <c r="O85" s="397"/>
      <c r="P85" s="397"/>
      <c r="Q85" s="397"/>
      <c r="R85" s="397"/>
      <c r="S85" s="397"/>
      <c r="T85" s="397"/>
      <c r="U85" s="397"/>
      <c r="V85" s="397"/>
      <c r="W85" s="397"/>
      <c r="X85" s="397"/>
      <c r="Y85" s="397"/>
      <c r="Z85" s="397"/>
      <c r="AA85" s="397"/>
      <c r="AB85" s="397"/>
      <c r="AC85" s="359" t="s">
        <v>184</v>
      </c>
      <c r="AD85" s="360"/>
    </row>
    <row r="86" spans="1:30" x14ac:dyDescent="0.35">
      <c r="A86" s="341" t="s">
        <v>161</v>
      </c>
      <c r="B86" s="342"/>
      <c r="C86" s="341" t="s">
        <v>162</v>
      </c>
      <c r="D86" s="342"/>
      <c r="E86" s="341" t="s">
        <v>163</v>
      </c>
      <c r="F86" s="342"/>
      <c r="G86" s="341" t="s">
        <v>164</v>
      </c>
      <c r="H86" s="342"/>
      <c r="I86" s="341" t="s">
        <v>165</v>
      </c>
      <c r="J86" s="342"/>
      <c r="K86" s="341" t="s">
        <v>166</v>
      </c>
      <c r="L86" s="342"/>
      <c r="M86" s="341" t="s">
        <v>167</v>
      </c>
      <c r="N86" s="342"/>
      <c r="O86" s="341" t="s">
        <v>168</v>
      </c>
      <c r="P86" s="342"/>
      <c r="Q86" s="341" t="s">
        <v>169</v>
      </c>
      <c r="R86" s="342"/>
      <c r="S86" s="341" t="s">
        <v>170</v>
      </c>
      <c r="T86" s="342"/>
      <c r="U86" s="341" t="s">
        <v>171</v>
      </c>
      <c r="V86" s="342"/>
      <c r="W86" s="341" t="s">
        <v>172</v>
      </c>
      <c r="X86" s="342"/>
      <c r="Y86" s="341" t="s">
        <v>173</v>
      </c>
      <c r="Z86" s="342"/>
      <c r="AA86" s="341" t="s">
        <v>174</v>
      </c>
      <c r="AB86" s="392"/>
      <c r="AC86" s="321" t="s">
        <v>113</v>
      </c>
      <c r="AD86" s="319"/>
    </row>
    <row r="87" spans="1:30" x14ac:dyDescent="0.35">
      <c r="A87" s="166" t="s">
        <v>175</v>
      </c>
      <c r="B87" s="167" t="s">
        <v>176</v>
      </c>
      <c r="C87" s="166" t="s">
        <v>175</v>
      </c>
      <c r="D87" s="167" t="s">
        <v>176</v>
      </c>
      <c r="E87" s="166" t="s">
        <v>175</v>
      </c>
      <c r="F87" s="167" t="s">
        <v>176</v>
      </c>
      <c r="G87" s="166" t="s">
        <v>175</v>
      </c>
      <c r="H87" s="167" t="s">
        <v>176</v>
      </c>
      <c r="I87" s="166" t="s">
        <v>175</v>
      </c>
      <c r="J87" s="167" t="s">
        <v>176</v>
      </c>
      <c r="K87" s="166" t="s">
        <v>175</v>
      </c>
      <c r="L87" s="167" t="s">
        <v>176</v>
      </c>
      <c r="M87" s="166" t="s">
        <v>175</v>
      </c>
      <c r="N87" s="167" t="s">
        <v>176</v>
      </c>
      <c r="O87" s="166" t="s">
        <v>175</v>
      </c>
      <c r="P87" s="167" t="s">
        <v>176</v>
      </c>
      <c r="Q87" s="166" t="s">
        <v>175</v>
      </c>
      <c r="R87" s="167" t="s">
        <v>176</v>
      </c>
      <c r="S87" s="166" t="s">
        <v>175</v>
      </c>
      <c r="T87" s="167" t="s">
        <v>176</v>
      </c>
      <c r="U87" s="166" t="s">
        <v>175</v>
      </c>
      <c r="V87" s="167" t="s">
        <v>176</v>
      </c>
      <c r="W87" s="166" t="s">
        <v>175</v>
      </c>
      <c r="X87" s="167" t="s">
        <v>176</v>
      </c>
      <c r="Y87" s="166" t="s">
        <v>175</v>
      </c>
      <c r="Z87" s="167" t="s">
        <v>176</v>
      </c>
      <c r="AA87" s="166" t="s">
        <v>175</v>
      </c>
      <c r="AB87" s="320" t="s">
        <v>176</v>
      </c>
      <c r="AC87" s="322" t="s">
        <v>98</v>
      </c>
      <c r="AD87" s="315" t="s">
        <v>129</v>
      </c>
    </row>
    <row r="88" spans="1:30" x14ac:dyDescent="0.35">
      <c r="A88" s="198" t="s">
        <v>70</v>
      </c>
      <c r="B88" s="170" t="s">
        <v>185</v>
      </c>
      <c r="C88" s="198" t="s">
        <v>74</v>
      </c>
      <c r="D88" s="170" t="s">
        <v>185</v>
      </c>
      <c r="E88" s="198" t="s">
        <v>109</v>
      </c>
      <c r="F88" s="170" t="s">
        <v>185</v>
      </c>
      <c r="G88" s="198" t="s">
        <v>107</v>
      </c>
      <c r="H88" s="170" t="s">
        <v>185</v>
      </c>
      <c r="I88" s="198" t="s">
        <v>108</v>
      </c>
      <c r="J88" s="170" t="s">
        <v>185</v>
      </c>
      <c r="K88" s="198" t="s">
        <v>109</v>
      </c>
      <c r="L88" s="170" t="s">
        <v>185</v>
      </c>
      <c r="M88" s="198" t="s">
        <v>58</v>
      </c>
      <c r="N88" s="170" t="s">
        <v>185</v>
      </c>
      <c r="O88" s="198" t="s">
        <v>74</v>
      </c>
      <c r="P88" s="170" t="s">
        <v>185</v>
      </c>
      <c r="Q88" s="198" t="s">
        <v>107</v>
      </c>
      <c r="R88" s="170" t="s">
        <v>185</v>
      </c>
      <c r="S88" s="278" t="s">
        <v>74</v>
      </c>
      <c r="T88" s="279" t="s">
        <v>185</v>
      </c>
      <c r="U88" s="280" t="s">
        <v>107</v>
      </c>
      <c r="V88" s="279" t="s">
        <v>185</v>
      </c>
      <c r="W88" s="278" t="s">
        <v>74</v>
      </c>
      <c r="X88" s="170" t="s">
        <v>185</v>
      </c>
      <c r="Y88" s="198" t="s">
        <v>109</v>
      </c>
      <c r="Z88" s="170" t="s">
        <v>185</v>
      </c>
      <c r="AA88" s="198" t="s">
        <v>70</v>
      </c>
      <c r="AB88" s="316" t="s">
        <v>185</v>
      </c>
      <c r="AC88" s="322" t="s">
        <v>131</v>
      </c>
      <c r="AD88" s="315" t="s">
        <v>130</v>
      </c>
    </row>
    <row r="89" spans="1:30" x14ac:dyDescent="0.35">
      <c r="A89" s="198" t="s">
        <v>118</v>
      </c>
      <c r="B89" s="170" t="s">
        <v>186</v>
      </c>
      <c r="C89" s="198" t="s">
        <v>75</v>
      </c>
      <c r="D89" s="170" t="s">
        <v>186</v>
      </c>
      <c r="E89" s="198" t="s">
        <v>61</v>
      </c>
      <c r="F89" s="170" t="s">
        <v>186</v>
      </c>
      <c r="G89" s="198" t="s">
        <v>104</v>
      </c>
      <c r="H89" s="170" t="s">
        <v>186</v>
      </c>
      <c r="I89" s="198" t="s">
        <v>104</v>
      </c>
      <c r="J89" s="170" t="s">
        <v>186</v>
      </c>
      <c r="K89" s="198" t="s">
        <v>75</v>
      </c>
      <c r="L89" s="170" t="s">
        <v>186</v>
      </c>
      <c r="M89" s="198" t="s">
        <v>61</v>
      </c>
      <c r="N89" s="170" t="s">
        <v>186</v>
      </c>
      <c r="O89" s="198" t="s">
        <v>118</v>
      </c>
      <c r="P89" s="170" t="s">
        <v>186</v>
      </c>
      <c r="Q89" s="198" t="s">
        <v>104</v>
      </c>
      <c r="R89" s="170" t="s">
        <v>186</v>
      </c>
      <c r="S89" s="281" t="s">
        <v>61</v>
      </c>
      <c r="T89" s="279" t="s">
        <v>186</v>
      </c>
      <c r="U89" s="280" t="s">
        <v>61</v>
      </c>
      <c r="V89" s="279" t="s">
        <v>186</v>
      </c>
      <c r="W89" s="278" t="s">
        <v>61</v>
      </c>
      <c r="X89" s="170" t="s">
        <v>186</v>
      </c>
      <c r="Y89" s="198" t="s">
        <v>118</v>
      </c>
      <c r="Z89" s="170" t="s">
        <v>186</v>
      </c>
      <c r="AA89" s="198" t="s">
        <v>75</v>
      </c>
      <c r="AB89" s="316" t="s">
        <v>186</v>
      </c>
      <c r="AC89" s="322" t="s">
        <v>94</v>
      </c>
      <c r="AD89" s="315" t="s">
        <v>135</v>
      </c>
    </row>
    <row r="90" spans="1:30" x14ac:dyDescent="0.35">
      <c r="A90" s="198" t="s">
        <v>103</v>
      </c>
      <c r="B90" s="170" t="s">
        <v>187</v>
      </c>
      <c r="C90" s="198" t="s">
        <v>108</v>
      </c>
      <c r="D90" s="170" t="s">
        <v>187</v>
      </c>
      <c r="E90" s="198" t="s">
        <v>53</v>
      </c>
      <c r="F90" s="170" t="s">
        <v>187</v>
      </c>
      <c r="G90" s="198" t="s">
        <v>111</v>
      </c>
      <c r="H90" s="170" t="s">
        <v>187</v>
      </c>
      <c r="I90" s="198" t="s">
        <v>63</v>
      </c>
      <c r="J90" s="170" t="s">
        <v>187</v>
      </c>
      <c r="K90" s="198" t="s">
        <v>103</v>
      </c>
      <c r="L90" s="170" t="s">
        <v>187</v>
      </c>
      <c r="M90" s="198" t="s">
        <v>111</v>
      </c>
      <c r="N90" s="170" t="s">
        <v>187</v>
      </c>
      <c r="O90" s="198" t="s">
        <v>108</v>
      </c>
      <c r="P90" s="170" t="s">
        <v>187</v>
      </c>
      <c r="Q90" s="198" t="s">
        <v>53</v>
      </c>
      <c r="R90" s="170" t="s">
        <v>187</v>
      </c>
      <c r="S90" s="278" t="s">
        <v>108</v>
      </c>
      <c r="T90" s="279" t="s">
        <v>187</v>
      </c>
      <c r="U90" s="280" t="s">
        <v>111</v>
      </c>
      <c r="V90" s="279" t="s">
        <v>187</v>
      </c>
      <c r="W90" s="278" t="s">
        <v>108</v>
      </c>
      <c r="X90" s="170" t="s">
        <v>187</v>
      </c>
      <c r="Y90" s="198" t="s">
        <v>108</v>
      </c>
      <c r="Z90" s="170" t="s">
        <v>187</v>
      </c>
      <c r="AA90" s="198" t="s">
        <v>103</v>
      </c>
      <c r="AB90" s="316" t="s">
        <v>187</v>
      </c>
      <c r="AC90" s="322" t="s">
        <v>100</v>
      </c>
      <c r="AD90" s="315" t="s">
        <v>188</v>
      </c>
    </row>
    <row r="91" spans="1:30" x14ac:dyDescent="0.35">
      <c r="A91" s="197" t="s">
        <v>57</v>
      </c>
      <c r="B91" s="170" t="s">
        <v>189</v>
      </c>
      <c r="C91" s="197" t="s">
        <v>106</v>
      </c>
      <c r="D91" s="170" t="s">
        <v>189</v>
      </c>
      <c r="E91" s="197" t="s">
        <v>110</v>
      </c>
      <c r="F91" s="170" t="s">
        <v>189</v>
      </c>
      <c r="G91" s="197" t="s">
        <v>60</v>
      </c>
      <c r="H91" s="170" t="s">
        <v>189</v>
      </c>
      <c r="I91" s="197" t="s">
        <v>112</v>
      </c>
      <c r="J91" s="170" t="s">
        <v>189</v>
      </c>
      <c r="K91" s="197" t="s">
        <v>110</v>
      </c>
      <c r="L91" s="170" t="s">
        <v>189</v>
      </c>
      <c r="M91" s="197" t="s">
        <v>42</v>
      </c>
      <c r="N91" s="170" t="s">
        <v>189</v>
      </c>
      <c r="O91" s="197" t="s">
        <v>112</v>
      </c>
      <c r="P91" s="170" t="s">
        <v>189</v>
      </c>
      <c r="Q91" s="197" t="s">
        <v>110</v>
      </c>
      <c r="R91" s="170" t="s">
        <v>189</v>
      </c>
      <c r="S91" s="278" t="s">
        <v>112</v>
      </c>
      <c r="T91" s="279" t="s">
        <v>189</v>
      </c>
      <c r="U91" s="277" t="s">
        <v>106</v>
      </c>
      <c r="V91" s="279" t="s">
        <v>189</v>
      </c>
      <c r="W91" s="278" t="s">
        <v>60</v>
      </c>
      <c r="X91" s="170" t="s">
        <v>189</v>
      </c>
      <c r="Y91" s="209" t="s">
        <v>112</v>
      </c>
      <c r="Z91" s="170" t="s">
        <v>189</v>
      </c>
      <c r="AA91" s="197" t="s">
        <v>106</v>
      </c>
      <c r="AB91" s="316" t="s">
        <v>189</v>
      </c>
      <c r="AC91" s="322" t="s">
        <v>89</v>
      </c>
      <c r="AD91" s="315" t="s">
        <v>190</v>
      </c>
    </row>
    <row r="92" spans="1:30" x14ac:dyDescent="0.35">
      <c r="A92" s="198" t="s">
        <v>104</v>
      </c>
      <c r="B92" s="170" t="s">
        <v>191</v>
      </c>
      <c r="C92" s="198" t="s">
        <v>105</v>
      </c>
      <c r="D92" s="170" t="s">
        <v>191</v>
      </c>
      <c r="E92" s="198" t="s">
        <v>54</v>
      </c>
      <c r="F92" s="170" t="s">
        <v>191</v>
      </c>
      <c r="G92" s="208" t="s">
        <v>113</v>
      </c>
      <c r="H92" s="170" t="s">
        <v>191</v>
      </c>
      <c r="I92" s="198" t="s">
        <v>111</v>
      </c>
      <c r="J92" s="170" t="s">
        <v>191</v>
      </c>
      <c r="K92" s="198" t="s">
        <v>111</v>
      </c>
      <c r="L92" s="170" t="s">
        <v>191</v>
      </c>
      <c r="M92" s="198" t="s">
        <v>105</v>
      </c>
      <c r="N92" s="170" t="s">
        <v>191</v>
      </c>
      <c r="O92" s="198" t="s">
        <v>160</v>
      </c>
      <c r="P92" s="170" t="s">
        <v>191</v>
      </c>
      <c r="Q92" s="198" t="s">
        <v>160</v>
      </c>
      <c r="R92" s="170" t="s">
        <v>191</v>
      </c>
      <c r="S92" s="278" t="s">
        <v>54</v>
      </c>
      <c r="T92" s="279" t="s">
        <v>191</v>
      </c>
      <c r="U92" s="280" t="s">
        <v>122</v>
      </c>
      <c r="V92" s="279" t="s">
        <v>191</v>
      </c>
      <c r="W92" s="278" t="s">
        <v>111</v>
      </c>
      <c r="X92" s="170" t="s">
        <v>191</v>
      </c>
      <c r="Y92" s="198" t="s">
        <v>54</v>
      </c>
      <c r="Z92" s="170" t="s">
        <v>191</v>
      </c>
      <c r="AA92" s="198" t="s">
        <v>105</v>
      </c>
      <c r="AB92" s="316" t="s">
        <v>191</v>
      </c>
      <c r="AC92" s="322" t="s">
        <v>192</v>
      </c>
      <c r="AD92" s="315" t="s">
        <v>132</v>
      </c>
    </row>
    <row r="93" spans="1:30" x14ac:dyDescent="0.35">
      <c r="A93" s="198" t="s">
        <v>46</v>
      </c>
      <c r="B93" s="170" t="s">
        <v>193</v>
      </c>
      <c r="C93" s="198" t="s">
        <v>107</v>
      </c>
      <c r="D93" s="170" t="s">
        <v>193</v>
      </c>
      <c r="E93" s="198" t="s">
        <v>104</v>
      </c>
      <c r="F93" s="170" t="s">
        <v>193</v>
      </c>
      <c r="G93" s="198" t="s">
        <v>112</v>
      </c>
      <c r="H93" s="170" t="s">
        <v>193</v>
      </c>
      <c r="I93" s="198" t="s">
        <v>107</v>
      </c>
      <c r="J93" s="170" t="s">
        <v>193</v>
      </c>
      <c r="K93" s="198" t="s">
        <v>107</v>
      </c>
      <c r="L93" s="170" t="s">
        <v>193</v>
      </c>
      <c r="M93" s="198" t="s">
        <v>82</v>
      </c>
      <c r="N93" s="170" t="s">
        <v>194</v>
      </c>
      <c r="O93" s="198" t="s">
        <v>105</v>
      </c>
      <c r="P93" s="170" t="s">
        <v>194</v>
      </c>
      <c r="Q93" s="198" t="s">
        <v>82</v>
      </c>
      <c r="R93" s="170" t="s">
        <v>194</v>
      </c>
      <c r="S93" s="282" t="s">
        <v>105</v>
      </c>
      <c r="T93" s="279" t="s">
        <v>194</v>
      </c>
      <c r="U93" s="280" t="s">
        <v>46</v>
      </c>
      <c r="V93" s="279" t="s">
        <v>193</v>
      </c>
      <c r="W93" s="283" t="s">
        <v>82</v>
      </c>
      <c r="X93" s="170" t="s">
        <v>194</v>
      </c>
      <c r="Y93" s="198" t="s">
        <v>104</v>
      </c>
      <c r="Z93" s="170" t="s">
        <v>193</v>
      </c>
      <c r="AA93" s="198" t="s">
        <v>82</v>
      </c>
      <c r="AB93" s="316" t="s">
        <v>194</v>
      </c>
      <c r="AC93" s="322" t="s">
        <v>195</v>
      </c>
      <c r="AD93" s="315" t="s">
        <v>134</v>
      </c>
    </row>
    <row r="94" spans="1:30" x14ac:dyDescent="0.35">
      <c r="A94" s="198" t="s">
        <v>119</v>
      </c>
      <c r="B94" s="170" t="s">
        <v>196</v>
      </c>
      <c r="C94" s="198" t="s">
        <v>109</v>
      </c>
      <c r="D94" s="170" t="s">
        <v>196</v>
      </c>
      <c r="E94" s="198" t="s">
        <v>119</v>
      </c>
      <c r="F94" s="170" t="s">
        <v>196</v>
      </c>
      <c r="G94" s="198" t="s">
        <v>114</v>
      </c>
      <c r="H94" s="170" t="s">
        <v>196</v>
      </c>
      <c r="I94" s="198" t="s">
        <v>114</v>
      </c>
      <c r="J94" s="170" t="s">
        <v>196</v>
      </c>
      <c r="K94" s="198" t="s">
        <v>113</v>
      </c>
      <c r="L94" s="170" t="s">
        <v>190</v>
      </c>
      <c r="M94" s="198" t="s">
        <v>109</v>
      </c>
      <c r="N94" s="170" t="s">
        <v>196</v>
      </c>
      <c r="O94" s="198" t="s">
        <v>113</v>
      </c>
      <c r="P94" s="170" t="s">
        <v>190</v>
      </c>
      <c r="Q94" s="198" t="s">
        <v>109</v>
      </c>
      <c r="R94" s="170" t="s">
        <v>196</v>
      </c>
      <c r="S94" s="280" t="s">
        <v>119</v>
      </c>
      <c r="T94" s="279" t="s">
        <v>196</v>
      </c>
      <c r="U94" s="280" t="s">
        <v>119</v>
      </c>
      <c r="V94" s="279" t="s">
        <v>196</v>
      </c>
      <c r="W94" s="280" t="s">
        <v>119</v>
      </c>
      <c r="X94" s="170" t="s">
        <v>196</v>
      </c>
      <c r="Y94" s="198" t="s">
        <v>113</v>
      </c>
      <c r="Z94" s="170" t="s">
        <v>190</v>
      </c>
      <c r="AA94" s="198" t="s">
        <v>113</v>
      </c>
      <c r="AB94" s="316" t="s">
        <v>190</v>
      </c>
      <c r="AC94" s="322" t="s">
        <v>133</v>
      </c>
      <c r="AD94" s="315" t="s">
        <v>197</v>
      </c>
    </row>
    <row r="95" spans="1:30" x14ac:dyDescent="0.35">
      <c r="A95" s="30"/>
      <c r="B95" s="31"/>
      <c r="C95" s="30"/>
      <c r="D95" s="31"/>
      <c r="E95" s="30"/>
      <c r="F95" s="31"/>
      <c r="G95" s="30"/>
      <c r="H95" s="31"/>
      <c r="I95" s="30"/>
      <c r="J95" s="31"/>
      <c r="K95" s="30"/>
      <c r="L95" s="31"/>
      <c r="M95" s="30"/>
      <c r="N95" s="31"/>
      <c r="O95" s="30"/>
      <c r="P95" s="31"/>
      <c r="Q95" s="30"/>
      <c r="R95" s="31"/>
      <c r="S95" s="30"/>
      <c r="T95" s="31"/>
      <c r="U95" s="30"/>
      <c r="V95" s="31"/>
      <c r="W95" s="30"/>
      <c r="X95" s="31"/>
      <c r="Y95" s="30"/>
      <c r="Z95" s="31"/>
      <c r="AA95" s="30"/>
      <c r="AB95" s="317"/>
      <c r="AC95" s="322" t="s">
        <v>123</v>
      </c>
      <c r="AD95" s="315" t="s">
        <v>198</v>
      </c>
    </row>
    <row r="96" spans="1:30" x14ac:dyDescent="0.35">
      <c r="AC96" s="315" t="s">
        <v>147</v>
      </c>
      <c r="AD96" s="315"/>
    </row>
    <row r="97" spans="1:28" x14ac:dyDescent="0.35">
      <c r="A97" s="355" t="s">
        <v>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7"/>
      <c r="AA97" s="325" t="s">
        <v>199</v>
      </c>
      <c r="AB97" s="326"/>
    </row>
    <row r="98" spans="1:28" x14ac:dyDescent="0.35">
      <c r="A98" s="341" t="s">
        <v>161</v>
      </c>
      <c r="B98" s="342"/>
      <c r="C98" s="341" t="s">
        <v>162</v>
      </c>
      <c r="D98" s="342"/>
      <c r="E98" s="341" t="s">
        <v>163</v>
      </c>
      <c r="F98" s="342"/>
      <c r="G98" s="341" t="s">
        <v>164</v>
      </c>
      <c r="H98" s="342"/>
      <c r="I98" s="341" t="s">
        <v>165</v>
      </c>
      <c r="J98" s="342"/>
      <c r="K98" s="341" t="s">
        <v>166</v>
      </c>
      <c r="L98" s="342"/>
      <c r="M98" s="341" t="s">
        <v>167</v>
      </c>
      <c r="N98" s="342"/>
      <c r="O98" s="341" t="s">
        <v>168</v>
      </c>
      <c r="P98" s="342"/>
      <c r="Q98" s="341" t="s">
        <v>169</v>
      </c>
      <c r="R98" s="342"/>
      <c r="S98" s="341" t="s">
        <v>170</v>
      </c>
      <c r="T98" s="342"/>
      <c r="U98" s="341" t="s">
        <v>171</v>
      </c>
      <c r="V98" s="342"/>
      <c r="W98" s="341" t="s">
        <v>172</v>
      </c>
      <c r="X98" s="342"/>
      <c r="Y98" s="341" t="s">
        <v>200</v>
      </c>
      <c r="Z98" s="342"/>
      <c r="AA98" s="318" t="s">
        <v>175</v>
      </c>
      <c r="AB98" s="172" t="s">
        <v>176</v>
      </c>
    </row>
    <row r="99" spans="1:28" x14ac:dyDescent="0.35">
      <c r="A99" s="166" t="s">
        <v>175</v>
      </c>
      <c r="B99" s="167" t="s">
        <v>176</v>
      </c>
      <c r="C99" s="166" t="s">
        <v>175</v>
      </c>
      <c r="D99" s="167" t="s">
        <v>176</v>
      </c>
      <c r="E99" s="166" t="s">
        <v>175</v>
      </c>
      <c r="F99" s="167" t="s">
        <v>176</v>
      </c>
      <c r="G99" s="166" t="s">
        <v>175</v>
      </c>
      <c r="H99" s="167" t="s">
        <v>176</v>
      </c>
      <c r="I99" s="166" t="s">
        <v>175</v>
      </c>
      <c r="J99" s="167" t="s">
        <v>176</v>
      </c>
      <c r="K99" s="166" t="s">
        <v>175</v>
      </c>
      <c r="L99" s="167" t="s">
        <v>176</v>
      </c>
      <c r="M99" s="166" t="s">
        <v>175</v>
      </c>
      <c r="N99" s="167" t="s">
        <v>176</v>
      </c>
      <c r="O99" s="166" t="s">
        <v>175</v>
      </c>
      <c r="P99" s="167" t="s">
        <v>176</v>
      </c>
      <c r="Q99" s="166" t="s">
        <v>175</v>
      </c>
      <c r="R99" s="167" t="s">
        <v>176</v>
      </c>
      <c r="S99" s="166" t="s">
        <v>175</v>
      </c>
      <c r="T99" s="167" t="s">
        <v>176</v>
      </c>
      <c r="U99" s="166" t="s">
        <v>175</v>
      </c>
      <c r="V99" s="167" t="s">
        <v>176</v>
      </c>
      <c r="W99" s="166" t="s">
        <v>175</v>
      </c>
      <c r="X99" s="167" t="s">
        <v>176</v>
      </c>
      <c r="Y99" s="166" t="s">
        <v>175</v>
      </c>
      <c r="Z99" s="167" t="s">
        <v>176</v>
      </c>
      <c r="AA99" s="315" t="s">
        <v>89</v>
      </c>
      <c r="AB99" s="315" t="s">
        <v>88</v>
      </c>
    </row>
    <row r="100" spans="1:28" x14ac:dyDescent="0.35">
      <c r="A100" s="198" t="s">
        <v>46</v>
      </c>
      <c r="B100" s="170" t="s">
        <v>201</v>
      </c>
      <c r="C100" s="198" t="s">
        <v>70</v>
      </c>
      <c r="D100" s="170" t="s">
        <v>201</v>
      </c>
      <c r="E100" s="198" t="s">
        <v>43</v>
      </c>
      <c r="F100" s="170" t="s">
        <v>201</v>
      </c>
      <c r="G100" s="198" t="s">
        <v>103</v>
      </c>
      <c r="H100" s="170" t="s">
        <v>201</v>
      </c>
      <c r="I100" s="198" t="s">
        <v>63</v>
      </c>
      <c r="J100" s="170" t="s">
        <v>201</v>
      </c>
      <c r="K100" s="198" t="s">
        <v>103</v>
      </c>
      <c r="L100" s="170" t="s">
        <v>201</v>
      </c>
      <c r="M100" s="198" t="s">
        <v>63</v>
      </c>
      <c r="N100" s="170" t="s">
        <v>201</v>
      </c>
      <c r="O100" s="198" t="s">
        <v>43</v>
      </c>
      <c r="P100" s="170" t="s">
        <v>201</v>
      </c>
      <c r="Q100" s="198" t="s">
        <v>46</v>
      </c>
      <c r="R100" s="170" t="s">
        <v>201</v>
      </c>
      <c r="S100" s="198" t="s">
        <v>63</v>
      </c>
      <c r="T100" s="170" t="s">
        <v>201</v>
      </c>
      <c r="U100" s="198" t="s">
        <v>63</v>
      </c>
      <c r="V100" s="170" t="s">
        <v>201</v>
      </c>
      <c r="W100" s="198" t="s">
        <v>46</v>
      </c>
      <c r="X100" s="170" t="s">
        <v>201</v>
      </c>
      <c r="Y100" s="198" t="s">
        <v>62</v>
      </c>
      <c r="Z100" s="316" t="s">
        <v>202</v>
      </c>
      <c r="AA100" s="315" t="s">
        <v>100</v>
      </c>
      <c r="AB100" s="315" t="s">
        <v>203</v>
      </c>
    </row>
    <row r="101" spans="1:28" x14ac:dyDescent="0.35">
      <c r="A101" s="198" t="s">
        <v>50</v>
      </c>
      <c r="B101" s="170" t="s">
        <v>204</v>
      </c>
      <c r="C101" s="198" t="s">
        <v>52</v>
      </c>
      <c r="D101" s="170" t="s">
        <v>204</v>
      </c>
      <c r="E101" s="198" t="s">
        <v>45</v>
      </c>
      <c r="F101" s="170" t="s">
        <v>204</v>
      </c>
      <c r="G101" s="197" t="s">
        <v>50</v>
      </c>
      <c r="H101" s="170" t="s">
        <v>204</v>
      </c>
      <c r="I101" s="198" t="s">
        <v>47</v>
      </c>
      <c r="J101" s="170" t="s">
        <v>204</v>
      </c>
      <c r="K101" s="198" t="s">
        <v>52</v>
      </c>
      <c r="L101" s="170" t="s">
        <v>204</v>
      </c>
      <c r="M101" s="197" t="s">
        <v>52</v>
      </c>
      <c r="N101" s="170" t="s">
        <v>204</v>
      </c>
      <c r="O101" s="198" t="s">
        <v>50</v>
      </c>
      <c r="P101" s="170" t="s">
        <v>204</v>
      </c>
      <c r="Q101" s="198" t="s">
        <v>45</v>
      </c>
      <c r="R101" s="170" t="s">
        <v>204</v>
      </c>
      <c r="S101" s="197" t="s">
        <v>47</v>
      </c>
      <c r="T101" s="170" t="s">
        <v>204</v>
      </c>
      <c r="U101" s="198" t="s">
        <v>47</v>
      </c>
      <c r="V101" s="170" t="s">
        <v>204</v>
      </c>
      <c r="W101" s="209" t="s">
        <v>47</v>
      </c>
      <c r="X101" s="170" t="s">
        <v>204</v>
      </c>
      <c r="Y101" s="198" t="s">
        <v>119</v>
      </c>
      <c r="Z101" s="316" t="s">
        <v>205</v>
      </c>
      <c r="AA101" s="315"/>
      <c r="AB101" s="315" t="s">
        <v>96</v>
      </c>
    </row>
    <row r="102" spans="1:28" x14ac:dyDescent="0.35">
      <c r="A102" s="198" t="s">
        <v>42</v>
      </c>
      <c r="B102" s="170" t="s">
        <v>206</v>
      </c>
      <c r="C102" s="198" t="s">
        <v>106</v>
      </c>
      <c r="D102" s="170" t="s">
        <v>206</v>
      </c>
      <c r="E102" s="198" t="s">
        <v>57</v>
      </c>
      <c r="F102" s="170" t="s">
        <v>206</v>
      </c>
      <c r="G102" s="198" t="s">
        <v>60</v>
      </c>
      <c r="H102" s="170" t="s">
        <v>206</v>
      </c>
      <c r="I102" s="198" t="s">
        <v>42</v>
      </c>
      <c r="J102" s="170" t="s">
        <v>206</v>
      </c>
      <c r="K102" s="197" t="s">
        <v>120</v>
      </c>
      <c r="L102" s="170" t="s">
        <v>206</v>
      </c>
      <c r="M102" s="198" t="s">
        <v>66</v>
      </c>
      <c r="N102" s="170" t="s">
        <v>206</v>
      </c>
      <c r="O102" s="208" t="s">
        <v>57</v>
      </c>
      <c r="P102" s="170" t="s">
        <v>206</v>
      </c>
      <c r="Q102" s="198" t="s">
        <v>66</v>
      </c>
      <c r="R102" s="170" t="s">
        <v>206</v>
      </c>
      <c r="S102" s="198" t="s">
        <v>60</v>
      </c>
      <c r="T102" s="170" t="s">
        <v>206</v>
      </c>
      <c r="U102" s="198" t="s">
        <v>66</v>
      </c>
      <c r="V102" s="170" t="s">
        <v>206</v>
      </c>
      <c r="W102" s="198" t="s">
        <v>57</v>
      </c>
      <c r="X102" s="170" t="s">
        <v>206</v>
      </c>
      <c r="Y102" s="178" t="s">
        <v>73</v>
      </c>
      <c r="Z102" s="316" t="s">
        <v>207</v>
      </c>
      <c r="AA102" s="315" t="s">
        <v>98</v>
      </c>
      <c r="AB102" s="315" t="s">
        <v>92</v>
      </c>
    </row>
    <row r="103" spans="1:28" x14ac:dyDescent="0.35">
      <c r="A103" s="198" t="s">
        <v>43</v>
      </c>
      <c r="B103" s="170" t="s">
        <v>208</v>
      </c>
      <c r="C103" s="197" t="s">
        <v>53</v>
      </c>
      <c r="D103" s="170" t="s">
        <v>208</v>
      </c>
      <c r="E103" s="198" t="s">
        <v>66</v>
      </c>
      <c r="F103" s="170" t="s">
        <v>208</v>
      </c>
      <c r="G103" s="198" t="s">
        <v>43</v>
      </c>
      <c r="H103" s="170" t="s">
        <v>208</v>
      </c>
      <c r="I103" s="208" t="s">
        <v>53</v>
      </c>
      <c r="J103" s="170" t="s">
        <v>208</v>
      </c>
      <c r="K103" s="197" t="s">
        <v>66</v>
      </c>
      <c r="L103" s="170" t="s">
        <v>208</v>
      </c>
      <c r="M103" s="198" t="s">
        <v>70</v>
      </c>
      <c r="N103" s="170" t="s">
        <v>209</v>
      </c>
      <c r="O103" s="198" t="s">
        <v>74</v>
      </c>
      <c r="P103" s="170" t="s">
        <v>209</v>
      </c>
      <c r="Q103" s="198" t="s">
        <v>70</v>
      </c>
      <c r="R103" s="170" t="s">
        <v>209</v>
      </c>
      <c r="S103" s="198" t="s">
        <v>70</v>
      </c>
      <c r="T103" s="170" t="s">
        <v>209</v>
      </c>
      <c r="U103" s="198" t="s">
        <v>74</v>
      </c>
      <c r="V103" s="170" t="s">
        <v>209</v>
      </c>
      <c r="W103" s="197" t="s">
        <v>63</v>
      </c>
      <c r="X103" s="175" t="s">
        <v>210</v>
      </c>
      <c r="Y103" s="198" t="s">
        <v>82</v>
      </c>
      <c r="Z103" s="316" t="s">
        <v>130</v>
      </c>
      <c r="AA103" s="315" t="s">
        <v>94</v>
      </c>
      <c r="AB103" s="315" t="s">
        <v>101</v>
      </c>
    </row>
    <row r="104" spans="1:28" x14ac:dyDescent="0.35">
      <c r="A104" s="198" t="s">
        <v>58</v>
      </c>
      <c r="B104" s="170" t="s">
        <v>211</v>
      </c>
      <c r="C104" s="198" t="s">
        <v>50</v>
      </c>
      <c r="D104" s="170" t="s">
        <v>211</v>
      </c>
      <c r="E104" s="198" t="s">
        <v>58</v>
      </c>
      <c r="F104" s="170" t="s">
        <v>211</v>
      </c>
      <c r="G104" s="198" t="s">
        <v>58</v>
      </c>
      <c r="H104" s="170" t="s">
        <v>211</v>
      </c>
      <c r="I104" s="198" t="s">
        <v>50</v>
      </c>
      <c r="J104" s="170" t="s">
        <v>211</v>
      </c>
      <c r="K104" s="198" t="s">
        <v>58</v>
      </c>
      <c r="L104" s="170" t="s">
        <v>211</v>
      </c>
      <c r="M104" s="198" t="s">
        <v>62</v>
      </c>
      <c r="N104" s="170" t="s">
        <v>212</v>
      </c>
      <c r="O104" s="198" t="s">
        <v>73</v>
      </c>
      <c r="P104" s="170" t="s">
        <v>212</v>
      </c>
      <c r="Q104" s="198" t="s">
        <v>73</v>
      </c>
      <c r="R104" s="170" t="s">
        <v>212</v>
      </c>
      <c r="S104" s="198" t="s">
        <v>46</v>
      </c>
      <c r="T104" s="170" t="s">
        <v>212</v>
      </c>
      <c r="U104" s="198" t="s">
        <v>62</v>
      </c>
      <c r="V104" s="170" t="s">
        <v>212</v>
      </c>
      <c r="W104" s="197" t="s">
        <v>51</v>
      </c>
      <c r="X104" s="175" t="s">
        <v>213</v>
      </c>
      <c r="Y104" s="198"/>
      <c r="Z104" s="316"/>
      <c r="AA104" s="315" t="s">
        <v>91</v>
      </c>
      <c r="AB104" s="315" t="s">
        <v>90</v>
      </c>
    </row>
    <row r="105" spans="1:28" x14ac:dyDescent="0.35">
      <c r="A105" s="198" t="s">
        <v>45</v>
      </c>
      <c r="B105" s="170" t="s">
        <v>214</v>
      </c>
      <c r="C105" s="198" t="s">
        <v>58</v>
      </c>
      <c r="D105" s="170" t="s">
        <v>214</v>
      </c>
      <c r="E105" s="198" t="s">
        <v>53</v>
      </c>
      <c r="F105" s="170" t="s">
        <v>214</v>
      </c>
      <c r="G105" s="198" t="s">
        <v>45</v>
      </c>
      <c r="H105" s="170" t="s">
        <v>214</v>
      </c>
      <c r="I105" s="198" t="s">
        <v>45</v>
      </c>
      <c r="J105" s="170" t="s">
        <v>214</v>
      </c>
      <c r="K105" s="198" t="s">
        <v>53</v>
      </c>
      <c r="L105" s="170" t="s">
        <v>214</v>
      </c>
      <c r="M105" s="198" t="s">
        <v>73</v>
      </c>
      <c r="N105" s="170" t="s">
        <v>203</v>
      </c>
      <c r="O105" s="198" t="s">
        <v>148</v>
      </c>
      <c r="P105" s="170" t="s">
        <v>203</v>
      </c>
      <c r="Q105" s="198" t="s">
        <v>47</v>
      </c>
      <c r="R105" s="170" t="s">
        <v>203</v>
      </c>
      <c r="S105" s="198" t="s">
        <v>73</v>
      </c>
      <c r="T105" s="170" t="s">
        <v>203</v>
      </c>
      <c r="U105" s="198" t="s">
        <v>73</v>
      </c>
      <c r="V105" s="170" t="s">
        <v>203</v>
      </c>
      <c r="W105" s="197" t="s">
        <v>118</v>
      </c>
      <c r="X105" s="175" t="s">
        <v>215</v>
      </c>
      <c r="Y105" s="178"/>
      <c r="Z105" s="316"/>
      <c r="AA105" s="315"/>
      <c r="AB105" s="315" t="s">
        <v>93</v>
      </c>
    </row>
    <row r="106" spans="1:28" x14ac:dyDescent="0.35">
      <c r="A106" s="198" t="s">
        <v>56</v>
      </c>
      <c r="B106" s="170" t="s">
        <v>216</v>
      </c>
      <c r="C106" s="198" t="s">
        <v>51</v>
      </c>
      <c r="D106" s="170" t="s">
        <v>216</v>
      </c>
      <c r="E106" s="198" t="s">
        <v>56</v>
      </c>
      <c r="F106" s="170" t="s">
        <v>216</v>
      </c>
      <c r="G106" s="198" t="s">
        <v>51</v>
      </c>
      <c r="H106" s="170" t="s">
        <v>216</v>
      </c>
      <c r="I106" s="198" t="s">
        <v>62</v>
      </c>
      <c r="J106" s="170" t="s">
        <v>216</v>
      </c>
      <c r="K106" s="198" t="s">
        <v>82</v>
      </c>
      <c r="L106" s="170" t="s">
        <v>130</v>
      </c>
      <c r="M106" s="198" t="s">
        <v>51</v>
      </c>
      <c r="N106" s="170" t="s">
        <v>216</v>
      </c>
      <c r="O106" s="198" t="s">
        <v>51</v>
      </c>
      <c r="P106" s="170" t="s">
        <v>216</v>
      </c>
      <c r="Q106" s="198" t="s">
        <v>62</v>
      </c>
      <c r="R106" s="170" t="s">
        <v>216</v>
      </c>
      <c r="S106" s="198" t="s">
        <v>51</v>
      </c>
      <c r="T106" s="170" t="s">
        <v>130</v>
      </c>
      <c r="U106" s="165" t="s">
        <v>82</v>
      </c>
      <c r="V106" s="170" t="s">
        <v>130</v>
      </c>
      <c r="W106" s="197" t="s">
        <v>71</v>
      </c>
      <c r="X106" s="175" t="s">
        <v>216</v>
      </c>
      <c r="Y106" s="198"/>
      <c r="Z106" s="316"/>
      <c r="AA106" s="315"/>
      <c r="AB106" s="315" t="s">
        <v>99</v>
      </c>
    </row>
    <row r="107" spans="1:28" x14ac:dyDescent="0.35">
      <c r="A107" s="30"/>
      <c r="B107" s="31"/>
      <c r="C107" s="30"/>
      <c r="D107" s="31"/>
      <c r="E107" s="30"/>
      <c r="F107" s="31"/>
      <c r="G107" s="30"/>
      <c r="H107" s="31"/>
      <c r="I107" s="30"/>
      <c r="J107" s="31"/>
      <c r="K107" s="30"/>
      <c r="L107" s="31"/>
      <c r="M107" s="30"/>
      <c r="N107" s="31"/>
      <c r="O107" s="30"/>
      <c r="P107" s="31"/>
      <c r="Q107" s="30"/>
      <c r="R107" s="31"/>
      <c r="S107" s="30"/>
      <c r="T107" s="31"/>
      <c r="U107" s="285"/>
      <c r="V107" s="286"/>
      <c r="W107" s="265"/>
      <c r="X107" s="31"/>
      <c r="Y107" s="30"/>
      <c r="Z107" s="317"/>
      <c r="AA107" s="315"/>
      <c r="AB107" s="315" t="s">
        <v>97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</sheetData>
  <mergeCells count="76">
    <mergeCell ref="AC85:AD85"/>
    <mergeCell ref="A3:H3"/>
    <mergeCell ref="I3:N3"/>
    <mergeCell ref="E4:F4"/>
    <mergeCell ref="G4:H4"/>
    <mergeCell ref="I4:J4"/>
    <mergeCell ref="K4:L4"/>
    <mergeCell ref="M4:N4"/>
    <mergeCell ref="M72:N72"/>
    <mergeCell ref="A85:AB85"/>
    <mergeCell ref="A72:B72"/>
    <mergeCell ref="K20:L20"/>
    <mergeCell ref="M20:N20"/>
    <mergeCell ref="B16:B17"/>
    <mergeCell ref="C16:C17"/>
    <mergeCell ref="E20:F20"/>
    <mergeCell ref="A97:Z97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98:B98"/>
    <mergeCell ref="C98:D98"/>
    <mergeCell ref="E98:F98"/>
    <mergeCell ref="G98:H98"/>
    <mergeCell ref="BX3:CA3"/>
    <mergeCell ref="AC1:AN1"/>
    <mergeCell ref="AK2:AN2"/>
    <mergeCell ref="Y2:AB2"/>
    <mergeCell ref="AC2:AF2"/>
    <mergeCell ref="AG2:AJ2"/>
    <mergeCell ref="AA86:AB86"/>
    <mergeCell ref="Y86:Z86"/>
    <mergeCell ref="S86:T86"/>
    <mergeCell ref="U86:V86"/>
    <mergeCell ref="W86:X86"/>
    <mergeCell ref="G86:H86"/>
    <mergeCell ref="C86:D86"/>
    <mergeCell ref="A86:B86"/>
    <mergeCell ref="E86:F86"/>
    <mergeCell ref="I86:J86"/>
    <mergeCell ref="K86:L86"/>
    <mergeCell ref="M86:N86"/>
    <mergeCell ref="Q86:R86"/>
    <mergeCell ref="O86:P86"/>
    <mergeCell ref="I38:J53"/>
    <mergeCell ref="O72:P72"/>
    <mergeCell ref="I5:J19"/>
    <mergeCell ref="K72:L72"/>
    <mergeCell ref="G37:H37"/>
    <mergeCell ref="K37:L37"/>
    <mergeCell ref="A5:A19"/>
    <mergeCell ref="G20:H20"/>
    <mergeCell ref="I20:J20"/>
    <mergeCell ref="A21:A36"/>
    <mergeCell ref="I21:J36"/>
    <mergeCell ref="M37:N37"/>
    <mergeCell ref="AA72:AB72"/>
    <mergeCell ref="A71:AB71"/>
    <mergeCell ref="C72:D72"/>
    <mergeCell ref="E72:F72"/>
    <mergeCell ref="G72:H72"/>
    <mergeCell ref="Q72:R72"/>
    <mergeCell ref="S72:T72"/>
    <mergeCell ref="U72:V72"/>
    <mergeCell ref="W72:X72"/>
    <mergeCell ref="Y72:Z72"/>
    <mergeCell ref="I72:J72"/>
    <mergeCell ref="A38:A53"/>
    <mergeCell ref="E37:F37"/>
    <mergeCell ref="I37:J37"/>
  </mergeCells>
  <conditionalFormatting sqref="A75:A79">
    <cfRule type="duplicateValues" dxfId="7452" priority="2527"/>
  </conditionalFormatting>
  <conditionalFormatting sqref="C75:C79">
    <cfRule type="duplicateValues" dxfId="7451" priority="2526"/>
  </conditionalFormatting>
  <conditionalFormatting sqref="E18">
    <cfRule type="duplicateValues" dxfId="7450" priority="213"/>
  </conditionalFormatting>
  <conditionalFormatting sqref="E18:E19">
    <cfRule type="cellIs" dxfId="7449" priority="212" operator="equal">
      <formula>0</formula>
    </cfRule>
  </conditionalFormatting>
  <conditionalFormatting sqref="E19">
    <cfRule type="duplicateValues" dxfId="7448" priority="214"/>
  </conditionalFormatting>
  <conditionalFormatting sqref="E34">
    <cfRule type="duplicateValues" dxfId="7447" priority="3717"/>
  </conditionalFormatting>
  <conditionalFormatting sqref="E35">
    <cfRule type="duplicateValues" dxfId="7446" priority="449"/>
  </conditionalFormatting>
  <conditionalFormatting sqref="E36">
    <cfRule type="duplicateValues" dxfId="7445" priority="448"/>
    <cfRule type="duplicateValues" dxfId="7444" priority="446"/>
    <cfRule type="duplicateValues" dxfId="7443" priority="447"/>
  </conditionalFormatting>
  <conditionalFormatting sqref="E38">
    <cfRule type="duplicateValues" dxfId="7442" priority="1124"/>
  </conditionalFormatting>
  <conditionalFormatting sqref="E38:E42">
    <cfRule type="cellIs" dxfId="7441" priority="1125" operator="equal">
      <formula>0</formula>
    </cfRule>
  </conditionalFormatting>
  <conditionalFormatting sqref="E52">
    <cfRule type="duplicateValues" dxfId="7440" priority="602"/>
    <cfRule type="duplicateValues" dxfId="7439" priority="604"/>
  </conditionalFormatting>
  <conditionalFormatting sqref="E53">
    <cfRule type="duplicateValues" dxfId="7438" priority="601"/>
    <cfRule type="duplicateValues" dxfId="7437" priority="603"/>
  </conditionalFormatting>
  <conditionalFormatting sqref="E75:E79">
    <cfRule type="duplicateValues" dxfId="7436" priority="2525"/>
  </conditionalFormatting>
  <conditionalFormatting sqref="E34:G34">
    <cfRule type="duplicateValues" dxfId="7435" priority="909"/>
  </conditionalFormatting>
  <conditionalFormatting sqref="E5:H5 K5:N5">
    <cfRule type="duplicateValues" dxfId="7434" priority="3025"/>
  </conditionalFormatting>
  <conditionalFormatting sqref="E5:H16 K5:N16">
    <cfRule type="cellIs" dxfId="7433" priority="3001" operator="equal">
      <formula>0</formula>
    </cfRule>
  </conditionalFormatting>
  <conditionalFormatting sqref="E6:H6 K6:N6">
    <cfRule type="duplicateValues" dxfId="7432" priority="3026"/>
  </conditionalFormatting>
  <conditionalFormatting sqref="E7:H7 K7:N7">
    <cfRule type="duplicateValues" dxfId="7431" priority="3027"/>
  </conditionalFormatting>
  <conditionalFormatting sqref="E8:H8 K8:N8">
    <cfRule type="duplicateValues" dxfId="7430" priority="3028"/>
  </conditionalFormatting>
  <conditionalFormatting sqref="E9:H9 K9:N9">
    <cfRule type="duplicateValues" dxfId="7429" priority="3029"/>
  </conditionalFormatting>
  <conditionalFormatting sqref="E10:H10 K10:N10">
    <cfRule type="duplicateValues" dxfId="7428" priority="3030"/>
  </conditionalFormatting>
  <conditionalFormatting sqref="E11:H11 K11:N11">
    <cfRule type="duplicateValues" dxfId="7427" priority="3031"/>
  </conditionalFormatting>
  <conditionalFormatting sqref="E12:H12 K12:N12">
    <cfRule type="duplicateValues" dxfId="7426" priority="3032"/>
  </conditionalFormatting>
  <conditionalFormatting sqref="E13:H13 K13:N13">
    <cfRule type="duplicateValues" dxfId="7425" priority="3033"/>
  </conditionalFormatting>
  <conditionalFormatting sqref="E14:H14 K14:N14">
    <cfRule type="duplicateValues" dxfId="7424" priority="3034"/>
  </conditionalFormatting>
  <conditionalFormatting sqref="E15:H15 K15:N15">
    <cfRule type="duplicateValues" dxfId="7423" priority="3035"/>
  </conditionalFormatting>
  <conditionalFormatting sqref="E16:H16 K16:N16">
    <cfRule type="duplicateValues" dxfId="7422" priority="3036"/>
  </conditionalFormatting>
  <conditionalFormatting sqref="E21:H21 K21:N21">
    <cfRule type="duplicateValues" dxfId="7421" priority="4390"/>
  </conditionalFormatting>
  <conditionalFormatting sqref="E22:H22 K22:N22">
    <cfRule type="duplicateValues" dxfId="7420" priority="4389"/>
  </conditionalFormatting>
  <conditionalFormatting sqref="E23:H23 K23:N23">
    <cfRule type="duplicateValues" dxfId="7419" priority="4388"/>
  </conditionalFormatting>
  <conditionalFormatting sqref="E25:H25 K25:N25">
    <cfRule type="duplicateValues" dxfId="7418" priority="4386"/>
  </conditionalFormatting>
  <conditionalFormatting sqref="E26:H26 K26:N26">
    <cfRule type="duplicateValues" dxfId="7417" priority="4385"/>
  </conditionalFormatting>
  <conditionalFormatting sqref="E27:H27 K27:N27">
    <cfRule type="duplicateValues" dxfId="7416" priority="4384"/>
  </conditionalFormatting>
  <conditionalFormatting sqref="E28:H28 K28:N28">
    <cfRule type="duplicateValues" dxfId="7415" priority="4383"/>
  </conditionalFormatting>
  <conditionalFormatting sqref="E29:H29 K29:N29">
    <cfRule type="duplicateValues" dxfId="7414" priority="4382"/>
  </conditionalFormatting>
  <conditionalFormatting sqref="E31:H31 K31:N31">
    <cfRule type="duplicateValues" dxfId="7413" priority="4380"/>
  </conditionalFormatting>
  <conditionalFormatting sqref="E32:H32 K32:N32">
    <cfRule type="duplicateValues" dxfId="7412" priority="4379"/>
  </conditionalFormatting>
  <conditionalFormatting sqref="E33:H33 K33:N33">
    <cfRule type="duplicateValues" dxfId="7411" priority="4378"/>
  </conditionalFormatting>
  <conditionalFormatting sqref="E34:H34 K34:N34">
    <cfRule type="duplicateValues" dxfId="7410" priority="3617"/>
  </conditionalFormatting>
  <conditionalFormatting sqref="E38:H38 K38:N38">
    <cfRule type="duplicateValues" dxfId="7409" priority="1388"/>
  </conditionalFormatting>
  <conditionalFormatting sqref="E38:H53">
    <cfRule type="cellIs" dxfId="7408" priority="1072" operator="equal">
      <formula>0</formula>
    </cfRule>
  </conditionalFormatting>
  <conditionalFormatting sqref="E39:H39 K39:N39">
    <cfRule type="duplicateValues" dxfId="7407" priority="1387"/>
    <cfRule type="duplicateValues" dxfId="7406" priority="1252"/>
  </conditionalFormatting>
  <conditionalFormatting sqref="E40:H40 K40:N40">
    <cfRule type="duplicateValues" dxfId="7405" priority="1386"/>
    <cfRule type="duplicateValues" dxfId="7404" priority="1251"/>
  </conditionalFormatting>
  <conditionalFormatting sqref="E41:H41 K41:N41">
    <cfRule type="duplicateValues" dxfId="7403" priority="1385"/>
    <cfRule type="duplicateValues" dxfId="7402" priority="1250"/>
  </conditionalFormatting>
  <conditionalFormatting sqref="E42:H42 K42:N42">
    <cfRule type="duplicateValues" dxfId="7401" priority="1249"/>
    <cfRule type="duplicateValues" dxfId="7400" priority="1384"/>
  </conditionalFormatting>
  <conditionalFormatting sqref="E43:H43 K43:N43">
    <cfRule type="duplicateValues" dxfId="7399" priority="1383"/>
    <cfRule type="duplicateValues" dxfId="7398" priority="1248"/>
  </conditionalFormatting>
  <conditionalFormatting sqref="E44:H44 K44:N44">
    <cfRule type="duplicateValues" dxfId="7397" priority="1247"/>
    <cfRule type="duplicateValues" dxfId="7396" priority="1382"/>
  </conditionalFormatting>
  <conditionalFormatting sqref="E45:H45 K45:N45">
    <cfRule type="duplicateValues" dxfId="7395" priority="1381"/>
    <cfRule type="duplicateValues" dxfId="7394" priority="1246"/>
  </conditionalFormatting>
  <conditionalFormatting sqref="E46:H46 K46:N46">
    <cfRule type="duplicateValues" dxfId="7393" priority="1245"/>
    <cfRule type="duplicateValues" dxfId="7392" priority="1380"/>
  </conditionalFormatting>
  <conditionalFormatting sqref="E47:H47 K47:N47">
    <cfRule type="duplicateValues" dxfId="7391" priority="1244"/>
    <cfRule type="duplicateValues" dxfId="7390" priority="1379"/>
  </conditionalFormatting>
  <conditionalFormatting sqref="E48:H48 K48:N48">
    <cfRule type="duplicateValues" dxfId="7389" priority="1378"/>
    <cfRule type="duplicateValues" dxfId="7388" priority="1243"/>
  </conditionalFormatting>
  <conditionalFormatting sqref="E49:H49 K49:N49">
    <cfRule type="duplicateValues" dxfId="7387" priority="1242"/>
    <cfRule type="duplicateValues" dxfId="7386" priority="1258"/>
  </conditionalFormatting>
  <conditionalFormatting sqref="E49:H49">
    <cfRule type="duplicateValues" dxfId="7385" priority="1342"/>
  </conditionalFormatting>
  <conditionalFormatting sqref="E50:H50 K50:N50">
    <cfRule type="duplicateValues" dxfId="7384" priority="1126"/>
  </conditionalFormatting>
  <conditionalFormatting sqref="E50:H50">
    <cfRule type="duplicateValues" dxfId="7383" priority="1210"/>
  </conditionalFormatting>
  <conditionalFormatting sqref="E51:H51 K51:N51">
    <cfRule type="duplicateValues" dxfId="7382" priority="981"/>
  </conditionalFormatting>
  <conditionalFormatting sqref="E51:H51">
    <cfRule type="duplicateValues" dxfId="7381" priority="1065"/>
  </conditionalFormatting>
  <conditionalFormatting sqref="E4:N4">
    <cfRule type="cellIs" dxfId="7380" priority="613" operator="equal">
      <formula>$O$9</formula>
    </cfRule>
    <cfRule type="cellIs" dxfId="7379" priority="612" operator="equal">
      <formula>$O$11</formula>
    </cfRule>
    <cfRule type="cellIs" dxfId="7378" priority="614" operator="equal">
      <formula>$O$8</formula>
    </cfRule>
    <cfRule type="cellIs" dxfId="7377" priority="615" operator="equal">
      <formula>$O$7</formula>
    </cfRule>
    <cfRule type="cellIs" dxfId="7376" priority="617" operator="equal">
      <formula>$O$5</formula>
    </cfRule>
    <cfRule type="cellIs" dxfId="7375" priority="618" operator="equal">
      <formula>0</formula>
    </cfRule>
    <cfRule type="cellIs" dxfId="7374" priority="616" operator="equal">
      <formula>$O$6</formula>
    </cfRule>
  </conditionalFormatting>
  <conditionalFormatting sqref="E20:N20">
    <cfRule type="cellIs" dxfId="7373" priority="605" operator="equal">
      <formula>$O$11</formula>
    </cfRule>
    <cfRule type="cellIs" dxfId="7372" priority="606" operator="equal">
      <formula>$O$9</formula>
    </cfRule>
    <cfRule type="cellIs" dxfId="7371" priority="607" operator="equal">
      <formula>$O$8</formula>
    </cfRule>
    <cfRule type="cellIs" dxfId="7370" priority="608" operator="equal">
      <formula>$O$7</formula>
    </cfRule>
    <cfRule type="cellIs" dxfId="7369" priority="609" operator="equal">
      <formula>$O$6</formula>
    </cfRule>
    <cfRule type="cellIs" dxfId="7368" priority="610" operator="equal">
      <formula>$O$5</formula>
    </cfRule>
    <cfRule type="cellIs" dxfId="7367" priority="611" operator="equal">
      <formula>0</formula>
    </cfRule>
  </conditionalFormatting>
  <conditionalFormatting sqref="E37:N37">
    <cfRule type="cellIs" dxfId="7366" priority="3612" operator="equal">
      <formula>0</formula>
    </cfRule>
    <cfRule type="cellIs" dxfId="7365" priority="3606" operator="equal">
      <formula>$O$11</formula>
    </cfRule>
    <cfRule type="cellIs" dxfId="7364" priority="3609" operator="equal">
      <formula>$O$7</formula>
    </cfRule>
    <cfRule type="cellIs" dxfId="7363" priority="3610" operator="equal">
      <formula>$O$6</formula>
    </cfRule>
    <cfRule type="cellIs" dxfId="7362" priority="3608" operator="equal">
      <formula>$O$8</formula>
    </cfRule>
    <cfRule type="cellIs" dxfId="7361" priority="3607" operator="equal">
      <formula>$O$9</formula>
    </cfRule>
    <cfRule type="cellIs" dxfId="7360" priority="3611" operator="equal">
      <formula>$O$5</formula>
    </cfRule>
  </conditionalFormatting>
  <conditionalFormatting sqref="F5:F16">
    <cfRule type="duplicateValues" dxfId="7349" priority="3024"/>
    <cfRule type="duplicateValues" dxfId="7348" priority="3023"/>
    <cfRule type="duplicateValues" dxfId="7347" priority="2512"/>
  </conditionalFormatting>
  <conditionalFormatting sqref="F17">
    <cfRule type="cellIs" dxfId="7346" priority="657" operator="equal">
      <formula>$O$15</formula>
    </cfRule>
    <cfRule type="cellIs" dxfId="7345" priority="658" operator="equal">
      <formula>$O$14</formula>
    </cfRule>
    <cfRule type="cellIs" dxfId="7344" priority="660" operator="equal">
      <formula>$O$13</formula>
    </cfRule>
    <cfRule type="cellIs" dxfId="7343" priority="661" operator="equal">
      <formula>$O$12</formula>
    </cfRule>
    <cfRule type="cellIs" dxfId="7342" priority="662" operator="equal">
      <formula>$O$11</formula>
    </cfRule>
    <cfRule type="cellIs" dxfId="7341" priority="664" operator="equal">
      <formula>$O$10</formula>
    </cfRule>
    <cfRule type="cellIs" dxfId="7340" priority="665" operator="equal">
      <formula>$O$9</formula>
    </cfRule>
    <cfRule type="cellIs" dxfId="7339" priority="666" operator="equal">
      <formula>$O$8</formula>
    </cfRule>
    <cfRule type="cellIs" dxfId="7338" priority="667" operator="equal">
      <formula>$O$7</formula>
    </cfRule>
    <cfRule type="duplicateValues" dxfId="7337" priority="652"/>
    <cfRule type="duplicateValues" dxfId="7336" priority="653"/>
    <cfRule type="cellIs" dxfId="7335" priority="668" operator="equal">
      <formula>$O$6</formula>
    </cfRule>
    <cfRule type="cellIs" dxfId="7334" priority="669" operator="equal">
      <formula>$O$5</formula>
    </cfRule>
    <cfRule type="duplicateValues" dxfId="7333" priority="670"/>
    <cfRule type="duplicateValues" dxfId="7332" priority="671"/>
    <cfRule type="cellIs" dxfId="7331" priority="654" operator="equal">
      <formula>$O$18</formula>
    </cfRule>
    <cfRule type="cellIs" dxfId="7330" priority="672" operator="equal">
      <formula>$O$18</formula>
    </cfRule>
    <cfRule type="cellIs" dxfId="7329" priority="673" operator="equal">
      <formula>$O$10</formula>
    </cfRule>
    <cfRule type="cellIs" dxfId="7328" priority="674" operator="equal">
      <formula>$O$17</formula>
    </cfRule>
    <cfRule type="cellIs" dxfId="7327" priority="675" operator="equal">
      <formula>$O$16</formula>
    </cfRule>
    <cfRule type="cellIs" dxfId="7326" priority="676" operator="equal">
      <formula>$O$15</formula>
    </cfRule>
    <cfRule type="cellIs" dxfId="7325" priority="677" operator="equal">
      <formula>$O$14</formula>
    </cfRule>
    <cfRule type="cellIs" dxfId="7324" priority="678" operator="equal">
      <formula>$O$13</formula>
    </cfRule>
    <cfRule type="cellIs" dxfId="7323" priority="679" operator="equal">
      <formula>$O$12</formula>
    </cfRule>
    <cfRule type="cellIs" dxfId="7322" priority="680" operator="equal">
      <formula>$O$11</formula>
    </cfRule>
    <cfRule type="cellIs" dxfId="7321" priority="683" operator="equal">
      <formula>$O$9</formula>
    </cfRule>
    <cfRule type="cellIs" dxfId="7320" priority="685" operator="equal">
      <formula>$O$8</formula>
    </cfRule>
    <cfRule type="cellIs" dxfId="7319" priority="686" operator="equal">
      <formula>$O$7</formula>
    </cfRule>
    <cfRule type="cellIs" dxfId="7318" priority="687" operator="equal">
      <formula>$O$6</formula>
    </cfRule>
    <cfRule type="cellIs" dxfId="7317" priority="688" operator="equal">
      <formula>$O$5</formula>
    </cfRule>
    <cfRule type="cellIs" dxfId="7316" priority="655" operator="equal">
      <formula>$O$17</formula>
    </cfRule>
    <cfRule type="cellIs" dxfId="7315" priority="628" operator="equal">
      <formula>$O$13</formula>
    </cfRule>
    <cfRule type="cellIs" dxfId="7314" priority="629" operator="equal">
      <formula>$O$12</formula>
    </cfRule>
    <cfRule type="cellIs" dxfId="7313" priority="630" operator="equal">
      <formula>$O$11</formula>
    </cfRule>
    <cfRule type="cellIs" dxfId="7312" priority="631" operator="equal">
      <formula>$O$10</formula>
    </cfRule>
    <cfRule type="cellIs" dxfId="7311" priority="632" operator="equal">
      <formula>$O$9</formula>
    </cfRule>
    <cfRule type="cellIs" dxfId="7310" priority="633" operator="equal">
      <formula>$O$8</formula>
    </cfRule>
    <cfRule type="cellIs" dxfId="7309" priority="634" operator="equal">
      <formula>$O$7</formula>
    </cfRule>
    <cfRule type="cellIs" dxfId="7308" priority="635" operator="equal">
      <formula>$O$6</formula>
    </cfRule>
    <cfRule type="cellIs" dxfId="7307" priority="636" operator="equal">
      <formula>$O$5</formula>
    </cfRule>
    <cfRule type="cellIs" dxfId="7306" priority="638" operator="equal">
      <formula>$O$18</formula>
    </cfRule>
    <cfRule type="cellIs" dxfId="7305" priority="639" operator="equal">
      <formula>$O$17</formula>
    </cfRule>
    <cfRule type="cellIs" dxfId="7304" priority="640" operator="equal">
      <formula>$O$16</formula>
    </cfRule>
    <cfRule type="cellIs" dxfId="7303" priority="656" operator="equal">
      <formula>$O$16</formula>
    </cfRule>
    <cfRule type="cellIs" dxfId="7302" priority="641" operator="equal">
      <formula>$O$15</formula>
    </cfRule>
    <cfRule type="cellIs" dxfId="7301" priority="642" operator="equal">
      <formula>$O$14</formula>
    </cfRule>
  </conditionalFormatting>
  <conditionalFormatting sqref="F17:F19">
    <cfRule type="cellIs" dxfId="7300" priority="197" operator="equal">
      <formula>0</formula>
    </cfRule>
  </conditionalFormatting>
  <conditionalFormatting sqref="F18">
    <cfRule type="duplicateValues" dxfId="7299" priority="200"/>
  </conditionalFormatting>
  <conditionalFormatting sqref="F18:F19">
    <cfRule type="cellIs" dxfId="7298" priority="187" operator="equal">
      <formula>$O$14</formula>
    </cfRule>
    <cfRule type="cellIs" dxfId="7297" priority="186" operator="equal">
      <formula>$O$15</formula>
    </cfRule>
    <cfRule type="cellIs" dxfId="7296" priority="194" operator="equal">
      <formula>$O$7</formula>
    </cfRule>
    <cfRule type="cellIs" dxfId="7293" priority="193" operator="equal">
      <formula>$O$8</formula>
    </cfRule>
    <cfRule type="cellIs" dxfId="7292" priority="185" operator="equal">
      <formula>$O$16</formula>
    </cfRule>
    <cfRule type="cellIs" dxfId="7291" priority="184" operator="equal">
      <formula>$O$17</formula>
    </cfRule>
    <cfRule type="cellIs" dxfId="7290" priority="183" operator="equal">
      <formula>$O$18</formula>
    </cfRule>
    <cfRule type="duplicateValues" dxfId="7289" priority="182"/>
    <cfRule type="cellIs" dxfId="7281" priority="192" operator="equal">
      <formula>$O$9</formula>
    </cfRule>
    <cfRule type="duplicateValues" dxfId="7280" priority="199"/>
    <cfRule type="duplicateValues" dxfId="7279" priority="198"/>
    <cfRule type="cellIs" dxfId="7278" priority="191" operator="equal">
      <formula>$O$10</formula>
    </cfRule>
    <cfRule type="cellIs" dxfId="7277" priority="190" operator="equal">
      <formula>$O$11</formula>
    </cfRule>
    <cfRule type="cellIs" dxfId="7276" priority="189" operator="equal">
      <formula>$O$12</formula>
    </cfRule>
    <cfRule type="cellIs" dxfId="7275" priority="188" operator="equal">
      <formula>$O$13</formula>
    </cfRule>
    <cfRule type="cellIs" dxfId="7274" priority="196" operator="equal">
      <formula>$O$5</formula>
    </cfRule>
    <cfRule type="cellIs" dxfId="7273" priority="195" operator="equal">
      <formula>$O$6</formula>
    </cfRule>
  </conditionalFormatting>
  <conditionalFormatting sqref="F19">
    <cfRule type="duplicateValues" dxfId="7271" priority="201"/>
  </conditionalFormatting>
  <conditionalFormatting sqref="F21 F24:F31">
    <cfRule type="duplicateValues" dxfId="7270" priority="4943"/>
  </conditionalFormatting>
  <conditionalFormatting sqref="F21:F33">
    <cfRule type="duplicateValues" dxfId="7267" priority="4427"/>
  </conditionalFormatting>
  <conditionalFormatting sqref="F21:F36 F5:F19">
    <cfRule type="duplicateValues" dxfId="7266" priority="622"/>
  </conditionalFormatting>
  <conditionalFormatting sqref="F21:F36">
    <cfRule type="duplicateValues" dxfId="7265" priority="5249"/>
  </conditionalFormatting>
  <conditionalFormatting sqref="F22:F23">
    <cfRule type="duplicateValues" dxfId="7264" priority="4541"/>
    <cfRule type="duplicateValues" dxfId="7263" priority="4944"/>
    <cfRule type="duplicateValues" dxfId="7262" priority="4540"/>
  </conditionalFormatting>
  <conditionalFormatting sqref="F31 E30:H30 K30:N30">
    <cfRule type="duplicateValues" dxfId="7261" priority="4381"/>
  </conditionalFormatting>
  <conditionalFormatting sqref="F31">
    <cfRule type="duplicateValues" dxfId="7260" priority="1730"/>
    <cfRule type="duplicateValues" dxfId="7259" priority="1729"/>
    <cfRule type="duplicateValues" dxfId="7258" priority="1728"/>
    <cfRule type="duplicateValues" dxfId="7256" priority="1736"/>
    <cfRule type="duplicateValues" dxfId="7255" priority="1735"/>
    <cfRule type="duplicateValues" dxfId="7254" priority="1707"/>
    <cfRule type="duplicateValues" dxfId="7252" priority="1709"/>
    <cfRule type="duplicateValues" dxfId="7251" priority="1710"/>
    <cfRule type="duplicateValues" dxfId="7250" priority="1711"/>
    <cfRule type="duplicateValues" dxfId="7248" priority="1732"/>
    <cfRule type="duplicateValues" dxfId="7247" priority="1731"/>
    <cfRule type="duplicateValues" dxfId="7246" priority="1734"/>
  </conditionalFormatting>
  <conditionalFormatting sqref="F32:F33">
    <cfRule type="duplicateValues" dxfId="7244" priority="4585"/>
  </conditionalFormatting>
  <conditionalFormatting sqref="F34">
    <cfRule type="cellIs" dxfId="7243" priority="904" operator="equal">
      <formula>$O$15</formula>
    </cfRule>
    <cfRule type="cellIs" dxfId="7240" priority="900" operator="equal">
      <formula>$O$10</formula>
    </cfRule>
    <cfRule type="cellIs" dxfId="7239" priority="901" operator="equal">
      <formula>$O$18</formula>
    </cfRule>
    <cfRule type="cellIs" dxfId="7238" priority="902" operator="equal">
      <formula>$O$17</formula>
    </cfRule>
    <cfRule type="cellIs" dxfId="7237" priority="903" operator="equal">
      <formula>$O$16</formula>
    </cfRule>
    <cfRule type="cellIs" dxfId="7236" priority="905" operator="equal">
      <formula>$O$14</formula>
    </cfRule>
    <cfRule type="cellIs" dxfId="7235" priority="906" operator="equal">
      <formula>$O$13</formula>
    </cfRule>
    <cfRule type="cellIs" dxfId="7234" priority="907" operator="equal">
      <formula>$O$12</formula>
    </cfRule>
    <cfRule type="cellIs" dxfId="7233" priority="908" operator="equal">
      <formula>$O$11</formula>
    </cfRule>
  </conditionalFormatting>
  <conditionalFormatting sqref="F35">
    <cfRule type="duplicateValues" dxfId="7219" priority="434"/>
    <cfRule type="duplicateValues" dxfId="7217" priority="433"/>
    <cfRule type="duplicateValues" dxfId="7215" priority="443"/>
  </conditionalFormatting>
  <conditionalFormatting sqref="F35:F36">
    <cfRule type="cellIs" dxfId="7211" priority="401" operator="equal">
      <formula>$O$12</formula>
    </cfRule>
    <cfRule type="cellIs" dxfId="7210" priority="400" operator="equal">
      <formula>$O$13</formula>
    </cfRule>
    <cfRule type="cellIs" dxfId="7209" priority="399" operator="equal">
      <formula>$O$14</formula>
    </cfRule>
    <cfRule type="cellIs" dxfId="7208" priority="397" operator="equal">
      <formula>$O$16</formula>
    </cfRule>
    <cfRule type="cellIs" dxfId="7207" priority="396" operator="equal">
      <formula>$O$17</formula>
    </cfRule>
    <cfRule type="cellIs" dxfId="7206" priority="395" operator="equal">
      <formula>$O$18</formula>
    </cfRule>
    <cfRule type="cellIs" dxfId="7205" priority="394" operator="equal">
      <formula>$O$10</formula>
    </cfRule>
    <cfRule type="cellIs" dxfId="7204" priority="398" operator="equal">
      <formula>$O$15</formula>
    </cfRule>
    <cfRule type="cellIs" dxfId="7203" priority="422" operator="equal">
      <formula>$O$6</formula>
    </cfRule>
    <cfRule type="cellIs" dxfId="7202" priority="402" operator="equal">
      <formula>$O$11</formula>
    </cfRule>
    <cfRule type="cellIs" dxfId="7201" priority="423" operator="equal">
      <formula>$O$5</formula>
    </cfRule>
    <cfRule type="cellIs" dxfId="7200" priority="419" operator="equal">
      <formula>$O$9</formula>
    </cfRule>
    <cfRule type="cellIs" dxfId="7199" priority="420" operator="equal">
      <formula>$O$8</formula>
    </cfRule>
    <cfRule type="cellIs" dxfId="7198" priority="421" operator="equal">
      <formula>$O$7</formula>
    </cfRule>
  </conditionalFormatting>
  <conditionalFormatting sqref="F36">
    <cfRule type="duplicateValues" dxfId="7192" priority="403"/>
    <cfRule type="duplicateValues" dxfId="7189" priority="414"/>
  </conditionalFormatting>
  <conditionalFormatting sqref="F38 L38 H38 N38">
    <cfRule type="duplicateValues" dxfId="7185" priority="1253"/>
  </conditionalFormatting>
  <conditionalFormatting sqref="F38:F49">
    <cfRule type="duplicateValues" dxfId="7174" priority="1418"/>
    <cfRule type="duplicateValues" dxfId="7173" priority="1377"/>
    <cfRule type="duplicateValues" dxfId="7172" priority="1389"/>
  </conditionalFormatting>
  <conditionalFormatting sqref="F38:F50 F52:F53">
    <cfRule type="duplicateValues" dxfId="7171" priority="1117"/>
    <cfRule type="duplicateValues" dxfId="7170" priority="1257"/>
  </conditionalFormatting>
  <conditionalFormatting sqref="F38:F53">
    <cfRule type="containsText" dxfId="7169" priority="558" operator="containsText" text="(HEM)">
      <formula>NOT(ISERROR(SEARCH("(HEM)",F38)))</formula>
    </cfRule>
    <cfRule type="duplicateValues" dxfId="7168" priority="979"/>
    <cfRule type="containsText" dxfId="7167" priority="559" operator="containsText" text="(SV)">
      <formula>NOT(ISERROR(SEARCH("(SV)",F38)))</formula>
    </cfRule>
  </conditionalFormatting>
  <conditionalFormatting sqref="F49">
    <cfRule type="duplicateValues" dxfId="7162" priority="1340"/>
    <cfRule type="duplicateValues" dxfId="7161" priority="1332"/>
    <cfRule type="duplicateValues" dxfId="7160" priority="1343"/>
    <cfRule type="duplicateValues" dxfId="7159" priority="1341"/>
    <cfRule type="duplicateValues" dxfId="7158" priority="1350"/>
    <cfRule type="duplicateValues" dxfId="7157" priority="1348"/>
  </conditionalFormatting>
  <conditionalFormatting sqref="F50">
    <cfRule type="duplicateValues" dxfId="7152" priority="1216"/>
    <cfRule type="duplicateValues" dxfId="7151" priority="1218"/>
    <cfRule type="duplicateValues" dxfId="7150" priority="1200"/>
    <cfRule type="duplicateValues" dxfId="7149" priority="1208"/>
    <cfRule type="duplicateValues" dxfId="7148" priority="1209"/>
    <cfRule type="duplicateValues" dxfId="7147" priority="1211"/>
  </conditionalFormatting>
  <conditionalFormatting sqref="F51 H51 L51 N51">
    <cfRule type="cellIs" dxfId="7146" priority="1112" operator="equal">
      <formula>$O$14</formula>
    </cfRule>
    <cfRule type="cellIs" dxfId="7145" priority="1111" operator="equal">
      <formula>$O$15</formula>
    </cfRule>
    <cfRule type="cellIs" dxfId="7144" priority="1110" operator="equal">
      <formula>$O$16</formula>
    </cfRule>
  </conditionalFormatting>
  <conditionalFormatting sqref="F51 H51">
    <cfRule type="cellIs" dxfId="7143" priority="1115" operator="equal">
      <formula>$O$11</formula>
    </cfRule>
    <cfRule type="cellIs" dxfId="7138" priority="1113" operator="equal">
      <formula>$O$13</formula>
    </cfRule>
    <cfRule type="cellIs" dxfId="7137" priority="1114" operator="equal">
      <formula>$O$12</formula>
    </cfRule>
  </conditionalFormatting>
  <conditionalFormatting sqref="F51">
    <cfRule type="duplicateValues" dxfId="7136" priority="1100"/>
    <cfRule type="duplicateValues" dxfId="7135" priority="1055"/>
    <cfRule type="duplicateValues" dxfId="7134" priority="1071"/>
    <cfRule type="duplicateValues" dxfId="7133" priority="1073"/>
    <cfRule type="duplicateValues" dxfId="7132" priority="980"/>
    <cfRule type="duplicateValues" dxfId="7131" priority="1066"/>
    <cfRule type="duplicateValues" dxfId="7130" priority="1064"/>
    <cfRule type="duplicateValues" dxfId="7129" priority="1063"/>
  </conditionalFormatting>
  <conditionalFormatting sqref="F52">
    <cfRule type="duplicateValues" dxfId="7128" priority="561"/>
    <cfRule type="duplicateValues" dxfId="7127" priority="564"/>
  </conditionalFormatting>
  <conditionalFormatting sqref="F52:F53 H52:H53 L52:L53 N52:N53">
    <cfRule type="cellIs" dxfId="7126" priority="1412" operator="equal">
      <formula>$O$13</formula>
    </cfRule>
    <cfRule type="cellIs" dxfId="7125" priority="1414" operator="equal">
      <formula>$O$11</formula>
    </cfRule>
    <cfRule type="cellIs" dxfId="7124" priority="1413" operator="equal">
      <formula>$O$12</formula>
    </cfRule>
  </conditionalFormatting>
  <conditionalFormatting sqref="F52:F53">
    <cfRule type="cellIs" dxfId="7122" priority="566" operator="equal">
      <formula>$O$13</formula>
    </cfRule>
    <cfRule type="cellIs" dxfId="7121" priority="569" operator="equal">
      <formula>$O$10</formula>
    </cfRule>
    <cfRule type="cellIs" dxfId="7120" priority="574" operator="equal">
      <formula>$O$5</formula>
    </cfRule>
    <cfRule type="cellIs" dxfId="7119" priority="577" operator="equal">
      <formula>$O$17</formula>
    </cfRule>
    <cfRule type="duplicateValues" dxfId="7118" priority="578"/>
    <cfRule type="cellIs" dxfId="7111" priority="568" operator="equal">
      <formula>$O$11</formula>
    </cfRule>
    <cfRule type="duplicateValues" dxfId="7107" priority="562"/>
    <cfRule type="duplicateValues" dxfId="7106" priority="565"/>
    <cfRule type="cellIs" dxfId="7105" priority="576" operator="equal">
      <formula>$O$18</formula>
    </cfRule>
    <cfRule type="cellIs" dxfId="7104" priority="567" operator="equal">
      <formula>$O$12</formula>
    </cfRule>
    <cfRule type="cellIs" dxfId="7103" priority="570" operator="equal">
      <formula>$O$9</formula>
    </cfRule>
    <cfRule type="cellIs" dxfId="7102" priority="571" operator="equal">
      <formula>$O$8</formula>
    </cfRule>
    <cfRule type="cellIs" dxfId="7101" priority="572" operator="equal">
      <formula>$O$7</formula>
    </cfRule>
    <cfRule type="cellIs" dxfId="7100" priority="573" operator="equal">
      <formula>$O$6</formula>
    </cfRule>
  </conditionalFormatting>
  <conditionalFormatting sqref="F53">
    <cfRule type="duplicateValues" dxfId="7099" priority="560"/>
    <cfRule type="duplicateValues" dxfId="7098" priority="563"/>
  </conditionalFormatting>
  <conditionalFormatting sqref="F24:H24 K24:N24">
    <cfRule type="duplicateValues" dxfId="7097" priority="4387"/>
  </conditionalFormatting>
  <conditionalFormatting sqref="G18">
    <cfRule type="duplicateValues" dxfId="7096" priority="178"/>
  </conditionalFormatting>
  <conditionalFormatting sqref="G18:G19">
    <cfRule type="cellIs" dxfId="7095" priority="177" operator="equal">
      <formula>0</formula>
    </cfRule>
  </conditionalFormatting>
  <conditionalFormatting sqref="G19">
    <cfRule type="duplicateValues" dxfId="7094" priority="179"/>
  </conditionalFormatting>
  <conditionalFormatting sqref="G34">
    <cfRule type="duplicateValues" dxfId="7093" priority="19"/>
    <cfRule type="duplicateValues" dxfId="7092" priority="3700"/>
  </conditionalFormatting>
  <conditionalFormatting sqref="G35">
    <cfRule type="duplicateValues" dxfId="7091" priority="391"/>
  </conditionalFormatting>
  <conditionalFormatting sqref="G36">
    <cfRule type="duplicateValues" dxfId="7090" priority="390"/>
    <cfRule type="duplicateValues" dxfId="7089" priority="389"/>
    <cfRule type="duplicateValues" dxfId="7088" priority="388"/>
  </conditionalFormatting>
  <conditionalFormatting sqref="G38">
    <cfRule type="duplicateValues" dxfId="7087" priority="13"/>
    <cfRule type="duplicateValues" dxfId="7086" priority="1122"/>
  </conditionalFormatting>
  <conditionalFormatting sqref="G38:G42">
    <cfRule type="cellIs" dxfId="7085" priority="14" operator="equal">
      <formula>0</formula>
    </cfRule>
  </conditionalFormatting>
  <conditionalFormatting sqref="G52">
    <cfRule type="duplicateValues" dxfId="7084" priority="598"/>
    <cfRule type="duplicateValues" dxfId="7083" priority="600"/>
  </conditionalFormatting>
  <conditionalFormatting sqref="G53">
    <cfRule type="duplicateValues" dxfId="7082" priority="597"/>
    <cfRule type="duplicateValues" dxfId="7081" priority="599"/>
  </conditionalFormatting>
  <conditionalFormatting sqref="G75:G76 G79">
    <cfRule type="duplicateValues" dxfId="7080" priority="2524"/>
  </conditionalFormatting>
  <conditionalFormatting sqref="G77:G78">
    <cfRule type="duplicateValues" dxfId="7079" priority="1740"/>
  </conditionalFormatting>
  <conditionalFormatting sqref="G34:H34">
    <cfRule type="duplicateValues" dxfId="7078" priority="887"/>
  </conditionalFormatting>
  <conditionalFormatting sqref="H5 F5 L5 N5">
    <cfRule type="duplicateValues" dxfId="7077" priority="3002"/>
  </conditionalFormatting>
  <conditionalFormatting sqref="H5">
    <cfRule type="duplicateValues" dxfId="7076" priority="3019"/>
    <cfRule type="duplicateValues" dxfId="7075" priority="3020"/>
  </conditionalFormatting>
  <conditionalFormatting sqref="H5:H16">
    <cfRule type="duplicateValues" dxfId="7074" priority="3022"/>
    <cfRule type="duplicateValues" dxfId="7073" priority="3016"/>
    <cfRule type="duplicateValues" dxfId="7072" priority="3015"/>
    <cfRule type="duplicateValues" dxfId="7071" priority="2997"/>
  </conditionalFormatting>
  <conditionalFormatting sqref="H5:H17 H21:H36">
    <cfRule type="duplicateValues" dxfId="7070" priority="621"/>
  </conditionalFormatting>
  <conditionalFormatting sqref="H5:H17 L5:L17 N5:N17 F5:F16">
    <cfRule type="cellIs" dxfId="7069" priority="2979" operator="equal">
      <formula>$O$18</formula>
    </cfRule>
    <cfRule type="cellIs" dxfId="7068" priority="2980" operator="equal">
      <formula>$O$17</formula>
    </cfRule>
    <cfRule type="cellIs" dxfId="7067" priority="2981" operator="equal">
      <formula>$O$16</formula>
    </cfRule>
    <cfRule type="cellIs" dxfId="7066" priority="2982" operator="equal">
      <formula>$O$15</formula>
    </cfRule>
    <cfRule type="cellIs" dxfId="7065" priority="2984" operator="equal">
      <formula>$O$13</formula>
    </cfRule>
    <cfRule type="cellIs" dxfId="7064" priority="2991" operator="equal">
      <formula>$O$6</formula>
    </cfRule>
    <cfRule type="cellIs" dxfId="7063" priority="2985" operator="equal">
      <formula>$O$12</formula>
    </cfRule>
    <cfRule type="cellIs" dxfId="7062" priority="2986" operator="equal">
      <formula>$O$11</formula>
    </cfRule>
    <cfRule type="cellIs" dxfId="7061" priority="2987" operator="equal">
      <formula>$O$10</formula>
    </cfRule>
    <cfRule type="cellIs" dxfId="7060" priority="2988" operator="equal">
      <formula>$O$9</formula>
    </cfRule>
    <cfRule type="cellIs" dxfId="7059" priority="2989" operator="equal">
      <formula>$O$8</formula>
    </cfRule>
    <cfRule type="cellIs" dxfId="7058" priority="2990" operator="equal">
      <formula>$O$7</formula>
    </cfRule>
    <cfRule type="cellIs" dxfId="7057" priority="2992" operator="equal">
      <formula>$O$5</formula>
    </cfRule>
    <cfRule type="cellIs" dxfId="7056" priority="2983" operator="equal">
      <formula>$O$14</formula>
    </cfRule>
  </conditionalFormatting>
  <conditionalFormatting sqref="H5:H17">
    <cfRule type="duplicateValues" dxfId="7055" priority="2978"/>
  </conditionalFormatting>
  <conditionalFormatting sqref="H15">
    <cfRule type="duplicateValues" dxfId="7054" priority="3008"/>
    <cfRule type="duplicateValues" dxfId="7053" priority="3007"/>
  </conditionalFormatting>
  <conditionalFormatting sqref="H16">
    <cfRule type="duplicateValues" dxfId="7052" priority="2995"/>
    <cfRule type="duplicateValues" dxfId="7051" priority="2994"/>
  </conditionalFormatting>
  <conditionalFormatting sqref="H17">
    <cfRule type="duplicateValues" dxfId="7050" priority="2894"/>
    <cfRule type="cellIs" dxfId="7049" priority="2895" operator="equal">
      <formula>$O$18</formula>
    </cfRule>
    <cfRule type="cellIs" dxfId="7048" priority="2896" operator="equal">
      <formula>$O$10</formula>
    </cfRule>
    <cfRule type="cellIs" dxfId="7047" priority="2897" operator="equal">
      <formula>$O$17</formula>
    </cfRule>
    <cfRule type="cellIs" dxfId="7046" priority="2898" operator="equal">
      <formula>$O$16</formula>
    </cfRule>
    <cfRule type="cellIs" dxfId="7045" priority="2899" operator="equal">
      <formula>$O$15</formula>
    </cfRule>
    <cfRule type="cellIs" dxfId="7044" priority="2911" operator="equal">
      <formula>$O$5</formula>
    </cfRule>
    <cfRule type="cellIs" dxfId="7043" priority="2900" operator="equal">
      <formula>$O$14</formula>
    </cfRule>
    <cfRule type="cellIs" dxfId="7042" priority="2901" operator="equal">
      <formula>$O$13</formula>
    </cfRule>
    <cfRule type="cellIs" dxfId="7041" priority="2902" operator="equal">
      <formula>$O$12</formula>
    </cfRule>
    <cfRule type="cellIs" dxfId="7040" priority="2903" operator="equal">
      <formula>$O$11</formula>
    </cfRule>
    <cfRule type="cellIs" dxfId="7039" priority="2696" operator="equal">
      <formula>$O$9</formula>
    </cfRule>
    <cfRule type="cellIs" dxfId="7038" priority="2697" operator="equal">
      <formula>$O$8</formula>
    </cfRule>
    <cfRule type="cellIs" dxfId="7037" priority="2698" operator="equal">
      <formula>$O$7</formula>
    </cfRule>
    <cfRule type="cellIs" dxfId="7036" priority="2699" operator="equal">
      <formula>$O$6</formula>
    </cfRule>
    <cfRule type="cellIs" dxfId="7035" priority="2700" operator="equal">
      <formula>$O$5</formula>
    </cfRule>
    <cfRule type="duplicateValues" dxfId="7034" priority="2701"/>
    <cfRule type="duplicateValues" dxfId="7033" priority="2702"/>
    <cfRule type="cellIs" dxfId="7032" priority="2703" operator="equal">
      <formula>$O$18</formula>
    </cfRule>
    <cfRule type="cellIs" dxfId="7031" priority="2704" operator="equal">
      <formula>$O$10</formula>
    </cfRule>
    <cfRule type="cellIs" dxfId="7030" priority="2705" operator="equal">
      <formula>$O$17</formula>
    </cfRule>
    <cfRule type="cellIs" dxfId="7029" priority="2706" operator="equal">
      <formula>$O$16</formula>
    </cfRule>
    <cfRule type="duplicateValues" dxfId="7028" priority="2684"/>
    <cfRule type="cellIs" dxfId="7027" priority="2707" operator="equal">
      <formula>$O$15</formula>
    </cfRule>
    <cfRule type="cellIs" dxfId="7026" priority="2708" operator="equal">
      <formula>$O$14</formula>
    </cfRule>
    <cfRule type="cellIs" dxfId="7025" priority="2710" operator="equal">
      <formula>$O$12</formula>
    </cfRule>
    <cfRule type="cellIs" dxfId="7024" priority="2711" operator="equal">
      <formula>$O$11</formula>
    </cfRule>
    <cfRule type="cellIs" dxfId="7023" priority="2906" operator="equal">
      <formula>$O$9</formula>
    </cfRule>
    <cfRule type="cellIs" dxfId="7022" priority="2909" operator="equal">
      <formula>$O$7</formula>
    </cfRule>
    <cfRule type="cellIs" dxfId="7021" priority="2908" operator="equal">
      <formula>$O$8</formula>
    </cfRule>
    <cfRule type="cellIs" dxfId="7020" priority="2714" operator="equal">
      <formula>$O$9</formula>
    </cfRule>
    <cfRule type="cellIs" dxfId="7019" priority="2716" operator="equal">
      <formula>$O$8</formula>
    </cfRule>
    <cfRule type="cellIs" dxfId="7018" priority="2717" operator="equal">
      <formula>$O$7</formula>
    </cfRule>
    <cfRule type="cellIs" dxfId="7017" priority="2718" operator="equal">
      <formula>$O$6</formula>
    </cfRule>
    <cfRule type="cellIs" dxfId="7016" priority="2719" operator="equal">
      <formula>$O$5</formula>
    </cfRule>
    <cfRule type="duplicateValues" dxfId="7015" priority="2848"/>
    <cfRule type="duplicateValues" dxfId="7014" priority="2850"/>
    <cfRule type="cellIs" dxfId="7013" priority="2851" operator="equal">
      <formula>$O$13</formula>
    </cfRule>
    <cfRule type="cellIs" dxfId="7012" priority="2852" operator="equal">
      <formula>$O$12</formula>
    </cfRule>
    <cfRule type="cellIs" dxfId="7011" priority="2853" operator="equal">
      <formula>$O$11</formula>
    </cfRule>
    <cfRule type="duplicateValues" dxfId="7010" priority="2656"/>
    <cfRule type="duplicateValues" dxfId="7009" priority="2658"/>
    <cfRule type="cellIs" dxfId="7008" priority="2659" operator="equal">
      <formula>$O$13</formula>
    </cfRule>
    <cfRule type="cellIs" dxfId="7007" priority="2660" operator="equal">
      <formula>$O$12</formula>
    </cfRule>
    <cfRule type="cellIs" dxfId="7006" priority="2661" operator="equal">
      <formula>$O$11</formula>
    </cfRule>
    <cfRule type="cellIs" dxfId="7005" priority="2662" operator="equal">
      <formula>$O$10</formula>
    </cfRule>
    <cfRule type="cellIs" dxfId="7004" priority="2663" operator="equal">
      <formula>$O$9</formula>
    </cfRule>
    <cfRule type="cellIs" dxfId="7003" priority="2664" operator="equal">
      <formula>$O$8</formula>
    </cfRule>
    <cfRule type="cellIs" dxfId="7002" priority="2665" operator="equal">
      <formula>$O$7</formula>
    </cfRule>
    <cfRule type="cellIs" dxfId="7001" priority="2666" operator="equal">
      <formula>$O$6</formula>
    </cfRule>
    <cfRule type="cellIs" dxfId="7000" priority="2667" operator="equal">
      <formula>$O$5</formula>
    </cfRule>
    <cfRule type="cellIs" dxfId="6999" priority="2669" operator="equal">
      <formula>$O$18</formula>
    </cfRule>
    <cfRule type="cellIs" dxfId="6998" priority="2670" operator="equal">
      <formula>$O$17</formula>
    </cfRule>
    <cfRule type="cellIs" dxfId="6997" priority="2671" operator="equal">
      <formula>$O$16</formula>
    </cfRule>
    <cfRule type="cellIs" dxfId="6996" priority="2672" operator="equal">
      <formula>$O$15</formula>
    </cfRule>
    <cfRule type="cellIs" dxfId="6995" priority="2673" operator="equal">
      <formula>$O$14</formula>
    </cfRule>
    <cfRule type="duplicateValues" dxfId="6994" priority="2683"/>
    <cfRule type="cellIs" dxfId="6993" priority="2685" operator="equal">
      <formula>$O$18</formula>
    </cfRule>
    <cfRule type="cellIs" dxfId="6992" priority="2686" operator="equal">
      <formula>$O$17</formula>
    </cfRule>
    <cfRule type="cellIs" dxfId="6991" priority="2687" operator="equal">
      <formula>$O$16</formula>
    </cfRule>
    <cfRule type="cellIs" dxfId="6990" priority="2688" operator="equal">
      <formula>$O$15</formula>
    </cfRule>
    <cfRule type="cellIs" dxfId="6989" priority="2689" operator="equal">
      <formula>$O$14</formula>
    </cfRule>
    <cfRule type="cellIs" dxfId="6988" priority="2691" operator="equal">
      <formula>$O$13</formula>
    </cfRule>
    <cfRule type="cellIs" dxfId="6987" priority="2692" operator="equal">
      <formula>$O$12</formula>
    </cfRule>
    <cfRule type="cellIs" dxfId="6986" priority="2709" operator="equal">
      <formula>$O$13</formula>
    </cfRule>
    <cfRule type="cellIs" dxfId="6985" priority="2693" operator="equal">
      <formula>$O$11</formula>
    </cfRule>
    <cfRule type="cellIs" dxfId="6984" priority="2854" operator="equal">
      <formula>$O$10</formula>
    </cfRule>
    <cfRule type="cellIs" dxfId="6983" priority="2855" operator="equal">
      <formula>$O$9</formula>
    </cfRule>
    <cfRule type="cellIs" dxfId="6982" priority="2856" operator="equal">
      <formula>$O$8</formula>
    </cfRule>
    <cfRule type="cellIs" dxfId="6981" priority="2857" operator="equal">
      <formula>$O$7</formula>
    </cfRule>
    <cfRule type="cellIs" dxfId="6980" priority="2858" operator="equal">
      <formula>$O$6</formula>
    </cfRule>
    <cfRule type="cellIs" dxfId="6979" priority="2910" operator="equal">
      <formula>$O$6</formula>
    </cfRule>
    <cfRule type="cellIs" dxfId="6978" priority="2859" operator="equal">
      <formula>$O$5</formula>
    </cfRule>
    <cfRule type="cellIs" dxfId="6977" priority="2861" operator="equal">
      <formula>$O$18</formula>
    </cfRule>
    <cfRule type="cellIs" dxfId="6976" priority="2862" operator="equal">
      <formula>$O$17</formula>
    </cfRule>
    <cfRule type="cellIs" dxfId="6975" priority="2863" operator="equal">
      <formula>$O$16</formula>
    </cfRule>
    <cfRule type="cellIs" dxfId="6974" priority="2864" operator="equal">
      <formula>$O$15</formula>
    </cfRule>
    <cfRule type="cellIs" dxfId="6973" priority="2865" operator="equal">
      <formula>$O$14</formula>
    </cfRule>
    <cfRule type="duplicateValues" dxfId="6972" priority="2875"/>
    <cfRule type="duplicateValues" dxfId="6971" priority="2876"/>
    <cfRule type="cellIs" dxfId="6970" priority="2877" operator="equal">
      <formula>$O$18</formula>
    </cfRule>
    <cfRule type="cellIs" dxfId="6969" priority="2878" operator="equal">
      <formula>$O$17</formula>
    </cfRule>
    <cfRule type="cellIs" dxfId="6968" priority="2879" operator="equal">
      <formula>$O$16</formula>
    </cfRule>
    <cfRule type="cellIs" dxfId="6967" priority="2695" operator="equal">
      <formula>$O$10</formula>
    </cfRule>
    <cfRule type="cellIs" dxfId="6966" priority="2880" operator="equal">
      <formula>$O$15</formula>
    </cfRule>
    <cfRule type="cellIs" dxfId="6965" priority="2881" operator="equal">
      <formula>$O$14</formula>
    </cfRule>
    <cfRule type="cellIs" dxfId="6964" priority="2883" operator="equal">
      <formula>$O$13</formula>
    </cfRule>
    <cfRule type="cellIs" dxfId="6963" priority="2884" operator="equal">
      <formula>$O$12</formula>
    </cfRule>
    <cfRule type="cellIs" dxfId="6962" priority="2885" operator="equal">
      <formula>$O$11</formula>
    </cfRule>
    <cfRule type="cellIs" dxfId="6961" priority="2887" operator="equal">
      <formula>$O$10</formula>
    </cfRule>
    <cfRule type="cellIs" dxfId="6960" priority="2888" operator="equal">
      <formula>$O$9</formula>
    </cfRule>
    <cfRule type="cellIs" dxfId="6959" priority="2889" operator="equal">
      <formula>$O$8</formula>
    </cfRule>
    <cfRule type="cellIs" dxfId="6958" priority="2890" operator="equal">
      <formula>$O$7</formula>
    </cfRule>
    <cfRule type="cellIs" dxfId="6957" priority="2891" operator="equal">
      <formula>$O$6</formula>
    </cfRule>
    <cfRule type="cellIs" dxfId="6956" priority="2892" operator="equal">
      <formula>$O$5</formula>
    </cfRule>
    <cfRule type="duplicateValues" dxfId="6955" priority="2893"/>
  </conditionalFormatting>
  <conditionalFormatting sqref="H17:H19">
    <cfRule type="cellIs" dxfId="6954" priority="162" operator="equal">
      <formula>0</formula>
    </cfRule>
  </conditionalFormatting>
  <conditionalFormatting sqref="H18">
    <cfRule type="duplicateValues" dxfId="6953" priority="165"/>
  </conditionalFormatting>
  <conditionalFormatting sqref="H18:H19">
    <cfRule type="cellIs" dxfId="6952" priority="160" operator="equal">
      <formula>$O$6</formula>
    </cfRule>
    <cfRule type="cellIs" dxfId="6951" priority="159" operator="equal">
      <formula>$O$7</formula>
    </cfRule>
    <cfRule type="cellIs" dxfId="6950" priority="158" operator="equal">
      <formula>$O$8</formula>
    </cfRule>
    <cfRule type="cellIs" dxfId="6949" priority="157" operator="equal">
      <formula>$O$9</formula>
    </cfRule>
    <cfRule type="duplicateValues" dxfId="6948" priority="164"/>
    <cfRule type="duplicateValues" dxfId="6947" priority="163"/>
    <cfRule type="cellIs" dxfId="6946" priority="156" operator="equal">
      <formula>$O$10</formula>
    </cfRule>
    <cfRule type="cellIs" dxfId="6945" priority="155" operator="equal">
      <formula>$O$11</formula>
    </cfRule>
    <cfRule type="cellIs" dxfId="6944" priority="154" operator="equal">
      <formula>$O$12</formula>
    </cfRule>
    <cfRule type="cellIs" dxfId="6943" priority="153" operator="equal">
      <formula>$O$13</formula>
    </cfRule>
    <cfRule type="cellIs" dxfId="6942" priority="152" operator="equal">
      <formula>$O$14</formula>
    </cfRule>
    <cfRule type="cellIs" dxfId="6941" priority="161" operator="equal">
      <formula>$O$5</formula>
    </cfRule>
    <cfRule type="cellIs" dxfId="6940" priority="151" operator="equal">
      <formula>$O$15</formula>
    </cfRule>
    <cfRule type="cellIs" dxfId="6938" priority="150" operator="equal">
      <formula>$O$16</formula>
    </cfRule>
    <cfRule type="cellIs" dxfId="6937" priority="149" operator="equal">
      <formula>$O$17</formula>
    </cfRule>
    <cfRule type="duplicateValues" dxfId="6936" priority="147"/>
    <cfRule type="duplicateValues" dxfId="6935" priority="180"/>
    <cfRule type="cellIs" dxfId="6925" priority="148" operator="equal">
      <formula>$O$18</formula>
    </cfRule>
  </conditionalFormatting>
  <conditionalFormatting sqref="H19">
    <cfRule type="duplicateValues" dxfId="6924" priority="166"/>
  </conditionalFormatting>
  <conditionalFormatting sqref="H21 H24:H31">
    <cfRule type="duplicateValues" dxfId="6923" priority="4473"/>
  </conditionalFormatting>
  <conditionalFormatting sqref="H21">
    <cfRule type="duplicateValues" dxfId="6922" priority="4445"/>
  </conditionalFormatting>
  <conditionalFormatting sqref="H21:H31">
    <cfRule type="duplicateValues" dxfId="6921" priority="4942"/>
  </conditionalFormatting>
  <conditionalFormatting sqref="H21:H33">
    <cfRule type="duplicateValues" dxfId="6912" priority="4151"/>
    <cfRule type="duplicateValues" dxfId="6910" priority="4297"/>
  </conditionalFormatting>
  <conditionalFormatting sqref="H21:H36">
    <cfRule type="duplicateValues" dxfId="6909" priority="5259"/>
    <cfRule type="duplicateValues" dxfId="6908" priority="3615"/>
  </conditionalFormatting>
  <conditionalFormatting sqref="H22:H23">
    <cfRule type="duplicateValues" dxfId="6907" priority="4474"/>
    <cfRule type="duplicateValues" dxfId="6906" priority="4469"/>
    <cfRule type="duplicateValues" dxfId="6905" priority="4468"/>
  </conditionalFormatting>
  <conditionalFormatting sqref="H23">
    <cfRule type="duplicateValues" dxfId="6904" priority="1726"/>
    <cfRule type="duplicateValues" dxfId="6903" priority="1721"/>
    <cfRule type="duplicateValues" dxfId="6901" priority="1727"/>
    <cfRule type="duplicateValues" dxfId="6900" priority="1725"/>
    <cfRule type="duplicateValues" dxfId="6899" priority="1722"/>
    <cfRule type="duplicateValues" dxfId="6898" priority="1724"/>
  </conditionalFormatting>
  <conditionalFormatting sqref="H27">
    <cfRule type="duplicateValues" dxfId="6897" priority="1749"/>
    <cfRule type="duplicateValues" dxfId="6896" priority="1750"/>
    <cfRule type="duplicateValues" dxfId="6894" priority="1747"/>
  </conditionalFormatting>
  <conditionalFormatting sqref="H32">
    <cfRule type="duplicateValues" dxfId="6893" priority="1759"/>
    <cfRule type="duplicateValues" dxfId="6892" priority="1757"/>
    <cfRule type="duplicateValues" dxfId="6891" priority="1760"/>
  </conditionalFormatting>
  <conditionalFormatting sqref="H32:H33">
    <cfRule type="duplicateValues" dxfId="6889" priority="4584"/>
  </conditionalFormatting>
  <conditionalFormatting sqref="H34">
    <cfRule type="cellIs" dxfId="6888" priority="874" operator="equal">
      <formula>$O$7</formula>
    </cfRule>
    <cfRule type="cellIs" dxfId="6887" priority="875" operator="equal">
      <formula>$O$6</formula>
    </cfRule>
    <cfRule type="cellIs" dxfId="6886" priority="876" operator="equal">
      <formula>$O$5</formula>
    </cfRule>
    <cfRule type="cellIs" dxfId="6885" priority="878" operator="equal">
      <formula>$O$18</formula>
    </cfRule>
    <cfRule type="cellIs" dxfId="6884" priority="879" operator="equal">
      <formula>$O$17</formula>
    </cfRule>
    <cfRule type="cellIs" dxfId="6883" priority="880" operator="equal">
      <formula>$O$16</formula>
    </cfRule>
    <cfRule type="cellIs" dxfId="6882" priority="881" operator="equal">
      <formula>$O$15</formula>
    </cfRule>
    <cfRule type="cellIs" dxfId="6881" priority="882" operator="equal">
      <formula>$O$14</formula>
    </cfRule>
    <cfRule type="cellIs" dxfId="6870" priority="3638" operator="equal">
      <formula>$O$13</formula>
    </cfRule>
    <cfRule type="cellIs" dxfId="6869" priority="3639" operator="equal">
      <formula>$O$12</formula>
    </cfRule>
    <cfRule type="cellIs" dxfId="6868" priority="3640" operator="equal">
      <formula>$O$11</formula>
    </cfRule>
    <cfRule type="cellIs" dxfId="6867" priority="3641" operator="equal">
      <formula>$O$10</formula>
    </cfRule>
    <cfRule type="cellIs" dxfId="6866" priority="3642" operator="equal">
      <formula>$O$9</formula>
    </cfRule>
    <cfRule type="cellIs" dxfId="6865" priority="3643" operator="equal">
      <formula>$O$8</formula>
    </cfRule>
    <cfRule type="cellIs" dxfId="6864" priority="3644" operator="equal">
      <formula>$O$7</formula>
    </cfRule>
    <cfRule type="cellIs" dxfId="6863" priority="3645" operator="equal">
      <formula>$O$6</formula>
    </cfRule>
    <cfRule type="cellIs" dxfId="6862" priority="3646" operator="equal">
      <formula>$O$5</formula>
    </cfRule>
    <cfRule type="duplicateValues" dxfId="6861" priority="3647"/>
    <cfRule type="cellIs" dxfId="6860" priority="3668" operator="equal">
      <formula>$O$13</formula>
    </cfRule>
    <cfRule type="cellIs" dxfId="6859" priority="3669" operator="equal">
      <formula>$O$12</formula>
    </cfRule>
    <cfRule type="cellIs" dxfId="6858" priority="3670" operator="equal">
      <formula>$O$11</formula>
    </cfRule>
    <cfRule type="cellIs" dxfId="6857" priority="3671" operator="equal">
      <formula>$O$10</formula>
    </cfRule>
    <cfRule type="cellIs" dxfId="6856" priority="3672" operator="equal">
      <formula>$O$9</formula>
    </cfRule>
    <cfRule type="cellIs" dxfId="6855" priority="3673" operator="equal">
      <formula>$O$8</formula>
    </cfRule>
    <cfRule type="cellIs" dxfId="6854" priority="3674" operator="equal">
      <formula>$O$7</formula>
    </cfRule>
    <cfRule type="cellIs" dxfId="6853" priority="3675" operator="equal">
      <formula>$O$6</formula>
    </cfRule>
    <cfRule type="cellIs" dxfId="6852" priority="3676" operator="equal">
      <formula>$O$5</formula>
    </cfRule>
    <cfRule type="duplicateValues" dxfId="6851" priority="3677"/>
    <cfRule type="cellIs" dxfId="6850" priority="3701" operator="equal">
      <formula>$O$13</formula>
    </cfRule>
    <cfRule type="cellIs" dxfId="6849" priority="3702" operator="equal">
      <formula>$O$12</formula>
    </cfRule>
    <cfRule type="cellIs" dxfId="6848" priority="3703" operator="equal">
      <formula>$O$11</formula>
    </cfRule>
    <cfRule type="cellIs" dxfId="6847" priority="3704" operator="equal">
      <formula>$O$10</formula>
    </cfRule>
    <cfRule type="cellIs" dxfId="6846" priority="3705" operator="equal">
      <formula>$O$9</formula>
    </cfRule>
    <cfRule type="cellIs" dxfId="6845" priority="3706" operator="equal">
      <formula>$O$8</formula>
    </cfRule>
    <cfRule type="cellIs" dxfId="6844" priority="3707" operator="equal">
      <formula>$O$7</formula>
    </cfRule>
    <cfRule type="cellIs" dxfId="6843" priority="3708" operator="equal">
      <formula>$O$6</formula>
    </cfRule>
    <cfRule type="cellIs" dxfId="6842" priority="3709" operator="equal">
      <formula>$O$5</formula>
    </cfRule>
    <cfRule type="duplicateValues" dxfId="6841" priority="3710"/>
    <cfRule type="duplicateValues" dxfId="6840" priority="867"/>
    <cfRule type="cellIs" dxfId="6839" priority="868" operator="equal">
      <formula>$O$13</formula>
    </cfRule>
    <cfRule type="cellIs" dxfId="6838" priority="869" operator="equal">
      <formula>$O$12</formula>
    </cfRule>
    <cfRule type="cellIs" dxfId="6837" priority="870" operator="equal">
      <formula>$O$11</formula>
    </cfRule>
    <cfRule type="cellIs" dxfId="6836" priority="871" operator="equal">
      <formula>$O$10</formula>
    </cfRule>
    <cfRule type="cellIs" dxfId="6835" priority="872" operator="equal">
      <formula>$O$9</formula>
    </cfRule>
    <cfRule type="cellIs" dxfId="6834" priority="873" operator="equal">
      <formula>$O$8</formula>
    </cfRule>
  </conditionalFormatting>
  <conditionalFormatting sqref="H35">
    <cfRule type="duplicateValues" dxfId="6826" priority="376"/>
    <cfRule type="duplicateValues" dxfId="6823" priority="385"/>
    <cfRule type="duplicateValues" dxfId="6821" priority="375"/>
  </conditionalFormatting>
  <conditionalFormatting sqref="H35:H36">
    <cfRule type="cellIs" dxfId="6820" priority="342" operator="equal">
      <formula>$O$13</formula>
    </cfRule>
    <cfRule type="cellIs" dxfId="6819" priority="362" operator="equal">
      <formula>$O$8</formula>
    </cfRule>
    <cfRule type="cellIs" dxfId="6818" priority="363" operator="equal">
      <formula>$O$7</formula>
    </cfRule>
    <cfRule type="cellIs" dxfId="6817" priority="341" operator="equal">
      <formula>$O$14</formula>
    </cfRule>
    <cfRule type="cellIs" dxfId="6816" priority="364" operator="equal">
      <formula>$O$6</formula>
    </cfRule>
    <cfRule type="cellIs" dxfId="6815" priority="365" operator="equal">
      <formula>$O$5</formula>
    </cfRule>
    <cfRule type="cellIs" dxfId="6814" priority="339" operator="equal">
      <formula>$O$16</formula>
    </cfRule>
    <cfRule type="cellIs" dxfId="6813" priority="338" operator="equal">
      <formula>$O$17</formula>
    </cfRule>
    <cfRule type="cellIs" dxfId="6812" priority="336" operator="equal">
      <formula>$O$10</formula>
    </cfRule>
    <cfRule type="cellIs" dxfId="6811" priority="361" operator="equal">
      <formula>$O$9</formula>
    </cfRule>
    <cfRule type="cellIs" dxfId="6810" priority="340" operator="equal">
      <formula>$O$15</formula>
    </cfRule>
    <cfRule type="cellIs" dxfId="6809" priority="337" operator="equal">
      <formula>$O$18</formula>
    </cfRule>
    <cfRule type="duplicateValues" dxfId="6808" priority="393"/>
    <cfRule type="duplicateValues" dxfId="6807" priority="392"/>
    <cfRule type="cellIs" dxfId="6806" priority="343" operator="equal">
      <formula>$O$12</formula>
    </cfRule>
    <cfRule type="cellIs" dxfId="6805" priority="344" operator="equal">
      <formula>$O$11</formula>
    </cfRule>
  </conditionalFormatting>
  <conditionalFormatting sqref="H36">
    <cfRule type="duplicateValues" dxfId="6795" priority="356"/>
    <cfRule type="duplicateValues" dxfId="6793" priority="345"/>
  </conditionalFormatting>
  <conditionalFormatting sqref="H38:H49 L38:L49 N38:N49 F38:F49">
    <cfRule type="cellIs" dxfId="6792" priority="1408" operator="equal">
      <formula>$O$17</formula>
    </cfRule>
    <cfRule type="cellIs" dxfId="6791" priority="1407" operator="equal">
      <formula>$O$18</formula>
    </cfRule>
  </conditionalFormatting>
  <conditionalFormatting sqref="H38:H49 L38:L50 N38:N50 F38:F49">
    <cfRule type="cellIs" dxfId="6790" priority="1404" operator="equal">
      <formula>$O$6</formula>
    </cfRule>
    <cfRule type="cellIs" dxfId="6789" priority="1402" operator="equal">
      <formula>$O$8</formula>
    </cfRule>
    <cfRule type="cellIs" dxfId="6788" priority="1401" operator="equal">
      <formula>$O$9</formula>
    </cfRule>
    <cfRule type="cellIs" dxfId="6787" priority="1400" operator="equal">
      <formula>$O$10</formula>
    </cfRule>
    <cfRule type="cellIs" dxfId="6786" priority="1405" operator="equal">
      <formula>$O$5</formula>
    </cfRule>
    <cfRule type="cellIs" dxfId="6785" priority="1403" operator="equal">
      <formula>$O$7</formula>
    </cfRule>
  </conditionalFormatting>
  <conditionalFormatting sqref="H38:H49">
    <cfRule type="duplicateValues" dxfId="6784" priority="1392"/>
    <cfRule type="duplicateValues" dxfId="6783" priority="1417"/>
  </conditionalFormatting>
  <conditionalFormatting sqref="H38:H50 H52:H53">
    <cfRule type="duplicateValues" dxfId="6782" priority="1256"/>
  </conditionalFormatting>
  <conditionalFormatting sqref="H38:H50 L38:L50 N38:N50 F38:F50 F52:F53 H52:H53 L52:L53 N52:N53">
    <cfRule type="cellIs" dxfId="6781" priority="1411" operator="equal">
      <formula>$O$14</formula>
    </cfRule>
    <cfRule type="cellIs" dxfId="6780" priority="1409" operator="equal">
      <formula>$O$16</formula>
    </cfRule>
    <cfRule type="cellIs" dxfId="6779" priority="1410" operator="equal">
      <formula>$O$15</formula>
    </cfRule>
  </conditionalFormatting>
  <conditionalFormatting sqref="H38:H50 L38:L50 N38:N50 F38:F50">
    <cfRule type="cellIs" dxfId="6778" priority="1398" operator="equal">
      <formula>$O$12</formula>
    </cfRule>
    <cfRule type="cellIs" dxfId="6777" priority="1399" operator="equal">
      <formula>$O$11</formula>
    </cfRule>
    <cfRule type="cellIs" dxfId="6776" priority="1397" operator="equal">
      <formula>$O$13</formula>
    </cfRule>
  </conditionalFormatting>
  <conditionalFormatting sqref="H38:H53">
    <cfRule type="duplicateValues" dxfId="6775" priority="978"/>
  </conditionalFormatting>
  <conditionalFormatting sqref="H41">
    <cfRule type="duplicateValues" dxfId="6774" priority="931"/>
    <cfRule type="duplicateValues" dxfId="6773" priority="929"/>
    <cfRule type="duplicateValues" dxfId="6772" priority="930"/>
    <cfRule type="duplicateValues" dxfId="6771" priority="928"/>
    <cfRule type="duplicateValues" dxfId="6770" priority="926"/>
    <cfRule type="containsText" dxfId="6769" priority="924" operator="containsText" text="(HEM)">
      <formula>NOT(ISERROR(SEARCH("(HEM)",H41)))</formula>
    </cfRule>
    <cfRule type="containsText" dxfId="6768" priority="925" operator="containsText" text="(SV)">
      <formula>NOT(ISERROR(SEARCH("(SV)",H41)))</formula>
    </cfRule>
    <cfRule type="duplicateValues" dxfId="6767" priority="923"/>
    <cfRule type="duplicateValues" dxfId="6766" priority="927"/>
  </conditionalFormatting>
  <conditionalFormatting sqref="H49 F49">
    <cfRule type="cellIs" dxfId="6765" priority="1368" operator="equal">
      <formula>$O$6</formula>
    </cfRule>
    <cfRule type="cellIs" dxfId="6759" priority="1360" operator="equal">
      <formula>$O$17</formula>
    </cfRule>
    <cfRule type="cellIs" dxfId="6758" priority="1369" operator="equal">
      <formula>$O$5</formula>
    </cfRule>
    <cfRule type="cellIs" dxfId="6757" priority="1352" operator="equal">
      <formula>$O$16</formula>
    </cfRule>
    <cfRule type="cellIs" dxfId="6756" priority="1353" operator="equal">
      <formula>$O$15</formula>
    </cfRule>
    <cfRule type="cellIs" dxfId="6755" priority="1355" operator="equal">
      <formula>$O$13</formula>
    </cfRule>
    <cfRule type="cellIs" dxfId="6754" priority="1356" operator="equal">
      <formula>$O$12</formula>
    </cfRule>
    <cfRule type="cellIs" dxfId="6753" priority="1357" operator="equal">
      <formula>$O$11</formula>
    </cfRule>
    <cfRule type="cellIs" dxfId="6752" priority="1358" operator="equal">
      <formula>$O$10</formula>
    </cfRule>
    <cfRule type="cellIs" dxfId="6751" priority="1359" operator="equal">
      <formula>$O$18</formula>
    </cfRule>
    <cfRule type="cellIs" dxfId="6750" priority="1365" operator="equal">
      <formula>$O$9</formula>
    </cfRule>
    <cfRule type="cellIs" dxfId="6749" priority="1366" operator="equal">
      <formula>$O$8</formula>
    </cfRule>
    <cfRule type="cellIs" dxfId="6748" priority="1367" operator="equal">
      <formula>$O$7</formula>
    </cfRule>
    <cfRule type="cellIs" dxfId="6746" priority="1354" operator="equal">
      <formula>$O$14</formula>
    </cfRule>
  </conditionalFormatting>
  <conditionalFormatting sqref="H49">
    <cfRule type="duplicateValues" dxfId="6745" priority="1334"/>
    <cfRule type="duplicateValues" dxfId="6744" priority="1337"/>
    <cfRule type="duplicateValues" dxfId="6743" priority="1338"/>
    <cfRule type="duplicateValues" dxfId="6742" priority="1339"/>
    <cfRule type="duplicateValues" dxfId="6741" priority="1351"/>
    <cfRule type="duplicateValues" dxfId="6740" priority="1333"/>
    <cfRule type="duplicateValues" dxfId="6739" priority="1331"/>
  </conditionalFormatting>
  <conditionalFormatting sqref="H50 F50">
    <cfRule type="cellIs" dxfId="6738" priority="1237" operator="equal">
      <formula>$O$5</formula>
    </cfRule>
    <cfRule type="cellIs" dxfId="6737" priority="1226" operator="equal">
      <formula>$O$10</formula>
    </cfRule>
    <cfRule type="cellIs" dxfId="6735" priority="1233" operator="equal">
      <formula>$O$9</formula>
    </cfRule>
    <cfRule type="cellIs" dxfId="6734" priority="1220" operator="equal">
      <formula>$O$16</formula>
    </cfRule>
    <cfRule type="cellIs" dxfId="6733" priority="1221" operator="equal">
      <formula>$O$15</formula>
    </cfRule>
    <cfRule type="cellIs" dxfId="6732" priority="1222" operator="equal">
      <formula>$O$14</formula>
    </cfRule>
    <cfRule type="cellIs" dxfId="6731" priority="1223" operator="equal">
      <formula>$O$13</formula>
    </cfRule>
    <cfRule type="cellIs" dxfId="6730" priority="1224" operator="equal">
      <formula>$O$12</formula>
    </cfRule>
    <cfRule type="cellIs" dxfId="6729" priority="1225" operator="equal">
      <formula>$O$11</formula>
    </cfRule>
    <cfRule type="cellIs" dxfId="6728" priority="1227" operator="equal">
      <formula>$O$18</formula>
    </cfRule>
    <cfRule type="cellIs" dxfId="6727" priority="1228" operator="equal">
      <formula>$O$17</formula>
    </cfRule>
    <cfRule type="cellIs" dxfId="6726" priority="1234" operator="equal">
      <formula>$O$8</formula>
    </cfRule>
    <cfRule type="cellIs" dxfId="6725" priority="1235" operator="equal">
      <formula>$O$7</formula>
    </cfRule>
    <cfRule type="cellIs" dxfId="6724" priority="1236" operator="equal">
      <formula>$O$6</formula>
    </cfRule>
  </conditionalFormatting>
  <conditionalFormatting sqref="H50">
    <cfRule type="duplicateValues" dxfId="6718" priority="1206"/>
    <cfRule type="duplicateValues" dxfId="6717" priority="1199"/>
    <cfRule type="duplicateValues" dxfId="6716" priority="1219"/>
    <cfRule type="duplicateValues" dxfId="6715" priority="1201"/>
    <cfRule type="duplicateValues" dxfId="6714" priority="1202"/>
    <cfRule type="duplicateValues" dxfId="6713" priority="1207"/>
    <cfRule type="duplicateValues" dxfId="6712" priority="1205"/>
  </conditionalFormatting>
  <conditionalFormatting sqref="H51 F51">
    <cfRule type="cellIs" dxfId="6711" priority="1088" operator="equal">
      <formula>$O$9</formula>
    </cfRule>
    <cfRule type="cellIs" dxfId="6710" priority="1083" operator="equal">
      <formula>$O$17</formula>
    </cfRule>
    <cfRule type="cellIs" dxfId="6709" priority="1082" operator="equal">
      <formula>$O$18</formula>
    </cfRule>
    <cfRule type="cellIs" dxfId="6708" priority="1081" operator="equal">
      <formula>$O$10</formula>
    </cfRule>
    <cfRule type="cellIs" dxfId="6707" priority="1080" operator="equal">
      <formula>$O$11</formula>
    </cfRule>
    <cfRule type="cellIs" dxfId="6706" priority="1079" operator="equal">
      <formula>$O$12</formula>
    </cfRule>
    <cfRule type="cellIs" dxfId="6701" priority="1092" operator="equal">
      <formula>$O$5</formula>
    </cfRule>
    <cfRule type="cellIs" dxfId="6699" priority="1077" operator="equal">
      <formula>$O$14</formula>
    </cfRule>
    <cfRule type="cellIs" dxfId="6698" priority="1091" operator="equal">
      <formula>$O$6</formula>
    </cfRule>
    <cfRule type="cellIs" dxfId="6697" priority="1090" operator="equal">
      <formula>$O$7</formula>
    </cfRule>
    <cfRule type="cellIs" dxfId="6696" priority="1075" operator="equal">
      <formula>$O$16</formula>
    </cfRule>
    <cfRule type="cellIs" dxfId="6694" priority="1089" operator="equal">
      <formula>$O$8</formula>
    </cfRule>
    <cfRule type="cellIs" dxfId="6693" priority="1076" operator="equal">
      <formula>$O$15</formula>
    </cfRule>
    <cfRule type="cellIs" dxfId="6692" priority="1078" operator="equal">
      <formula>$O$13</formula>
    </cfRule>
  </conditionalFormatting>
  <conditionalFormatting sqref="H51">
    <cfRule type="duplicateValues" dxfId="6691" priority="1061"/>
    <cfRule type="duplicateValues" dxfId="6690" priority="1062"/>
    <cfRule type="duplicateValues" dxfId="6689" priority="1074"/>
    <cfRule type="duplicateValues" dxfId="6688" priority="1099"/>
    <cfRule type="duplicateValues" dxfId="6687" priority="1056"/>
    <cfRule type="duplicateValues" dxfId="6686" priority="1054"/>
    <cfRule type="duplicateValues" dxfId="6685" priority="1057"/>
    <cfRule type="duplicateValues" dxfId="6684" priority="1060"/>
  </conditionalFormatting>
  <conditionalFormatting sqref="H52">
    <cfRule type="duplicateValues" dxfId="6683" priority="530"/>
    <cfRule type="duplicateValues" dxfId="6682" priority="527"/>
  </conditionalFormatting>
  <conditionalFormatting sqref="H52:H53">
    <cfRule type="duplicateValues" dxfId="6680" priority="555"/>
    <cfRule type="cellIs" dxfId="6678" priority="534" operator="equal">
      <formula>$O$11</formula>
    </cfRule>
    <cfRule type="cellIs" dxfId="6677" priority="533" operator="equal">
      <formula>$O$12</formula>
    </cfRule>
    <cfRule type="duplicateValues" dxfId="6676" priority="528"/>
    <cfRule type="cellIs" dxfId="6675" priority="532" operator="equal">
      <formula>$O$13</formula>
    </cfRule>
    <cfRule type="duplicateValues" dxfId="6674" priority="531"/>
    <cfRule type="cellIs" dxfId="6673" priority="539" operator="equal">
      <formula>$O$6</formula>
    </cfRule>
    <cfRule type="cellIs" dxfId="6672" priority="540" operator="equal">
      <formula>$O$5</formula>
    </cfRule>
    <cfRule type="duplicateValues" dxfId="6671" priority="556"/>
    <cfRule type="containsText" dxfId="6669" priority="524" operator="containsText" text="(HEM)">
      <formula>NOT(ISERROR(SEARCH("(HEM)",H52)))</formula>
    </cfRule>
    <cfRule type="containsText" dxfId="6668" priority="525" operator="containsText" text="(SV)">
      <formula>NOT(ISERROR(SEARCH("(SV)",H52)))</formula>
    </cfRule>
    <cfRule type="duplicateValues" dxfId="6666" priority="557"/>
    <cfRule type="cellIs" dxfId="6664" priority="536" operator="equal">
      <formula>$O$9</formula>
    </cfRule>
    <cfRule type="cellIs" dxfId="6662" priority="543" operator="equal">
      <formula>$O$17</formula>
    </cfRule>
    <cfRule type="duplicateValues" dxfId="6658" priority="544"/>
    <cfRule type="cellIs" dxfId="6657" priority="542" operator="equal">
      <formula>$O$18</formula>
    </cfRule>
    <cfRule type="cellIs" dxfId="6655" priority="538" operator="equal">
      <formula>$O$7</formula>
    </cfRule>
    <cfRule type="cellIs" dxfId="6654" priority="537" operator="equal">
      <formula>$O$8</formula>
    </cfRule>
    <cfRule type="cellIs" dxfId="6653" priority="535" operator="equal">
      <formula>$O$10</formula>
    </cfRule>
  </conditionalFormatting>
  <conditionalFormatting sqref="H53">
    <cfRule type="duplicateValues" dxfId="6652" priority="529"/>
    <cfRule type="duplicateValues" dxfId="6651" priority="526"/>
  </conditionalFormatting>
  <conditionalFormatting sqref="I21 E21:H36 K21:N36">
    <cfRule type="cellIs" dxfId="6650" priority="4328" operator="equal">
      <formula>0</formula>
    </cfRule>
  </conditionalFormatting>
  <conditionalFormatting sqref="I75:I79">
    <cfRule type="duplicateValues" dxfId="6649" priority="2523"/>
  </conditionalFormatting>
  <conditionalFormatting sqref="K18">
    <cfRule type="duplicateValues" dxfId="6648" priority="143"/>
  </conditionalFormatting>
  <conditionalFormatting sqref="K18:K19">
    <cfRule type="cellIs" dxfId="6647" priority="142" operator="equal">
      <formula>0</formula>
    </cfRule>
  </conditionalFormatting>
  <conditionalFormatting sqref="K19">
    <cfRule type="duplicateValues" dxfId="6646" priority="144"/>
  </conditionalFormatting>
  <conditionalFormatting sqref="K34">
    <cfRule type="duplicateValues" dxfId="6645" priority="3689"/>
    <cfRule type="duplicateValues" dxfId="6644" priority="18"/>
    <cfRule type="duplicateValues" dxfId="6643" priority="17"/>
  </conditionalFormatting>
  <conditionalFormatting sqref="K35">
    <cfRule type="duplicateValues" dxfId="6642" priority="330"/>
  </conditionalFormatting>
  <conditionalFormatting sqref="K36">
    <cfRule type="duplicateValues" dxfId="6641" priority="328"/>
    <cfRule type="duplicateValues" dxfId="6640" priority="327"/>
    <cfRule type="duplicateValues" dxfId="6639" priority="329"/>
  </conditionalFormatting>
  <conditionalFormatting sqref="K38">
    <cfRule type="duplicateValues" dxfId="6638" priority="9"/>
  </conditionalFormatting>
  <conditionalFormatting sqref="K49">
    <cfRule type="duplicateValues" dxfId="6637" priority="12"/>
  </conditionalFormatting>
  <conditionalFormatting sqref="K50">
    <cfRule type="duplicateValues" dxfId="6636" priority="11"/>
  </conditionalFormatting>
  <conditionalFormatting sqref="K51">
    <cfRule type="duplicateValues" dxfId="6635" priority="7"/>
  </conditionalFormatting>
  <conditionalFormatting sqref="K52">
    <cfRule type="duplicateValues" dxfId="6634" priority="596"/>
    <cfRule type="duplicateValues" dxfId="6633" priority="594"/>
  </conditionalFormatting>
  <conditionalFormatting sqref="K53">
    <cfRule type="duplicateValues" dxfId="6632" priority="595"/>
    <cfRule type="duplicateValues" dxfId="6631" priority="593"/>
  </conditionalFormatting>
  <conditionalFormatting sqref="K75:K79">
    <cfRule type="duplicateValues" dxfId="6630" priority="2522"/>
  </conditionalFormatting>
  <conditionalFormatting sqref="K21:N36 E21:I21 E22:H36">
    <cfRule type="cellIs" dxfId="6629" priority="4294" operator="equal">
      <formula>$O$6</formula>
    </cfRule>
    <cfRule type="cellIs" dxfId="6628" priority="4293" operator="equal">
      <formula>$O$7</formula>
    </cfRule>
    <cfRule type="cellIs" dxfId="6627" priority="4292" operator="equal">
      <formula>$O$8</formula>
    </cfRule>
    <cfRule type="cellIs" dxfId="6626" priority="4291" operator="equal">
      <formula>$O$9</formula>
    </cfRule>
    <cfRule type="cellIs" dxfId="6625" priority="4295" operator="equal">
      <formula>$O$5</formula>
    </cfRule>
    <cfRule type="cellIs" dxfId="6624" priority="4290" operator="equal">
      <formula>$O$11</formula>
    </cfRule>
  </conditionalFormatting>
  <conditionalFormatting sqref="K34:N34">
    <cfRule type="duplicateValues" dxfId="6623" priority="854"/>
  </conditionalFormatting>
  <conditionalFormatting sqref="K36:N36">
    <cfRule type="cellIs" dxfId="6622" priority="3721" operator="equal">
      <formula>$O$7</formula>
    </cfRule>
    <cfRule type="cellIs" dxfId="6621" priority="3720" operator="equal">
      <formula>$O$8</formula>
    </cfRule>
    <cfRule type="cellIs" dxfId="6620" priority="3719" operator="equal">
      <formula>$O$9</formula>
    </cfRule>
    <cfRule type="cellIs" dxfId="6619" priority="3718" operator="equal">
      <formula>$O$11</formula>
    </cfRule>
    <cfRule type="cellIs" dxfId="6618" priority="3723" operator="equal">
      <formula>$O$5</formula>
    </cfRule>
    <cfRule type="cellIs" dxfId="6617" priority="3722" operator="equal">
      <formula>$O$6</formula>
    </cfRule>
  </conditionalFormatting>
  <conditionalFormatting sqref="K38:N53">
    <cfRule type="cellIs" dxfId="6616" priority="4" operator="equal">
      <formula>0</formula>
    </cfRule>
  </conditionalFormatting>
  <conditionalFormatting sqref="L5">
    <cfRule type="duplicateValues" dxfId="6615" priority="3017"/>
    <cfRule type="duplicateValues" dxfId="6614" priority="3018"/>
  </conditionalFormatting>
  <conditionalFormatting sqref="L5:L10 L12:L16">
    <cfRule type="duplicateValues" dxfId="6613" priority="3013"/>
    <cfRule type="duplicateValues" dxfId="6612" priority="3014"/>
    <cfRule type="duplicateValues" dxfId="6611" priority="3021"/>
  </conditionalFormatting>
  <conditionalFormatting sqref="L5:L17 L21:L36">
    <cfRule type="duplicateValues" dxfId="6610" priority="620"/>
  </conditionalFormatting>
  <conditionalFormatting sqref="L5:L17">
    <cfRule type="duplicateValues" dxfId="6609" priority="2977"/>
  </conditionalFormatting>
  <conditionalFormatting sqref="L11">
    <cfRule type="duplicateValues" dxfId="6608" priority="3009"/>
    <cfRule type="duplicateValues" dxfId="6607" priority="3010"/>
  </conditionalFormatting>
  <conditionalFormatting sqref="L15">
    <cfRule type="duplicateValues" dxfId="6606" priority="3005"/>
    <cfRule type="duplicateValues" dxfId="6605" priority="3006"/>
  </conditionalFormatting>
  <conditionalFormatting sqref="L17">
    <cfRule type="cellIs" dxfId="6604" priority="2627" operator="equal">
      <formula>$O$13</formula>
    </cfRule>
    <cfRule type="cellIs" dxfId="6603" priority="2625" operator="equal">
      <formula>$O$14</formula>
    </cfRule>
    <cfRule type="cellIs" dxfId="6602" priority="2624" operator="equal">
      <formula>$O$15</formula>
    </cfRule>
    <cfRule type="cellIs" dxfId="6601" priority="2623" operator="equal">
      <formula>$O$16</formula>
    </cfRule>
    <cfRule type="cellIs" dxfId="6600" priority="2622" operator="equal">
      <formula>$O$17</formula>
    </cfRule>
    <cfRule type="cellIs" dxfId="6599" priority="2621" operator="equal">
      <formula>$O$18</formula>
    </cfRule>
    <cfRule type="duplicateValues" dxfId="6598" priority="2620"/>
    <cfRule type="duplicateValues" dxfId="6597" priority="2619"/>
    <cfRule type="cellIs" dxfId="6596" priority="2609" operator="equal">
      <formula>$O$14</formula>
    </cfRule>
    <cfRule type="cellIs" dxfId="6595" priority="2608" operator="equal">
      <formula>$O$15</formula>
    </cfRule>
    <cfRule type="cellIs" dxfId="6594" priority="2607" operator="equal">
      <formula>$O$16</formula>
    </cfRule>
    <cfRule type="cellIs" dxfId="6593" priority="2606" operator="equal">
      <formula>$O$17</formula>
    </cfRule>
    <cfRule type="cellIs" dxfId="6592" priority="2605" operator="equal">
      <formula>$O$18</formula>
    </cfRule>
    <cfRule type="cellIs" dxfId="6591" priority="2603" operator="equal">
      <formula>$O$5</formula>
    </cfRule>
    <cfRule type="cellIs" dxfId="6590" priority="2602" operator="equal">
      <formula>$O$6</formula>
    </cfRule>
    <cfRule type="cellIs" dxfId="6589" priority="2601" operator="equal">
      <formula>$O$7</formula>
    </cfRule>
    <cfRule type="cellIs" dxfId="6588" priority="2600" operator="equal">
      <formula>$O$8</formula>
    </cfRule>
    <cfRule type="cellIs" dxfId="6587" priority="2599" operator="equal">
      <formula>$O$9</formula>
    </cfRule>
    <cfRule type="cellIs" dxfId="6586" priority="2598" operator="equal">
      <formula>$O$10</formula>
    </cfRule>
    <cfRule type="cellIs" dxfId="6585" priority="2597" operator="equal">
      <formula>$O$11</formula>
    </cfRule>
    <cfRule type="cellIs" dxfId="6584" priority="2596" operator="equal">
      <formula>$O$12</formula>
    </cfRule>
    <cfRule type="cellIs" dxfId="6583" priority="2595" operator="equal">
      <formula>$O$13</formula>
    </cfRule>
    <cfRule type="duplicateValues" dxfId="6582" priority="2592"/>
    <cfRule type="duplicateValues" dxfId="6581" priority="2784"/>
    <cfRule type="duplicateValues" dxfId="6580" priority="2786"/>
    <cfRule type="cellIs" dxfId="6579" priority="2787" operator="equal">
      <formula>$O$13</formula>
    </cfRule>
    <cfRule type="cellIs" dxfId="6578" priority="2788" operator="equal">
      <formula>$O$12</formula>
    </cfRule>
    <cfRule type="cellIs" dxfId="6577" priority="2789" operator="equal">
      <formula>$O$11</formula>
    </cfRule>
    <cfRule type="cellIs" dxfId="6576" priority="2790" operator="equal">
      <formula>$O$10</formula>
    </cfRule>
    <cfRule type="cellIs" dxfId="6575" priority="2791" operator="equal">
      <formula>$O$9</formula>
    </cfRule>
    <cfRule type="cellIs" dxfId="6574" priority="2792" operator="equal">
      <formula>$O$8</formula>
    </cfRule>
    <cfRule type="cellIs" dxfId="6573" priority="2815" operator="equal">
      <formula>$O$16</formula>
    </cfRule>
    <cfRule type="cellIs" dxfId="6572" priority="2793" operator="equal">
      <formula>$O$7</formula>
    </cfRule>
    <cfRule type="cellIs" dxfId="6571" priority="2794" operator="equal">
      <formula>$O$6</formula>
    </cfRule>
    <cfRule type="cellIs" dxfId="6570" priority="2795" operator="equal">
      <formula>$O$5</formula>
    </cfRule>
    <cfRule type="cellIs" dxfId="6569" priority="2797" operator="equal">
      <formula>$O$18</formula>
    </cfRule>
    <cfRule type="cellIs" dxfId="6568" priority="2813" operator="equal">
      <formula>$O$18</formula>
    </cfRule>
    <cfRule type="cellIs" dxfId="6567" priority="2847" operator="equal">
      <formula>$O$5</formula>
    </cfRule>
    <cfRule type="cellIs" dxfId="6566" priority="2846" operator="equal">
      <formula>$O$6</formula>
    </cfRule>
    <cfRule type="cellIs" dxfId="6565" priority="2814" operator="equal">
      <formula>$O$17</formula>
    </cfRule>
    <cfRule type="duplicateValues" dxfId="6564" priority="2594"/>
    <cfRule type="duplicateValues" dxfId="6563" priority="2812"/>
    <cfRule type="duplicateValues" dxfId="6562" priority="2811"/>
    <cfRule type="cellIs" dxfId="6561" priority="2845" operator="equal">
      <formula>$O$7</formula>
    </cfRule>
    <cfRule type="cellIs" dxfId="6560" priority="2801" operator="equal">
      <formula>$O$14</formula>
    </cfRule>
    <cfRule type="cellIs" dxfId="6559" priority="2800" operator="equal">
      <formula>$O$15</formula>
    </cfRule>
    <cfRule type="cellIs" dxfId="6558" priority="2799" operator="equal">
      <formula>$O$16</formula>
    </cfRule>
    <cfRule type="cellIs" dxfId="6557" priority="2844" operator="equal">
      <formula>$O$8</formula>
    </cfRule>
    <cfRule type="cellIs" dxfId="6556" priority="2842" operator="equal">
      <formula>$O$9</formula>
    </cfRule>
    <cfRule type="cellIs" dxfId="6555" priority="2839" operator="equal">
      <formula>$O$11</formula>
    </cfRule>
    <cfRule type="cellIs" dxfId="6554" priority="2838" operator="equal">
      <formula>$O$12</formula>
    </cfRule>
    <cfRule type="cellIs" dxfId="6553" priority="2837" operator="equal">
      <formula>$O$13</formula>
    </cfRule>
    <cfRule type="cellIs" dxfId="6552" priority="2836" operator="equal">
      <formula>$O$14</formula>
    </cfRule>
    <cfRule type="cellIs" dxfId="6551" priority="2835" operator="equal">
      <formula>$O$15</formula>
    </cfRule>
    <cfRule type="cellIs" dxfId="6550" priority="2834" operator="equal">
      <formula>$O$16</formula>
    </cfRule>
    <cfRule type="cellIs" dxfId="6549" priority="2833" operator="equal">
      <formula>$O$17</formula>
    </cfRule>
    <cfRule type="cellIs" dxfId="6548" priority="2832" operator="equal">
      <formula>$O$10</formula>
    </cfRule>
    <cfRule type="cellIs" dxfId="6547" priority="2831" operator="equal">
      <formula>$O$18</formula>
    </cfRule>
    <cfRule type="duplicateValues" dxfId="6546" priority="2830"/>
    <cfRule type="duplicateValues" dxfId="6545" priority="2829"/>
    <cfRule type="cellIs" dxfId="6544" priority="2828" operator="equal">
      <formula>$O$5</formula>
    </cfRule>
    <cfRule type="cellIs" dxfId="6543" priority="2827" operator="equal">
      <formula>$O$6</formula>
    </cfRule>
    <cfRule type="cellIs" dxfId="6542" priority="2826" operator="equal">
      <formula>$O$7</formula>
    </cfRule>
    <cfRule type="cellIs" dxfId="6541" priority="2825" operator="equal">
      <formula>$O$8</formula>
    </cfRule>
    <cfRule type="cellIs" dxfId="6540" priority="2824" operator="equal">
      <formula>$O$9</formula>
    </cfRule>
    <cfRule type="cellIs" dxfId="6539" priority="2823" operator="equal">
      <formula>$O$10</formula>
    </cfRule>
    <cfRule type="cellIs" dxfId="6538" priority="2821" operator="equal">
      <formula>$O$11</formula>
    </cfRule>
    <cfRule type="cellIs" dxfId="6537" priority="2820" operator="equal">
      <formula>$O$12</formula>
    </cfRule>
    <cfRule type="cellIs" dxfId="6536" priority="2819" operator="equal">
      <formula>$O$13</formula>
    </cfRule>
    <cfRule type="cellIs" dxfId="6535" priority="2817" operator="equal">
      <formula>$O$14</formula>
    </cfRule>
    <cfRule type="cellIs" dxfId="6534" priority="2816" operator="equal">
      <formula>$O$15</formula>
    </cfRule>
    <cfRule type="cellIs" dxfId="6533" priority="2798" operator="equal">
      <formula>$O$17</formula>
    </cfRule>
    <cfRule type="cellIs" dxfId="6532" priority="2655" operator="equal">
      <formula>$O$5</formula>
    </cfRule>
    <cfRule type="cellIs" dxfId="6531" priority="2654" operator="equal">
      <formula>$O$6</formula>
    </cfRule>
    <cfRule type="cellIs" dxfId="6530" priority="2653" operator="equal">
      <formula>$O$7</formula>
    </cfRule>
    <cfRule type="cellIs" dxfId="6529" priority="2652" operator="equal">
      <formula>$O$8</formula>
    </cfRule>
    <cfRule type="cellIs" dxfId="6528" priority="2650" operator="equal">
      <formula>$O$9</formula>
    </cfRule>
    <cfRule type="cellIs" dxfId="6527" priority="2647" operator="equal">
      <formula>$O$11</formula>
    </cfRule>
    <cfRule type="cellIs" dxfId="6526" priority="2646" operator="equal">
      <formula>$O$12</formula>
    </cfRule>
    <cfRule type="cellIs" dxfId="6525" priority="2645" operator="equal">
      <formula>$O$13</formula>
    </cfRule>
    <cfRule type="cellIs" dxfId="6524" priority="2644" operator="equal">
      <formula>$O$14</formula>
    </cfRule>
    <cfRule type="cellIs" dxfId="6523" priority="2643" operator="equal">
      <formula>$O$15</formula>
    </cfRule>
    <cfRule type="cellIs" dxfId="6522" priority="2642" operator="equal">
      <formula>$O$16</formula>
    </cfRule>
    <cfRule type="cellIs" dxfId="6521" priority="2641" operator="equal">
      <formula>$O$17</formula>
    </cfRule>
    <cfRule type="cellIs" dxfId="6520" priority="2640" operator="equal">
      <formula>$O$10</formula>
    </cfRule>
    <cfRule type="cellIs" dxfId="6519" priority="2639" operator="equal">
      <formula>$O$18</formula>
    </cfRule>
    <cfRule type="duplicateValues" dxfId="6518" priority="2638"/>
    <cfRule type="duplicateValues" dxfId="6517" priority="2637"/>
    <cfRule type="cellIs" dxfId="6516" priority="2636" operator="equal">
      <formula>$O$5</formula>
    </cfRule>
    <cfRule type="cellIs" dxfId="6515" priority="2635" operator="equal">
      <formula>$O$6</formula>
    </cfRule>
    <cfRule type="cellIs" dxfId="6514" priority="2634" operator="equal">
      <formula>$O$7</formula>
    </cfRule>
    <cfRule type="cellIs" dxfId="6513" priority="2633" operator="equal">
      <formula>$O$8</formula>
    </cfRule>
    <cfRule type="cellIs" dxfId="6512" priority="2632" operator="equal">
      <formula>$O$9</formula>
    </cfRule>
    <cfRule type="cellIs" dxfId="6511" priority="2631" operator="equal">
      <formula>$O$10</formula>
    </cfRule>
    <cfRule type="cellIs" dxfId="6510" priority="2629" operator="equal">
      <formula>$O$11</formula>
    </cfRule>
    <cfRule type="cellIs" dxfId="6509" priority="2628" operator="equal">
      <formula>$O$12</formula>
    </cfRule>
  </conditionalFormatting>
  <conditionalFormatting sqref="L17:L19">
    <cfRule type="cellIs" dxfId="6508" priority="127" operator="equal">
      <formula>0</formula>
    </cfRule>
  </conditionalFormatting>
  <conditionalFormatting sqref="L18">
    <cfRule type="duplicateValues" dxfId="6507" priority="130"/>
  </conditionalFormatting>
  <conditionalFormatting sqref="L18:L19">
    <cfRule type="cellIs" dxfId="6506" priority="113" operator="equal">
      <formula>$O$18</formula>
    </cfRule>
    <cfRule type="cellIs" dxfId="6505" priority="115" operator="equal">
      <formula>$O$16</formula>
    </cfRule>
    <cfRule type="cellIs" dxfId="6504" priority="114" operator="equal">
      <formula>$O$17</formula>
    </cfRule>
    <cfRule type="cellIs" dxfId="6500" priority="123" operator="equal">
      <formula>$O$8</formula>
    </cfRule>
    <cfRule type="cellIs" dxfId="6499" priority="122" operator="equal">
      <formula>$O$9</formula>
    </cfRule>
    <cfRule type="cellIs" dxfId="6498" priority="121" operator="equal">
      <formula>$O$10</formula>
    </cfRule>
    <cfRule type="cellIs" dxfId="6497" priority="120" operator="equal">
      <formula>$O$11</formula>
    </cfRule>
    <cfRule type="cellIs" dxfId="6496" priority="119" operator="equal">
      <formula>$O$12</formula>
    </cfRule>
    <cfRule type="cellIs" dxfId="6495" priority="118" operator="equal">
      <formula>$O$13</formula>
    </cfRule>
    <cfRule type="duplicateValues" dxfId="6488" priority="129"/>
    <cfRule type="cellIs" dxfId="6487" priority="124" operator="equal">
      <formula>$O$7</formula>
    </cfRule>
    <cfRule type="cellIs" dxfId="6486" priority="125" operator="equal">
      <formula>$O$6</formula>
    </cfRule>
    <cfRule type="cellIs" dxfId="6485" priority="126" operator="equal">
      <formula>$O$5</formula>
    </cfRule>
    <cfRule type="duplicateValues" dxfId="6484" priority="128"/>
    <cfRule type="duplicateValues" dxfId="6483" priority="145"/>
    <cfRule type="duplicateValues" dxfId="6481" priority="112"/>
    <cfRule type="cellIs" dxfId="6480" priority="117" operator="equal">
      <formula>$O$14</formula>
    </cfRule>
    <cfRule type="cellIs" dxfId="6479" priority="116" operator="equal">
      <formula>$O$15</formula>
    </cfRule>
  </conditionalFormatting>
  <conditionalFormatting sqref="L19">
    <cfRule type="duplicateValues" dxfId="6478" priority="131"/>
  </conditionalFormatting>
  <conditionalFormatting sqref="L21 L24:L31">
    <cfRule type="duplicateValues" dxfId="6477" priority="4466"/>
  </conditionalFormatting>
  <conditionalFormatting sqref="L21">
    <cfRule type="duplicateValues" dxfId="6476" priority="4452"/>
  </conditionalFormatting>
  <conditionalFormatting sqref="L21:L31">
    <cfRule type="duplicateValues" dxfId="6474" priority="4941"/>
  </conditionalFormatting>
  <conditionalFormatting sqref="L21:L33">
    <cfRule type="duplicateValues" dxfId="6472" priority="4150"/>
    <cfRule type="duplicateValues" dxfId="6471" priority="4296"/>
  </conditionalFormatting>
  <conditionalFormatting sqref="L21:L35">
    <cfRule type="duplicateValues" dxfId="6470" priority="5254"/>
  </conditionalFormatting>
  <conditionalFormatting sqref="L21:L36">
    <cfRule type="duplicateValues" dxfId="6469" priority="3614"/>
  </conditionalFormatting>
  <conditionalFormatting sqref="L22:L23">
    <cfRule type="duplicateValues" dxfId="6468" priority="4467"/>
    <cfRule type="duplicateValues" dxfId="6467" priority="4463"/>
    <cfRule type="duplicateValues" dxfId="6466" priority="4462"/>
  </conditionalFormatting>
  <conditionalFormatting sqref="L27">
    <cfRule type="duplicateValues" dxfId="6465" priority="1745"/>
    <cfRule type="duplicateValues" dxfId="6464" priority="1744"/>
    <cfRule type="duplicateValues" dxfId="6463" priority="1746"/>
  </conditionalFormatting>
  <conditionalFormatting sqref="L32">
    <cfRule type="duplicateValues" dxfId="6462" priority="1754"/>
    <cfRule type="duplicateValues" dxfId="6461" priority="1756"/>
    <cfRule type="duplicateValues" dxfId="6460" priority="1755"/>
  </conditionalFormatting>
  <conditionalFormatting sqref="L32:L33">
    <cfRule type="duplicateValues" dxfId="6459" priority="4583"/>
  </conditionalFormatting>
  <conditionalFormatting sqref="L34">
    <cfRule type="duplicateValues" dxfId="6448" priority="853"/>
    <cfRule type="cellIs" dxfId="6447" priority="3698" operator="equal">
      <formula>$O$5</formula>
    </cfRule>
    <cfRule type="duplicateValues" dxfId="6446" priority="3699"/>
    <cfRule type="cellIs" dxfId="6445" priority="3658" operator="equal">
      <formula>$O$13</formula>
    </cfRule>
    <cfRule type="cellIs" dxfId="6444" priority="3634" operator="equal">
      <formula>$O$7</formula>
    </cfRule>
    <cfRule type="cellIs" dxfId="6443" priority="3635" operator="equal">
      <formula>$O$6</formula>
    </cfRule>
    <cfRule type="duplicateValues" dxfId="6442" priority="864"/>
    <cfRule type="cellIs" dxfId="6441" priority="3629" operator="equal">
      <formula>$O$12</formula>
    </cfRule>
    <cfRule type="cellIs" dxfId="6440" priority="3636" operator="equal">
      <formula>$O$5</formula>
    </cfRule>
    <cfRule type="duplicateValues" dxfId="6439" priority="3637"/>
    <cfRule type="cellIs" dxfId="6438" priority="3659" operator="equal">
      <formula>$O$12</formula>
    </cfRule>
    <cfRule type="cellIs" dxfId="6437" priority="3660" operator="equal">
      <formula>$O$11</formula>
    </cfRule>
    <cfRule type="duplicateValues" dxfId="6436" priority="836"/>
    <cfRule type="cellIs" dxfId="6435" priority="3628" operator="equal">
      <formula>$O$13</formula>
    </cfRule>
    <cfRule type="cellIs" dxfId="6434" priority="3661" operator="equal">
      <formula>$O$10</formula>
    </cfRule>
    <cfRule type="cellIs" dxfId="6433" priority="3630" operator="equal">
      <formula>$O$11</formula>
    </cfRule>
    <cfRule type="cellIs" dxfId="6432" priority="3631" operator="equal">
      <formula>$O$10</formula>
    </cfRule>
    <cfRule type="cellIs" dxfId="6431" priority="3632" operator="equal">
      <formula>$O$9</formula>
    </cfRule>
    <cfRule type="cellIs" dxfId="6430" priority="3633" operator="equal">
      <formula>$O$8</formula>
    </cfRule>
    <cfRule type="cellIs" dxfId="6429" priority="3664" operator="equal">
      <formula>$O$7</formula>
    </cfRule>
    <cfRule type="cellIs" dxfId="6428" priority="3665" operator="equal">
      <formula>$O$6</formula>
    </cfRule>
    <cfRule type="cellIs" dxfId="6427" priority="3666" operator="equal">
      <formula>$O$5</formula>
    </cfRule>
    <cfRule type="duplicateValues" dxfId="6426" priority="3667"/>
    <cfRule type="cellIs" dxfId="6425" priority="3662" operator="equal">
      <formula>$O$9</formula>
    </cfRule>
    <cfRule type="cellIs" dxfId="6424" priority="3663" operator="equal">
      <formula>$O$8</formula>
    </cfRule>
    <cfRule type="cellIs" dxfId="6423" priority="3690" operator="equal">
      <formula>$O$13</formula>
    </cfRule>
    <cfRule type="cellIs" dxfId="6422" priority="3691" operator="equal">
      <formula>$O$12</formula>
    </cfRule>
    <cfRule type="cellIs" dxfId="6421" priority="3692" operator="equal">
      <formula>$O$11</formula>
    </cfRule>
    <cfRule type="cellIs" dxfId="6420" priority="3693" operator="equal">
      <formula>$O$10</formula>
    </cfRule>
    <cfRule type="cellIs" dxfId="6419" priority="3694" operator="equal">
      <formula>$O$9</formula>
    </cfRule>
    <cfRule type="cellIs" dxfId="6418" priority="3695" operator="equal">
      <formula>$O$8</formula>
    </cfRule>
    <cfRule type="cellIs" dxfId="6417" priority="3696" operator="equal">
      <formula>$O$7</formula>
    </cfRule>
    <cfRule type="cellIs" dxfId="6416" priority="3697" operator="equal">
      <formula>$O$6</formula>
    </cfRule>
  </conditionalFormatting>
  <conditionalFormatting sqref="L35">
    <cfRule type="duplicateValues" dxfId="6411" priority="324"/>
    <cfRule type="duplicateValues" dxfId="6404" priority="59"/>
    <cfRule type="duplicateValues" dxfId="6394" priority="69"/>
    <cfRule type="duplicateValues" dxfId="6393" priority="60"/>
  </conditionalFormatting>
  <conditionalFormatting sqref="L35:L36">
    <cfRule type="cellIs" dxfId="6391" priority="26" operator="equal">
      <formula>$O$13</formula>
    </cfRule>
    <cfRule type="cellIs" dxfId="6390" priority="27" operator="equal">
      <formula>$O$12</formula>
    </cfRule>
    <cfRule type="cellIs" dxfId="6389" priority="28" operator="equal">
      <formula>$O$11</formula>
    </cfRule>
    <cfRule type="cellIs" dxfId="6388" priority="283" operator="equal">
      <formula>$O$11</formula>
    </cfRule>
    <cfRule type="cellIs" dxfId="6387" priority="282" operator="equal">
      <formula>$O$12</formula>
    </cfRule>
    <cfRule type="cellIs" dxfId="6386" priority="281" operator="equal">
      <formula>$O$13</formula>
    </cfRule>
    <cfRule type="cellIs" dxfId="6385" priority="280" operator="equal">
      <formula>$O$14</formula>
    </cfRule>
    <cfRule type="cellIs" dxfId="6384" priority="279" operator="equal">
      <formula>$O$15</formula>
    </cfRule>
    <cfRule type="cellIs" dxfId="6383" priority="278" operator="equal">
      <formula>$O$16</formula>
    </cfRule>
    <cfRule type="cellIs" dxfId="6382" priority="277" operator="equal">
      <formula>$O$17</formula>
    </cfRule>
    <cfRule type="cellIs" dxfId="6381" priority="276" operator="equal">
      <formula>$O$18</formula>
    </cfRule>
    <cfRule type="cellIs" dxfId="6380" priority="275" operator="equal">
      <formula>$O$10</formula>
    </cfRule>
    <cfRule type="cellIs" dxfId="6379" priority="300" operator="equal">
      <formula>$O$9</formula>
    </cfRule>
    <cfRule type="duplicateValues" dxfId="6378" priority="315"/>
    <cfRule type="duplicateValues" dxfId="6377" priority="314"/>
    <cfRule type="cellIs" dxfId="6376" priority="304" operator="equal">
      <formula>$O$5</formula>
    </cfRule>
    <cfRule type="cellIs" dxfId="6375" priority="303" operator="equal">
      <formula>$O$6</formula>
    </cfRule>
    <cfRule type="cellIs" dxfId="6374" priority="302" operator="equal">
      <formula>$O$7</formula>
    </cfRule>
    <cfRule type="duplicateValues" dxfId="6373" priority="76"/>
    <cfRule type="duplicateValues" dxfId="6372" priority="75"/>
    <cfRule type="cellIs" dxfId="6371" priority="49" operator="equal">
      <formula>$O$5</formula>
    </cfRule>
    <cfRule type="cellIs" dxfId="6370" priority="48" operator="equal">
      <formula>$O$6</formula>
    </cfRule>
    <cfRule type="duplicateValues" dxfId="6369" priority="74"/>
    <cfRule type="cellIs" dxfId="6368" priority="47" operator="equal">
      <formula>$O$7</formula>
    </cfRule>
    <cfRule type="cellIs" dxfId="6367" priority="46" operator="equal">
      <formula>$O$8</formula>
    </cfRule>
    <cfRule type="cellIs" dxfId="6366" priority="45" operator="equal">
      <formula>$O$9</formula>
    </cfRule>
    <cfRule type="cellIs" dxfId="6365" priority="301" operator="equal">
      <formula>$O$8</formula>
    </cfRule>
    <cfRule type="duplicateValues" dxfId="6364" priority="334"/>
    <cfRule type="duplicateValues" dxfId="6363" priority="332"/>
    <cfRule type="duplicateValues" dxfId="6362" priority="73"/>
    <cfRule type="duplicateValues" dxfId="6361" priority="72"/>
    <cfRule type="cellIs" dxfId="6360" priority="20" operator="equal">
      <formula>$O$10</formula>
    </cfRule>
    <cfRule type="cellIs" dxfId="6359" priority="21" operator="equal">
      <formula>$O$18</formula>
    </cfRule>
    <cfRule type="cellIs" dxfId="6358" priority="22" operator="equal">
      <formula>$O$17</formula>
    </cfRule>
    <cfRule type="cellIs" dxfId="6357" priority="23" operator="equal">
      <formula>$O$16</formula>
    </cfRule>
    <cfRule type="cellIs" dxfId="6356" priority="24" operator="equal">
      <formula>$O$15</formula>
    </cfRule>
    <cfRule type="cellIs" dxfId="6355" priority="25" operator="equal">
      <formula>$O$14</formula>
    </cfRule>
  </conditionalFormatting>
  <conditionalFormatting sqref="L36">
    <cfRule type="duplicateValues" dxfId="6349" priority="29"/>
    <cfRule type="duplicateValues" dxfId="6346" priority="40"/>
    <cfRule type="duplicateValues" dxfId="6345" priority="295"/>
    <cfRule type="duplicateValues" dxfId="6344" priority="3724"/>
    <cfRule type="duplicateValues" dxfId="6337" priority="284"/>
  </conditionalFormatting>
  <conditionalFormatting sqref="L38:L49">
    <cfRule type="duplicateValues" dxfId="6329" priority="1391"/>
    <cfRule type="duplicateValues" dxfId="6328" priority="1416"/>
  </conditionalFormatting>
  <conditionalFormatting sqref="L38:L50 L52:L53">
    <cfRule type="duplicateValues" dxfId="6327" priority="1255"/>
  </conditionalFormatting>
  <conditionalFormatting sqref="L38:L53">
    <cfRule type="duplicateValues" dxfId="6326" priority="977"/>
  </conditionalFormatting>
  <conditionalFormatting sqref="L49">
    <cfRule type="duplicateValues" dxfId="6325" priority="1301"/>
    <cfRule type="cellIs" dxfId="6323" priority="1316" operator="equal">
      <formula>$O$18</formula>
    </cfRule>
    <cfRule type="cellIs" dxfId="6322" priority="1317" operator="equal">
      <formula>$O$17</formula>
    </cfRule>
    <cfRule type="cellIs" dxfId="6320" priority="1322" operator="equal">
      <formula>$O$9</formula>
    </cfRule>
    <cfRule type="cellIs" dxfId="6319" priority="1323" operator="equal">
      <formula>$O$8</formula>
    </cfRule>
    <cfRule type="cellIs" dxfId="6318" priority="1324" operator="equal">
      <formula>$O$7</formula>
    </cfRule>
    <cfRule type="cellIs" dxfId="6317" priority="1325" operator="equal">
      <formula>$O$6</formula>
    </cfRule>
    <cfRule type="cellIs" dxfId="6316" priority="1326" operator="equal">
      <formula>$O$5</formula>
    </cfRule>
    <cfRule type="cellIs" dxfId="6310" priority="1314" operator="equal">
      <formula>$O$11</formula>
    </cfRule>
    <cfRule type="cellIs" dxfId="6309" priority="1313" operator="equal">
      <formula>$O$12</formula>
    </cfRule>
    <cfRule type="cellIs" dxfId="6308" priority="1312" operator="equal">
      <formula>$O$13</formula>
    </cfRule>
    <cfRule type="cellIs" dxfId="6307" priority="1311" operator="equal">
      <formula>$O$14</formula>
    </cfRule>
    <cfRule type="cellIs" dxfId="6306" priority="1310" operator="equal">
      <formula>$O$15</formula>
    </cfRule>
    <cfRule type="cellIs" dxfId="6305" priority="1309" operator="equal">
      <formula>$O$16</formula>
    </cfRule>
    <cfRule type="duplicateValues" dxfId="6304" priority="1308"/>
    <cfRule type="duplicateValues" dxfId="6303" priority="1306"/>
    <cfRule type="cellIs" dxfId="6302" priority="1315" operator="equal">
      <formula>$O$10</formula>
    </cfRule>
    <cfRule type="duplicateValues" dxfId="6298" priority="1299"/>
    <cfRule type="duplicateValues" dxfId="6297" priority="1298"/>
    <cfRule type="duplicateValues" dxfId="6296" priority="1300"/>
    <cfRule type="duplicateValues" dxfId="6295" priority="1295"/>
  </conditionalFormatting>
  <conditionalFormatting sqref="L50">
    <cfRule type="duplicateValues" dxfId="6294" priority="1163"/>
    <cfRule type="duplicateValues" dxfId="6293" priority="1166"/>
    <cfRule type="cellIs" dxfId="6292" priority="1192" operator="equal">
      <formula>$O$7</formula>
    </cfRule>
    <cfRule type="cellIs" dxfId="6288" priority="1190" operator="equal">
      <formula>$O$9</formula>
    </cfRule>
    <cfRule type="cellIs" dxfId="6287" priority="1191" operator="equal">
      <formula>$O$8</formula>
    </cfRule>
    <cfRule type="cellIs" dxfId="6286" priority="1193" operator="equal">
      <formula>$O$6</formula>
    </cfRule>
    <cfRule type="cellIs" dxfId="6285" priority="1194" operator="equal">
      <formula>$O$5</formula>
    </cfRule>
    <cfRule type="duplicateValues" dxfId="6280" priority="1176"/>
    <cfRule type="cellIs" dxfId="6279" priority="1177" operator="equal">
      <formula>$O$16</formula>
    </cfRule>
    <cfRule type="cellIs" dxfId="6278" priority="1178" operator="equal">
      <formula>$O$15</formula>
    </cfRule>
    <cfRule type="cellIs" dxfId="6277" priority="1179" operator="equal">
      <formula>$O$14</formula>
    </cfRule>
    <cfRule type="cellIs" dxfId="6276" priority="1180" operator="equal">
      <formula>$O$13</formula>
    </cfRule>
    <cfRule type="cellIs" dxfId="6275" priority="1181" operator="equal">
      <formula>$O$12</formula>
    </cfRule>
    <cfRule type="cellIs" dxfId="6274" priority="1182" operator="equal">
      <formula>$O$11</formula>
    </cfRule>
    <cfRule type="cellIs" dxfId="6273" priority="1183" operator="equal">
      <formula>$O$10</formula>
    </cfRule>
    <cfRule type="cellIs" dxfId="6272" priority="1184" operator="equal">
      <formula>$O$18</formula>
    </cfRule>
    <cfRule type="cellIs" dxfId="6271" priority="1185" operator="equal">
      <formula>$O$17</formula>
    </cfRule>
    <cfRule type="duplicateValues" dxfId="6270" priority="1169"/>
    <cfRule type="duplicateValues" dxfId="6269" priority="1168"/>
    <cfRule type="duplicateValues" dxfId="6267" priority="1174"/>
    <cfRule type="duplicateValues" dxfId="6266" priority="1167"/>
  </conditionalFormatting>
  <conditionalFormatting sqref="L51 N51">
    <cfRule type="cellIs" dxfId="6263" priority="1106" operator="equal">
      <formula>$O$8</formula>
    </cfRule>
    <cfRule type="cellIs" dxfId="6262" priority="1105" operator="equal">
      <formula>$O$9</formula>
    </cfRule>
    <cfRule type="cellIs" dxfId="6261" priority="1104" operator="equal">
      <formula>$O$10</formula>
    </cfRule>
    <cfRule type="cellIs" dxfId="6260" priority="1103" operator="equal">
      <formula>$O$11</formula>
    </cfRule>
    <cfRule type="cellIs" dxfId="6259" priority="1107" operator="equal">
      <formula>$O$7</formula>
    </cfRule>
    <cfRule type="cellIs" dxfId="6258" priority="1101" operator="equal">
      <formula>$O$13</formula>
    </cfRule>
    <cfRule type="cellIs" dxfId="6257" priority="1109" operator="equal">
      <formula>$O$5</formula>
    </cfRule>
    <cfRule type="cellIs" dxfId="6256" priority="1102" operator="equal">
      <formula>$O$12</formula>
    </cfRule>
    <cfRule type="cellIs" dxfId="6255" priority="1108" operator="equal">
      <formula>$O$6</formula>
    </cfRule>
  </conditionalFormatting>
  <conditionalFormatting sqref="L51">
    <cfRule type="cellIs" dxfId="6254" priority="1047" operator="equal">
      <formula>$O$7</formula>
    </cfRule>
    <cfRule type="cellIs" dxfId="6253" priority="1046" operator="equal">
      <formula>$O$8</formula>
    </cfRule>
    <cfRule type="cellIs" dxfId="6252" priority="1045" operator="equal">
      <formula>$O$9</formula>
    </cfRule>
    <cfRule type="duplicateValues" dxfId="6251" priority="1023"/>
    <cfRule type="duplicateValues" dxfId="6250" priority="1098"/>
    <cfRule type="duplicateValues" dxfId="6249" priority="1024"/>
    <cfRule type="cellIs" dxfId="6245" priority="1040" operator="equal">
      <formula>$O$17</formula>
    </cfRule>
    <cfRule type="cellIs" dxfId="6244" priority="1039" operator="equal">
      <formula>$O$18</formula>
    </cfRule>
    <cfRule type="cellIs" dxfId="6243" priority="1038" operator="equal">
      <formula>$O$10</formula>
    </cfRule>
    <cfRule type="cellIs" dxfId="6242" priority="1037" operator="equal">
      <formula>$O$11</formula>
    </cfRule>
    <cfRule type="cellIs" dxfId="6240" priority="1036" operator="equal">
      <formula>$O$12</formula>
    </cfRule>
    <cfRule type="duplicateValues" dxfId="6235" priority="1029"/>
    <cfRule type="duplicateValues" dxfId="6234" priority="1031"/>
    <cfRule type="cellIs" dxfId="6233" priority="1049" operator="equal">
      <formula>$O$5</formula>
    </cfRule>
    <cfRule type="cellIs" dxfId="6232" priority="1048" operator="equal">
      <formula>$O$6</formula>
    </cfRule>
    <cfRule type="cellIs" dxfId="6231" priority="1035" operator="equal">
      <formula>$O$13</formula>
    </cfRule>
    <cfRule type="cellIs" dxfId="6230" priority="1034" operator="equal">
      <formula>$O$14</formula>
    </cfRule>
    <cfRule type="cellIs" dxfId="6229" priority="1033" operator="equal">
      <formula>$O$15</formula>
    </cfRule>
    <cfRule type="cellIs" dxfId="6228" priority="1032" operator="equal">
      <formula>$O$16</formula>
    </cfRule>
    <cfRule type="duplicateValues" dxfId="6227" priority="1018"/>
    <cfRule type="duplicateValues" dxfId="6224" priority="1021"/>
    <cfRule type="duplicateValues" dxfId="6223" priority="1022"/>
  </conditionalFormatting>
  <conditionalFormatting sqref="L52">
    <cfRule type="duplicateValues" dxfId="6222" priority="494"/>
    <cfRule type="duplicateValues" dxfId="6221" priority="491"/>
  </conditionalFormatting>
  <conditionalFormatting sqref="L52:L53">
    <cfRule type="duplicateValues" dxfId="6219" priority="520"/>
    <cfRule type="cellIs" dxfId="6215" priority="499" operator="equal">
      <formula>$O$10</formula>
    </cfRule>
    <cfRule type="cellIs" dxfId="6213" priority="502" operator="equal">
      <formula>$O$7</formula>
    </cfRule>
    <cfRule type="duplicateValues" dxfId="6209" priority="508"/>
    <cfRule type="cellIs" dxfId="6208" priority="507" operator="equal">
      <formula>$O$17</formula>
    </cfRule>
    <cfRule type="cellIs" dxfId="6207" priority="500" operator="equal">
      <formula>$O$9</formula>
    </cfRule>
    <cfRule type="cellIs" dxfId="6206" priority="506" operator="equal">
      <formula>$O$18</formula>
    </cfRule>
    <cfRule type="duplicateValues" dxfId="6205" priority="519"/>
    <cfRule type="cellIs" dxfId="6204" priority="504" operator="equal">
      <formula>$O$5</formula>
    </cfRule>
    <cfRule type="cellIs" dxfId="6203" priority="503" operator="equal">
      <formula>$O$6</formula>
    </cfRule>
    <cfRule type="duplicateValues" dxfId="6200" priority="522"/>
    <cfRule type="duplicateValues" dxfId="6199" priority="523"/>
    <cfRule type="cellIs" dxfId="6198" priority="501" operator="equal">
      <formula>$O$8</formula>
    </cfRule>
    <cfRule type="cellIs" dxfId="6197" priority="498" operator="equal">
      <formula>$O$11</formula>
    </cfRule>
    <cfRule type="cellIs" dxfId="6196" priority="497" operator="equal">
      <formula>$O$12</formula>
    </cfRule>
    <cfRule type="cellIs" dxfId="6195" priority="496" operator="equal">
      <formula>$O$13</formula>
    </cfRule>
    <cfRule type="duplicateValues" dxfId="6194" priority="495"/>
    <cfRule type="duplicateValues" dxfId="6193" priority="492"/>
    <cfRule type="containsText" dxfId="6192" priority="489" operator="containsText" text="(SV)">
      <formula>NOT(ISERROR(SEARCH("(SV)",L52)))</formula>
    </cfRule>
    <cfRule type="containsText" dxfId="6191" priority="488" operator="containsText" text="(HEM)">
      <formula>NOT(ISERROR(SEARCH("(HEM)",L52)))</formula>
    </cfRule>
    <cfRule type="duplicateValues" dxfId="6190" priority="521"/>
  </conditionalFormatting>
  <conditionalFormatting sqref="L53">
    <cfRule type="duplicateValues" dxfId="6189" priority="493"/>
    <cfRule type="duplicateValues" dxfId="6188" priority="490"/>
  </conditionalFormatting>
  <conditionalFormatting sqref="M18">
    <cfRule type="duplicateValues" dxfId="6187" priority="108"/>
  </conditionalFormatting>
  <conditionalFormatting sqref="M18:M19">
    <cfRule type="cellIs" dxfId="6186" priority="107" operator="equal">
      <formula>0</formula>
    </cfRule>
  </conditionalFormatting>
  <conditionalFormatting sqref="M19">
    <cfRule type="duplicateValues" dxfId="6185" priority="109"/>
  </conditionalFormatting>
  <conditionalFormatting sqref="M34">
    <cfRule type="duplicateValues" dxfId="6184" priority="3678"/>
    <cfRule type="duplicateValues" dxfId="6183" priority="16"/>
    <cfRule type="duplicateValues" dxfId="6182" priority="15"/>
  </conditionalFormatting>
  <conditionalFormatting sqref="M35">
    <cfRule type="duplicateValues" dxfId="6181" priority="272"/>
  </conditionalFormatting>
  <conditionalFormatting sqref="M36">
    <cfRule type="duplicateValues" dxfId="6180" priority="271"/>
    <cfRule type="duplicateValues" dxfId="6179" priority="269"/>
    <cfRule type="duplicateValues" dxfId="6178" priority="270"/>
  </conditionalFormatting>
  <conditionalFormatting sqref="M38">
    <cfRule type="duplicateValues" dxfId="6177" priority="6"/>
  </conditionalFormatting>
  <conditionalFormatting sqref="M49">
    <cfRule type="duplicateValues" dxfId="6176" priority="5774"/>
  </conditionalFormatting>
  <conditionalFormatting sqref="M50">
    <cfRule type="duplicateValues" dxfId="6175" priority="5775"/>
  </conditionalFormatting>
  <conditionalFormatting sqref="M51">
    <cfRule type="duplicateValues" dxfId="6174" priority="1"/>
  </conditionalFormatting>
  <conditionalFormatting sqref="M52">
    <cfRule type="duplicateValues" dxfId="6173" priority="590"/>
    <cfRule type="duplicateValues" dxfId="6172" priority="592"/>
  </conditionalFormatting>
  <conditionalFormatting sqref="M53">
    <cfRule type="duplicateValues" dxfId="6171" priority="589"/>
    <cfRule type="duplicateValues" dxfId="6170" priority="591"/>
  </conditionalFormatting>
  <conditionalFormatting sqref="M75:M79">
    <cfRule type="duplicateValues" dxfId="6169" priority="2521"/>
  </conditionalFormatting>
  <conditionalFormatting sqref="N5:N14 N16">
    <cfRule type="duplicateValues" dxfId="6168" priority="3011"/>
    <cfRule type="duplicateValues" dxfId="6167" priority="3012"/>
  </conditionalFormatting>
  <conditionalFormatting sqref="N5:N16">
    <cfRule type="duplicateValues" dxfId="6161" priority="2996"/>
  </conditionalFormatting>
  <conditionalFormatting sqref="N5:N17 N21:N36">
    <cfRule type="duplicateValues" dxfId="6160" priority="619"/>
  </conditionalFormatting>
  <conditionalFormatting sqref="N5:N17">
    <cfRule type="duplicateValues" dxfId="6159" priority="2976"/>
  </conditionalFormatting>
  <conditionalFormatting sqref="N15">
    <cfRule type="duplicateValues" dxfId="6157" priority="3004"/>
    <cfRule type="duplicateValues" dxfId="6156" priority="3003"/>
  </conditionalFormatting>
  <conditionalFormatting sqref="N17">
    <cfRule type="cellIs" dxfId="6151" priority="2774" operator="equal">
      <formula>$O$12</formula>
    </cfRule>
    <cfRule type="cellIs" dxfId="6150" priority="2580" operator="equal">
      <formula>$O$14</formula>
    </cfRule>
    <cfRule type="cellIs" dxfId="6149" priority="2579" operator="equal">
      <formula>$O$15</formula>
    </cfRule>
    <cfRule type="cellIs" dxfId="6148" priority="2578" operator="equal">
      <formula>$O$16</formula>
    </cfRule>
    <cfRule type="cellIs" dxfId="6147" priority="2577" operator="equal">
      <formula>$O$17</formula>
    </cfRule>
    <cfRule type="cellIs" dxfId="6146" priority="2576" operator="equal">
      <formula>$O$10</formula>
    </cfRule>
    <cfRule type="cellIs" dxfId="6145" priority="2575" operator="equal">
      <formula>$O$18</formula>
    </cfRule>
    <cfRule type="duplicateValues" dxfId="6144" priority="2574"/>
    <cfRule type="duplicateValues" dxfId="6143" priority="2573"/>
    <cfRule type="cellIs" dxfId="6142" priority="2572" operator="equal">
      <formula>$O$5</formula>
    </cfRule>
    <cfRule type="cellIs" dxfId="6141" priority="2571" operator="equal">
      <formula>$O$6</formula>
    </cfRule>
    <cfRule type="duplicateValues" dxfId="6140" priority="2720"/>
    <cfRule type="duplicateValues" dxfId="6139" priority="2722"/>
    <cfRule type="cellIs" dxfId="6138" priority="2723" operator="equal">
      <formula>$O$13</formula>
    </cfRule>
    <cfRule type="cellIs" dxfId="6137" priority="2724" operator="equal">
      <formula>$O$12</formula>
    </cfRule>
    <cfRule type="cellIs" dxfId="6136" priority="2725" operator="equal">
      <formula>$O$11</formula>
    </cfRule>
    <cfRule type="cellIs" dxfId="6135" priority="2726" operator="equal">
      <formula>$O$10</formula>
    </cfRule>
    <cfRule type="cellIs" dxfId="6134" priority="2727" operator="equal">
      <formula>$O$9</formula>
    </cfRule>
    <cfRule type="cellIs" dxfId="6133" priority="2728" operator="equal">
      <formula>$O$8</formula>
    </cfRule>
    <cfRule type="cellIs" dxfId="6132" priority="2729" operator="equal">
      <formula>$O$7</formula>
    </cfRule>
    <cfRule type="cellIs" dxfId="6131" priority="2730" operator="equal">
      <formula>$O$6</formula>
    </cfRule>
    <cfRule type="cellIs" dxfId="6130" priority="2731" operator="equal">
      <formula>$O$5</formula>
    </cfRule>
    <cfRule type="cellIs" dxfId="6129" priority="2733" operator="equal">
      <formula>$O$18</formula>
    </cfRule>
    <cfRule type="cellIs" dxfId="6128" priority="2734" operator="equal">
      <formula>$O$17</formula>
    </cfRule>
    <cfRule type="cellIs" dxfId="6127" priority="2735" operator="equal">
      <formula>$O$16</formula>
    </cfRule>
    <cfRule type="cellIs" dxfId="6126" priority="2736" operator="equal">
      <formula>$O$15</formula>
    </cfRule>
    <cfRule type="cellIs" dxfId="6125" priority="2737" operator="equal">
      <formula>$O$14</formula>
    </cfRule>
    <cfRule type="duplicateValues" dxfId="6124" priority="2747"/>
    <cfRule type="duplicateValues" dxfId="6123" priority="2748"/>
    <cfRule type="cellIs" dxfId="6122" priority="2749" operator="equal">
      <formula>$O$18</formula>
    </cfRule>
    <cfRule type="cellIs" dxfId="6121" priority="2750" operator="equal">
      <formula>$O$17</formula>
    </cfRule>
    <cfRule type="cellIs" dxfId="6120" priority="2751" operator="equal">
      <formula>$O$16</formula>
    </cfRule>
    <cfRule type="cellIs" dxfId="6119" priority="2752" operator="equal">
      <formula>$O$15</formula>
    </cfRule>
    <cfRule type="cellIs" dxfId="6118" priority="2753" operator="equal">
      <formula>$O$14</formula>
    </cfRule>
    <cfRule type="cellIs" dxfId="6117" priority="2755" operator="equal">
      <formula>$O$13</formula>
    </cfRule>
    <cfRule type="cellIs" dxfId="6116" priority="2756" operator="equal">
      <formula>$O$12</formula>
    </cfRule>
    <cfRule type="cellIs" dxfId="6115" priority="2757" operator="equal">
      <formula>$O$11</formula>
    </cfRule>
    <cfRule type="cellIs" dxfId="6114" priority="2759" operator="equal">
      <formula>$O$10</formula>
    </cfRule>
    <cfRule type="cellIs" dxfId="6113" priority="2760" operator="equal">
      <formula>$O$9</formula>
    </cfRule>
    <cfRule type="cellIs" dxfId="6112" priority="2761" operator="equal">
      <formula>$O$8</formula>
    </cfRule>
    <cfRule type="cellIs" dxfId="6111" priority="2762" operator="equal">
      <formula>$O$7</formula>
    </cfRule>
    <cfRule type="cellIs" dxfId="6110" priority="2763" operator="equal">
      <formula>$O$6</formula>
    </cfRule>
    <cfRule type="cellIs" dxfId="6109" priority="2764" operator="equal">
      <formula>$O$5</formula>
    </cfRule>
    <cfRule type="duplicateValues" dxfId="6108" priority="2765"/>
    <cfRule type="duplicateValues" dxfId="6107" priority="2766"/>
    <cfRule type="cellIs" dxfId="6106" priority="2767" operator="equal">
      <formula>$O$18</formula>
    </cfRule>
    <cfRule type="cellIs" dxfId="6105" priority="2768" operator="equal">
      <formula>$O$10</formula>
    </cfRule>
    <cfRule type="cellIs" dxfId="6104" priority="2769" operator="equal">
      <formula>$O$17</formula>
    </cfRule>
    <cfRule type="cellIs" dxfId="6103" priority="2770" operator="equal">
      <formula>$O$16</formula>
    </cfRule>
    <cfRule type="cellIs" dxfId="6102" priority="2771" operator="equal">
      <formula>$O$15</formula>
    </cfRule>
    <cfRule type="cellIs" dxfId="6101" priority="2772" operator="equal">
      <formula>$O$14</formula>
    </cfRule>
    <cfRule type="cellIs" dxfId="6100" priority="2773" operator="equal">
      <formula>$O$13</formula>
    </cfRule>
    <cfRule type="cellIs" dxfId="6099" priority="2589" operator="equal">
      <formula>$O$7</formula>
    </cfRule>
    <cfRule type="cellIs" dxfId="6098" priority="2775" operator="equal">
      <formula>$O$11</formula>
    </cfRule>
    <cfRule type="cellIs" dxfId="6097" priority="2778" operator="equal">
      <formula>$O$9</formula>
    </cfRule>
    <cfRule type="cellIs" dxfId="6096" priority="2780" operator="equal">
      <formula>$O$8</formula>
    </cfRule>
    <cfRule type="cellIs" dxfId="6095" priority="2781" operator="equal">
      <formula>$O$7</formula>
    </cfRule>
    <cfRule type="cellIs" dxfId="6094" priority="2782" operator="equal">
      <formula>$O$6</formula>
    </cfRule>
    <cfRule type="cellIs" dxfId="6093" priority="2783" operator="equal">
      <formula>$O$5</formula>
    </cfRule>
    <cfRule type="cellIs" dxfId="6092" priority="2570" operator="equal">
      <formula>$O$7</formula>
    </cfRule>
    <cfRule type="cellIs" dxfId="6091" priority="2569" operator="equal">
      <formula>$O$8</formula>
    </cfRule>
    <cfRule type="cellIs" dxfId="6090" priority="2568" operator="equal">
      <formula>$O$9</formula>
    </cfRule>
    <cfRule type="cellIs" dxfId="6089" priority="2567" operator="equal">
      <formula>$O$10</formula>
    </cfRule>
    <cfRule type="cellIs" dxfId="6088" priority="2565" operator="equal">
      <formula>$O$11</formula>
    </cfRule>
    <cfRule type="cellIs" dxfId="6087" priority="2564" operator="equal">
      <formula>$O$12</formula>
    </cfRule>
    <cfRule type="cellIs" dxfId="6086" priority="2563" operator="equal">
      <formula>$O$13</formula>
    </cfRule>
    <cfRule type="cellIs" dxfId="6085" priority="2561" operator="equal">
      <formula>$O$14</formula>
    </cfRule>
    <cfRule type="cellIs" dxfId="6084" priority="2560" operator="equal">
      <formula>$O$15</formula>
    </cfRule>
    <cfRule type="cellIs" dxfId="6083" priority="2559" operator="equal">
      <formula>$O$16</formula>
    </cfRule>
    <cfRule type="cellIs" dxfId="6082" priority="2558" operator="equal">
      <formula>$O$17</formula>
    </cfRule>
    <cfRule type="cellIs" dxfId="6081" priority="2586" operator="equal">
      <formula>$O$9</formula>
    </cfRule>
    <cfRule type="duplicateValues" dxfId="6080" priority="2528"/>
    <cfRule type="duplicateValues" dxfId="6079" priority="2530"/>
    <cfRule type="cellIs" dxfId="6078" priority="2531" operator="equal">
      <formula>$O$13</formula>
    </cfRule>
    <cfRule type="cellIs" dxfId="6077" priority="2532" operator="equal">
      <formula>$O$12</formula>
    </cfRule>
    <cfRule type="cellIs" dxfId="6076" priority="2533" operator="equal">
      <formula>$O$11</formula>
    </cfRule>
    <cfRule type="cellIs" dxfId="6075" priority="2557" operator="equal">
      <formula>$O$18</formula>
    </cfRule>
    <cfRule type="cellIs" dxfId="6074" priority="2534" operator="equal">
      <formula>$O$10</formula>
    </cfRule>
    <cfRule type="cellIs" dxfId="6073" priority="2535" operator="equal">
      <formula>$O$9</formula>
    </cfRule>
    <cfRule type="cellIs" dxfId="6072" priority="2536" operator="equal">
      <formula>$O$8</formula>
    </cfRule>
    <cfRule type="cellIs" dxfId="6071" priority="2537" operator="equal">
      <formula>$O$7</formula>
    </cfRule>
    <cfRule type="cellIs" dxfId="6070" priority="2538" operator="equal">
      <formula>$O$6</formula>
    </cfRule>
    <cfRule type="cellIs" dxfId="6069" priority="2539" operator="equal">
      <formula>$O$5</formula>
    </cfRule>
    <cfRule type="cellIs" dxfId="6068" priority="2541" operator="equal">
      <formula>$O$18</formula>
    </cfRule>
    <cfRule type="cellIs" dxfId="6067" priority="2542" operator="equal">
      <formula>$O$17</formula>
    </cfRule>
    <cfRule type="cellIs" dxfId="6066" priority="2543" operator="equal">
      <formula>$O$16</formula>
    </cfRule>
    <cfRule type="cellIs" dxfId="6065" priority="2544" operator="equal">
      <formula>$O$15</formula>
    </cfRule>
    <cfRule type="cellIs" dxfId="6064" priority="2545" operator="equal">
      <formula>$O$14</formula>
    </cfRule>
    <cfRule type="duplicateValues" dxfId="6063" priority="2555"/>
    <cfRule type="duplicateValues" dxfId="6062" priority="2556"/>
    <cfRule type="cellIs" dxfId="6061" priority="2591" operator="equal">
      <formula>$O$5</formula>
    </cfRule>
    <cfRule type="cellIs" dxfId="6060" priority="2590" operator="equal">
      <formula>$O$6</formula>
    </cfRule>
    <cfRule type="cellIs" dxfId="6059" priority="2588" operator="equal">
      <formula>$O$8</formula>
    </cfRule>
    <cfRule type="cellIs" dxfId="6058" priority="2583" operator="equal">
      <formula>$O$11</formula>
    </cfRule>
    <cfRule type="cellIs" dxfId="6057" priority="2582" operator="equal">
      <formula>$O$12</formula>
    </cfRule>
    <cfRule type="cellIs" dxfId="6056" priority="2581" operator="equal">
      <formula>$O$13</formula>
    </cfRule>
  </conditionalFormatting>
  <conditionalFormatting sqref="N17:N19">
    <cfRule type="cellIs" dxfId="6055" priority="92" operator="equal">
      <formula>0</formula>
    </cfRule>
  </conditionalFormatting>
  <conditionalFormatting sqref="N18">
    <cfRule type="duplicateValues" dxfId="6054" priority="95"/>
  </conditionalFormatting>
  <conditionalFormatting sqref="N18:N19">
    <cfRule type="duplicateValues" dxfId="6053" priority="110"/>
    <cfRule type="duplicateValues" dxfId="6042" priority="94"/>
    <cfRule type="duplicateValues" dxfId="6041" priority="93"/>
    <cfRule type="cellIs" dxfId="6040" priority="91" operator="equal">
      <formula>$O$5</formula>
    </cfRule>
    <cfRule type="cellIs" dxfId="6039" priority="90" operator="equal">
      <formula>$O$6</formula>
    </cfRule>
    <cfRule type="cellIs" dxfId="6038" priority="89" operator="equal">
      <formula>$O$7</formula>
    </cfRule>
    <cfRule type="cellIs" dxfId="6037" priority="87" operator="equal">
      <formula>$O$9</formula>
    </cfRule>
    <cfRule type="cellIs" dxfId="6036" priority="86" operator="equal">
      <formula>$O$10</formula>
    </cfRule>
    <cfRule type="duplicateValues" dxfId="6035" priority="77"/>
    <cfRule type="cellIs" dxfId="6034" priority="84" operator="equal">
      <formula>$O$12</formula>
    </cfRule>
    <cfRule type="cellIs" dxfId="6033" priority="83" operator="equal">
      <formula>$O$13</formula>
    </cfRule>
    <cfRule type="cellIs" dxfId="6032" priority="82" operator="equal">
      <formula>$O$14</formula>
    </cfRule>
    <cfRule type="cellIs" dxfId="6031" priority="81" operator="equal">
      <formula>$O$15</formula>
    </cfRule>
    <cfRule type="cellIs" dxfId="6030" priority="88" operator="equal">
      <formula>$O$8</formula>
    </cfRule>
    <cfRule type="cellIs" dxfId="6029" priority="80" operator="equal">
      <formula>$O$16</formula>
    </cfRule>
    <cfRule type="cellIs" dxfId="6028" priority="78" operator="equal">
      <formula>$O$18</formula>
    </cfRule>
    <cfRule type="cellIs" dxfId="6027" priority="79" operator="equal">
      <formula>$O$17</formula>
    </cfRule>
    <cfRule type="cellIs" dxfId="6026" priority="85" operator="equal">
      <formula>$O$11</formula>
    </cfRule>
  </conditionalFormatting>
  <conditionalFormatting sqref="N19">
    <cfRule type="duplicateValues" dxfId="6025" priority="96"/>
  </conditionalFormatting>
  <conditionalFormatting sqref="N21 N24:N31">
    <cfRule type="duplicateValues" dxfId="6024" priority="4460"/>
  </conditionalFormatting>
  <conditionalFormatting sqref="N21">
    <cfRule type="duplicateValues" dxfId="6023" priority="1713"/>
    <cfRule type="duplicateValues" dxfId="6022" priority="1714"/>
    <cfRule type="duplicateValues" dxfId="6021" priority="1720"/>
    <cfRule type="duplicateValues" dxfId="6019" priority="1717"/>
    <cfRule type="duplicateValues" dxfId="6018" priority="1718"/>
    <cfRule type="duplicateValues" dxfId="6017" priority="1719"/>
    <cfRule type="duplicateValues" dxfId="6016" priority="4449"/>
    <cfRule type="duplicateValues" dxfId="6014" priority="1715"/>
  </conditionalFormatting>
  <conditionalFormatting sqref="N21:N31">
    <cfRule type="duplicateValues" dxfId="6013" priority="4940"/>
  </conditionalFormatting>
  <conditionalFormatting sqref="N21:N33 H21:H33 L21:L33 F21:F33">
    <cfRule type="cellIs" dxfId="6012" priority="4284" operator="equal">
      <formula>$O$16</formula>
    </cfRule>
    <cfRule type="cellIs" dxfId="6011" priority="4285" operator="equal">
      <formula>$O$15</formula>
    </cfRule>
    <cfRule type="cellIs" dxfId="6010" priority="4286" operator="equal">
      <formula>$O$14</formula>
    </cfRule>
  </conditionalFormatting>
  <conditionalFormatting sqref="N21:N33 H21:H33 L21:L33 F21:F34">
    <cfRule type="cellIs" dxfId="6009" priority="4272" operator="equal">
      <formula>$O$13</formula>
    </cfRule>
    <cfRule type="cellIs" dxfId="6008" priority="4273" operator="equal">
      <formula>$O$12</formula>
    </cfRule>
  </conditionalFormatting>
  <conditionalFormatting sqref="N21:N33 H21:H33 L21:L33 F21:G34">
    <cfRule type="cellIs" dxfId="6007" priority="4274" operator="equal">
      <formula>$O$11</formula>
    </cfRule>
    <cfRule type="cellIs" dxfId="6006" priority="4279" operator="equal">
      <formula>$O$6</formula>
    </cfRule>
    <cfRule type="cellIs" dxfId="6005" priority="4276" operator="equal">
      <formula>$O$9</formula>
    </cfRule>
    <cfRule type="cellIs" dxfId="6004" priority="4277" operator="equal">
      <formula>$O$8</formula>
    </cfRule>
    <cfRule type="cellIs" dxfId="6003" priority="4278" operator="equal">
      <formula>$O$7</formula>
    </cfRule>
    <cfRule type="cellIs" dxfId="6002" priority="4280" operator="equal">
      <formula>$O$5</formula>
    </cfRule>
  </conditionalFormatting>
  <conditionalFormatting sqref="N21:N33">
    <cfRule type="duplicateValues" dxfId="6001" priority="4148"/>
    <cfRule type="duplicateValues" dxfId="6000" priority="4149"/>
    <cfRule type="duplicateValues" dxfId="5999" priority="4167"/>
  </conditionalFormatting>
  <conditionalFormatting sqref="N21:N34 H21:H33 L21:L34 F21:F33">
    <cfRule type="cellIs" dxfId="5998" priority="4282" operator="equal">
      <formula>$O$18</formula>
    </cfRule>
    <cfRule type="cellIs" dxfId="5997" priority="4283" operator="equal">
      <formula>$O$17</formula>
    </cfRule>
  </conditionalFormatting>
  <conditionalFormatting sqref="N21:N34 H21:H33 L21:L34 F21:F34">
    <cfRule type="cellIs" dxfId="5996" priority="4275" operator="equal">
      <formula>$O$10</formula>
    </cfRule>
  </conditionalFormatting>
  <conditionalFormatting sqref="N21:N36">
    <cfRule type="duplicateValues" dxfId="5995" priority="3613"/>
    <cfRule type="duplicateValues" dxfId="5994" priority="2096"/>
  </conditionalFormatting>
  <conditionalFormatting sqref="N22:N23">
    <cfRule type="duplicateValues" dxfId="5993" priority="4456"/>
    <cfRule type="duplicateValues" dxfId="5992" priority="4457"/>
    <cfRule type="duplicateValues" dxfId="5991" priority="4461"/>
  </conditionalFormatting>
  <conditionalFormatting sqref="N27">
    <cfRule type="duplicateValues" dxfId="5990" priority="1741"/>
    <cfRule type="duplicateValues" dxfId="5989" priority="1742"/>
    <cfRule type="duplicateValues" dxfId="5988" priority="1743"/>
  </conditionalFormatting>
  <conditionalFormatting sqref="N32">
    <cfRule type="duplicateValues" dxfId="5987" priority="1751"/>
    <cfRule type="duplicateValues" dxfId="5986" priority="1753"/>
    <cfRule type="duplicateValues" dxfId="5985" priority="1752"/>
  </conditionalFormatting>
  <conditionalFormatting sqref="N32:N33">
    <cfRule type="duplicateValues" dxfId="5984" priority="4582"/>
  </conditionalFormatting>
  <conditionalFormatting sqref="N34 L34">
    <cfRule type="cellIs" dxfId="5983" priority="840" operator="equal">
      <formula>$O$11</formula>
    </cfRule>
    <cfRule type="cellIs" dxfId="5982" priority="839" operator="equal">
      <formula>$O$12</formula>
    </cfRule>
    <cfRule type="cellIs" dxfId="5981" priority="841" operator="equal">
      <formula>$O$10</formula>
    </cfRule>
    <cfRule type="cellIs" dxfId="5980" priority="842" operator="equal">
      <formula>$O$9</formula>
    </cfRule>
    <cfRule type="cellIs" dxfId="5979" priority="843" operator="equal">
      <formula>$O$8</formula>
    </cfRule>
    <cfRule type="cellIs" dxfId="5978" priority="844" operator="equal">
      <formula>$O$7</formula>
    </cfRule>
    <cfRule type="cellIs" dxfId="5977" priority="845" operator="equal">
      <formula>$O$6</formula>
    </cfRule>
    <cfRule type="cellIs" dxfId="5976" priority="846" operator="equal">
      <formula>$O$5</formula>
    </cfRule>
    <cfRule type="cellIs" dxfId="5975" priority="847" operator="equal">
      <formula>$O$16</formula>
    </cfRule>
    <cfRule type="cellIs" dxfId="5974" priority="848" operator="equal">
      <formula>$O$15</formula>
    </cfRule>
    <cfRule type="cellIs" dxfId="5973" priority="849" operator="equal">
      <formula>$O$14</formula>
    </cfRule>
    <cfRule type="cellIs" dxfId="5972" priority="838" operator="equal">
      <formula>$O$13</formula>
    </cfRule>
  </conditionalFormatting>
  <conditionalFormatting sqref="N34">
    <cfRule type="duplicateValues" dxfId="5971" priority="3688"/>
    <cfRule type="cellIs" dxfId="5970" priority="3624" operator="equal">
      <formula>$O$7</formula>
    </cfRule>
    <cfRule type="cellIs" dxfId="5969" priority="3625" operator="equal">
      <formula>$O$6</formula>
    </cfRule>
    <cfRule type="cellIs" dxfId="5968" priority="3626" operator="equal">
      <formula>$O$5</formula>
    </cfRule>
    <cfRule type="duplicateValues" dxfId="5967" priority="3627"/>
    <cfRule type="cellIs" dxfId="5966" priority="3619" operator="equal">
      <formula>$O$12</formula>
    </cfRule>
    <cfRule type="cellIs" dxfId="5965" priority="3623" operator="equal">
      <formula>$O$8</formula>
    </cfRule>
    <cfRule type="duplicateValues" dxfId="5964" priority="834"/>
    <cfRule type="duplicateValues" dxfId="5963" priority="835"/>
    <cfRule type="cellIs" dxfId="5962" priority="3620" operator="equal">
      <formula>$O$11</formula>
    </cfRule>
    <cfRule type="duplicateValues" dxfId="5961" priority="837"/>
    <cfRule type="cellIs" dxfId="5960" priority="3621" operator="equal">
      <formula>$O$10</formula>
    </cfRule>
    <cfRule type="cellIs" dxfId="5959" priority="3622" operator="equal">
      <formula>$O$9</formula>
    </cfRule>
    <cfRule type="cellIs" dxfId="5958" priority="3648" operator="equal">
      <formula>$O$13</formula>
    </cfRule>
    <cfRule type="cellIs" dxfId="5957" priority="3649" operator="equal">
      <formula>$O$12</formula>
    </cfRule>
    <cfRule type="cellIs" dxfId="5956" priority="3650" operator="equal">
      <formula>$O$11</formula>
    </cfRule>
    <cfRule type="cellIs" dxfId="5955" priority="3651" operator="equal">
      <formula>$O$10</formula>
    </cfRule>
    <cfRule type="cellIs" dxfId="5954" priority="3685" operator="equal">
      <formula>$O$7</formula>
    </cfRule>
    <cfRule type="cellIs" dxfId="5953" priority="3652" operator="equal">
      <formula>$O$9</formula>
    </cfRule>
    <cfRule type="cellIs" dxfId="5952" priority="3653" operator="equal">
      <formula>$O$8</formula>
    </cfRule>
    <cfRule type="cellIs" dxfId="5951" priority="3654" operator="equal">
      <formula>$O$7</formula>
    </cfRule>
    <cfRule type="cellIs" dxfId="5950" priority="3655" operator="equal">
      <formula>$O$6</formula>
    </cfRule>
    <cfRule type="cellIs" dxfId="5949" priority="3656" operator="equal">
      <formula>$O$5</formula>
    </cfRule>
    <cfRule type="duplicateValues" dxfId="5948" priority="3657"/>
    <cfRule type="duplicateValues" dxfId="5947" priority="863"/>
    <cfRule type="cellIs" dxfId="5946" priority="3687" operator="equal">
      <formula>$O$5</formula>
    </cfRule>
    <cfRule type="cellIs" dxfId="5945" priority="3686" operator="equal">
      <formula>$O$6</formula>
    </cfRule>
    <cfRule type="cellIs" dxfId="5944" priority="3679" operator="equal">
      <formula>$O$13</formula>
    </cfRule>
    <cfRule type="cellIs" dxfId="5943" priority="3680" operator="equal">
      <formula>$O$12</formula>
    </cfRule>
    <cfRule type="cellIs" dxfId="5942" priority="3681" operator="equal">
      <formula>$O$11</formula>
    </cfRule>
    <cfRule type="cellIs" dxfId="5941" priority="3682" operator="equal">
      <formula>$O$10</formula>
    </cfRule>
    <cfRule type="cellIs" dxfId="5940" priority="3683" operator="equal">
      <formula>$O$9</formula>
    </cfRule>
    <cfRule type="cellIs" dxfId="5939" priority="3684" operator="equal">
      <formula>$O$8</formula>
    </cfRule>
    <cfRule type="cellIs" dxfId="5938" priority="3618" operator="equal">
      <formula>$O$13</formula>
    </cfRule>
  </conditionalFormatting>
  <conditionalFormatting sqref="N35">
    <cfRule type="duplicateValues" dxfId="5937" priority="256"/>
    <cfRule type="duplicateValues" dxfId="5935" priority="257"/>
    <cfRule type="duplicateValues" dxfId="5925" priority="266"/>
  </conditionalFormatting>
  <conditionalFormatting sqref="N35:N36">
    <cfRule type="cellIs" dxfId="5924" priority="245" operator="equal">
      <formula>$O$6</formula>
    </cfRule>
    <cfRule type="cellIs" dxfId="5923" priority="246" operator="equal">
      <formula>$O$5</formula>
    </cfRule>
    <cfRule type="cellIs" dxfId="5922" priority="218" operator="equal">
      <formula>$O$18</formula>
    </cfRule>
    <cfRule type="duplicateValues" dxfId="5921" priority="273"/>
    <cfRule type="duplicateValues" dxfId="5920" priority="274"/>
    <cfRule type="duplicateValues" dxfId="5919" priority="331"/>
    <cfRule type="cellIs" dxfId="5918" priority="219" operator="equal">
      <formula>$O$17</formula>
    </cfRule>
    <cfRule type="duplicateValues" dxfId="5917" priority="333"/>
    <cfRule type="duplicateValues" dxfId="5916" priority="335"/>
    <cfRule type="cellIs" dxfId="5915" priority="217" operator="equal">
      <formula>$O$10</formula>
    </cfRule>
    <cfRule type="cellIs" dxfId="5914" priority="242" operator="equal">
      <formula>$O$9</formula>
    </cfRule>
    <cfRule type="cellIs" dxfId="5913" priority="243" operator="equal">
      <formula>$O$8</formula>
    </cfRule>
    <cfRule type="cellIs" dxfId="5912" priority="220" operator="equal">
      <formula>$O$16</formula>
    </cfRule>
    <cfRule type="cellIs" dxfId="5911" priority="221" operator="equal">
      <formula>$O$15</formula>
    </cfRule>
    <cfRule type="cellIs" dxfId="5910" priority="222" operator="equal">
      <formula>$O$14</formula>
    </cfRule>
    <cfRule type="cellIs" dxfId="5909" priority="223" operator="equal">
      <formula>$O$13</formula>
    </cfRule>
    <cfRule type="cellIs" dxfId="5908" priority="224" operator="equal">
      <formula>$O$12</formula>
    </cfRule>
    <cfRule type="cellIs" dxfId="5907" priority="225" operator="equal">
      <formula>$O$11</formula>
    </cfRule>
    <cfRule type="cellIs" dxfId="5906" priority="244" operator="equal">
      <formula>$O$7</formula>
    </cfRule>
  </conditionalFormatting>
  <conditionalFormatting sqref="N36">
    <cfRule type="duplicateValues" dxfId="5904" priority="237"/>
    <cfRule type="duplicateValues" dxfId="5903" priority="226"/>
  </conditionalFormatting>
  <conditionalFormatting sqref="N38:N49">
    <cfRule type="duplicateValues" dxfId="5893" priority="1415"/>
    <cfRule type="duplicateValues" dxfId="5892" priority="1390"/>
  </conditionalFormatting>
  <conditionalFormatting sqref="N38:N50 N52:N53">
    <cfRule type="duplicateValues" dxfId="5891" priority="1254"/>
  </conditionalFormatting>
  <conditionalFormatting sqref="N38:N53">
    <cfRule type="duplicateValues" dxfId="5890" priority="976"/>
    <cfRule type="duplicateValues" dxfId="5889" priority="932"/>
  </conditionalFormatting>
  <conditionalFormatting sqref="N49">
    <cfRule type="cellIs" dxfId="5888" priority="1287" operator="equal">
      <formula>$O$8</formula>
    </cfRule>
    <cfRule type="cellIs" dxfId="5887" priority="1286" operator="equal">
      <formula>$O$9</formula>
    </cfRule>
    <cfRule type="cellIs" dxfId="5886" priority="1281" operator="equal">
      <formula>$O$17</formula>
    </cfRule>
    <cfRule type="cellIs" dxfId="5885" priority="1280" operator="equal">
      <formula>$O$18</formula>
    </cfRule>
    <cfRule type="cellIs" dxfId="5884" priority="1279" operator="equal">
      <formula>$O$10</formula>
    </cfRule>
    <cfRule type="cellIs" dxfId="5883" priority="1278" operator="equal">
      <formula>$O$11</formula>
    </cfRule>
    <cfRule type="cellIs" dxfId="5882" priority="1277" operator="equal">
      <formula>$O$12</formula>
    </cfRule>
    <cfRule type="cellIs" dxfId="5880" priority="1275" operator="equal">
      <formula>$O$14</formula>
    </cfRule>
    <cfRule type="cellIs" dxfId="5879" priority="1274" operator="equal">
      <formula>$O$15</formula>
    </cfRule>
    <cfRule type="cellIs" dxfId="5878" priority="1273" operator="equal">
      <formula>$O$16</formula>
    </cfRule>
    <cfRule type="duplicateValues" dxfId="5877" priority="1272"/>
    <cfRule type="duplicateValues" dxfId="5876" priority="1264"/>
    <cfRule type="duplicateValues" dxfId="5875" priority="1263"/>
    <cfRule type="duplicateValues" dxfId="5874" priority="1270"/>
    <cfRule type="duplicateValues" dxfId="5870" priority="1265"/>
    <cfRule type="cellIs" dxfId="5865" priority="1290" operator="equal">
      <formula>$O$5</formula>
    </cfRule>
    <cfRule type="cellIs" dxfId="5864" priority="1276" operator="equal">
      <formula>$O$13</formula>
    </cfRule>
    <cfRule type="duplicateValues" dxfId="5863" priority="1262"/>
    <cfRule type="cellIs" dxfId="5861" priority="1289" operator="equal">
      <formula>$O$6</formula>
    </cfRule>
    <cfRule type="duplicateValues" dxfId="5859" priority="1259"/>
    <cfRule type="cellIs" dxfId="5858" priority="1288" operator="equal">
      <formula>$O$7</formula>
    </cfRule>
  </conditionalFormatting>
  <conditionalFormatting sqref="N50">
    <cfRule type="duplicateValues" dxfId="5857" priority="1132"/>
    <cfRule type="duplicateValues" dxfId="5856" priority="1133"/>
    <cfRule type="cellIs" dxfId="5855" priority="1157" operator="equal">
      <formula>$O$6</formula>
    </cfRule>
    <cfRule type="cellIs" dxfId="5854" priority="1141" operator="equal">
      <formula>$O$16</formula>
    </cfRule>
    <cfRule type="cellIs" dxfId="5853" priority="1155" operator="equal">
      <formula>$O$8</formula>
    </cfRule>
    <cfRule type="cellIs" dxfId="5852" priority="1154" operator="equal">
      <formula>$O$9</formula>
    </cfRule>
    <cfRule type="cellIs" dxfId="5851" priority="1149" operator="equal">
      <formula>$O$17</formula>
    </cfRule>
    <cfRule type="cellIs" dxfId="5850" priority="1144" operator="equal">
      <formula>$O$13</formula>
    </cfRule>
    <cfRule type="cellIs" dxfId="5849" priority="1148" operator="equal">
      <formula>$O$18</formula>
    </cfRule>
    <cfRule type="cellIs" dxfId="5848" priority="1147" operator="equal">
      <formula>$O$10</formula>
    </cfRule>
    <cfRule type="cellIs" dxfId="5847" priority="1146" operator="equal">
      <formula>$O$11</formula>
    </cfRule>
    <cfRule type="cellIs" dxfId="5846" priority="1145" operator="equal">
      <formula>$O$12</formula>
    </cfRule>
    <cfRule type="duplicateValues" dxfId="5841" priority="1138"/>
    <cfRule type="duplicateValues" dxfId="5840" priority="1140"/>
    <cfRule type="cellIs" dxfId="5839" priority="1142" operator="equal">
      <formula>$O$15</formula>
    </cfRule>
    <cfRule type="cellIs" dxfId="5838" priority="1143" operator="equal">
      <formula>$O$14</formula>
    </cfRule>
    <cfRule type="cellIs" dxfId="5837" priority="1156" operator="equal">
      <formula>$O$7</formula>
    </cfRule>
    <cfRule type="duplicateValues" dxfId="5833" priority="1127"/>
    <cfRule type="duplicateValues" dxfId="5830" priority="1130"/>
    <cfRule type="duplicateValues" dxfId="5829" priority="1131"/>
    <cfRule type="cellIs" dxfId="5827" priority="1158" operator="equal">
      <formula>$O$5</formula>
    </cfRule>
  </conditionalFormatting>
  <conditionalFormatting sqref="N51">
    <cfRule type="duplicateValues" dxfId="5826" priority="988"/>
    <cfRule type="duplicateValues" dxfId="5825" priority="987"/>
    <cfRule type="duplicateValues" dxfId="5824" priority="986"/>
    <cfRule type="duplicateValues" dxfId="5823" priority="985"/>
    <cfRule type="duplicateValues" dxfId="5820" priority="982"/>
    <cfRule type="duplicateValues" dxfId="5818" priority="993"/>
    <cfRule type="duplicateValues" dxfId="5817" priority="995"/>
    <cfRule type="cellIs" dxfId="5814" priority="996" operator="equal">
      <formula>$O$16</formula>
    </cfRule>
    <cfRule type="cellIs" dxfId="5813" priority="1009" operator="equal">
      <formula>$O$9</formula>
    </cfRule>
    <cfRule type="cellIs" dxfId="5812" priority="1004" operator="equal">
      <formula>$O$17</formula>
    </cfRule>
    <cfRule type="cellIs" dxfId="5811" priority="1010" operator="equal">
      <formula>$O$8</formula>
    </cfRule>
    <cfRule type="cellIs" dxfId="5810" priority="1012" operator="equal">
      <formula>$O$6</formula>
    </cfRule>
    <cfRule type="cellIs" dxfId="5809" priority="997" operator="equal">
      <formula>$O$15</formula>
    </cfRule>
    <cfRule type="cellIs" dxfId="5808" priority="998" operator="equal">
      <formula>$O$14</formula>
    </cfRule>
    <cfRule type="cellIs" dxfId="5807" priority="1003" operator="equal">
      <formula>$O$18</formula>
    </cfRule>
    <cfRule type="cellIs" dxfId="5806" priority="999" operator="equal">
      <formula>$O$13</formula>
    </cfRule>
    <cfRule type="cellIs" dxfId="5805" priority="1000" operator="equal">
      <formula>$O$12</formula>
    </cfRule>
    <cfRule type="cellIs" dxfId="5804" priority="1001" operator="equal">
      <formula>$O$11</formula>
    </cfRule>
    <cfRule type="duplicateValues" dxfId="5803" priority="1097"/>
    <cfRule type="cellIs" dxfId="5802" priority="1002" operator="equal">
      <formula>$O$10</formula>
    </cfRule>
    <cfRule type="cellIs" dxfId="5797" priority="1013" operator="equal">
      <formula>$O$5</formula>
    </cfRule>
    <cfRule type="cellIs" dxfId="5795" priority="1011" operator="equal">
      <formula>$O$7</formula>
    </cfRule>
  </conditionalFormatting>
  <conditionalFormatting sqref="N52">
    <cfRule type="duplicateValues" dxfId="5794" priority="453"/>
    <cfRule type="duplicateValues" dxfId="5793" priority="456"/>
  </conditionalFormatting>
  <conditionalFormatting sqref="N52:N53">
    <cfRule type="containsText" dxfId="5792" priority="450" operator="containsText" text="(HEM)">
      <formula>NOT(ISERROR(SEARCH("(HEM)",N52)))</formula>
    </cfRule>
    <cfRule type="containsText" dxfId="5791" priority="451" operator="containsText" text="(SV)">
      <formula>NOT(ISERROR(SEARCH("(SV)",N52)))</formula>
    </cfRule>
    <cfRule type="duplicateValues" dxfId="5790" priority="457"/>
    <cfRule type="cellIs" dxfId="5789" priority="458" operator="equal">
      <formula>$O$13</formula>
    </cfRule>
    <cfRule type="duplicateValues" dxfId="5788" priority="487"/>
    <cfRule type="duplicateValues" dxfId="5787" priority="486"/>
    <cfRule type="duplicateValues" dxfId="5786" priority="485"/>
    <cfRule type="duplicateValues" dxfId="5785" priority="484"/>
    <cfRule type="duplicateValues" dxfId="5784" priority="483"/>
    <cfRule type="duplicateValues" dxfId="5783" priority="482"/>
    <cfRule type="duplicateValues" dxfId="5782" priority="454"/>
    <cfRule type="duplicateValues" dxfId="5781" priority="481"/>
    <cfRule type="duplicateValues" dxfId="5771" priority="470"/>
    <cfRule type="cellIs" dxfId="5770" priority="469" operator="equal">
      <formula>$O$17</formula>
    </cfRule>
    <cfRule type="cellIs" dxfId="5769" priority="468" operator="equal">
      <formula>$O$18</formula>
    </cfRule>
    <cfRule type="cellIs" dxfId="5768" priority="466" operator="equal">
      <formula>$O$5</formula>
    </cfRule>
    <cfRule type="cellIs" dxfId="5767" priority="465" operator="equal">
      <formula>$O$6</formula>
    </cfRule>
    <cfRule type="cellIs" dxfId="5766" priority="464" operator="equal">
      <formula>$O$7</formula>
    </cfRule>
    <cfRule type="cellIs" dxfId="5765" priority="463" operator="equal">
      <formula>$O$8</formula>
    </cfRule>
    <cfRule type="cellIs" dxfId="5764" priority="462" operator="equal">
      <formula>$O$9</formula>
    </cfRule>
    <cfRule type="cellIs" dxfId="5763" priority="461" operator="equal">
      <formula>$O$10</formula>
    </cfRule>
    <cfRule type="cellIs" dxfId="5762" priority="460" operator="equal">
      <formula>$O$11</formula>
    </cfRule>
    <cfRule type="cellIs" dxfId="5761" priority="459" operator="equal">
      <formula>$O$12</formula>
    </cfRule>
  </conditionalFormatting>
  <conditionalFormatting sqref="N53">
    <cfRule type="duplicateValues" dxfId="5759" priority="452"/>
    <cfRule type="duplicateValues" dxfId="5758" priority="455"/>
  </conditionalFormatting>
  <conditionalFormatting sqref="O75:O79">
    <cfRule type="duplicateValues" dxfId="5757" priority="2520"/>
  </conditionalFormatting>
  <conditionalFormatting sqref="Q75 Q77:Q79">
    <cfRule type="duplicateValues" dxfId="5756" priority="2519"/>
  </conditionalFormatting>
  <conditionalFormatting sqref="S64:S70 V4:V59">
    <cfRule type="colorScale" priority="5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5:S79">
    <cfRule type="duplicateValues" dxfId="5755" priority="2518"/>
  </conditionalFormatting>
  <conditionalFormatting sqref="S89:S92">
    <cfRule type="duplicateValues" dxfId="5754" priority="951"/>
  </conditionalFormatting>
  <conditionalFormatting sqref="U75 U77:U79">
    <cfRule type="duplicateValues" dxfId="5753" priority="2517"/>
  </conditionalFormatting>
  <conditionalFormatting sqref="W75:W79">
    <cfRule type="duplicateValues" dxfId="5752" priority="2516"/>
  </conditionalFormatting>
  <conditionalFormatting sqref="W88">
    <cfRule type="duplicateValues" dxfId="5751" priority="947"/>
  </conditionalFormatting>
  <conditionalFormatting sqref="W89:W90 W92">
    <cfRule type="duplicateValues" dxfId="5750" priority="946"/>
  </conditionalFormatting>
  <conditionalFormatting sqref="Y75:Y79">
    <cfRule type="duplicateValues" dxfId="5749" priority="2515"/>
  </conditionalFormatting>
  <conditionalFormatting sqref="AA74:AA77 AA79">
    <cfRule type="duplicateValues" dxfId="5748" priority="2514"/>
  </conditionalFormatting>
  <conditionalFormatting sqref="AA78">
    <cfRule type="duplicateValues" dxfId="5747" priority="2513"/>
  </conditionalFormatting>
  <dataValidations count="51">
    <dataValidation type="list" allowBlank="1" showInputMessage="1" sqref="H24 N24 L24 F24" xr:uid="{00000000-0002-0000-0000-000000000000}">
      <formula1>$G$88:$G$94</formula1>
    </dataValidation>
    <dataValidation type="list" allowBlank="1" showInputMessage="1" sqref="F26 N26 L26 H26" xr:uid="{00000000-0002-0000-0000-000001000000}">
      <formula1>$K$88:$K$94</formula1>
    </dataValidation>
    <dataValidation type="list" allowBlank="1" showInputMessage="1" sqref="F22 L22 H22 N22" xr:uid="{00000000-0002-0000-0000-000002000000}">
      <formula1>$C$88:$C$95</formula1>
    </dataValidation>
    <dataValidation type="list" allowBlank="1" showInputMessage="1" sqref="F28 L28 H28 N28" xr:uid="{00000000-0002-0000-0000-000003000000}">
      <formula1>$O$88:$O$95</formula1>
    </dataValidation>
    <dataValidation type="list" allowBlank="1" showInputMessage="1" sqref="F29 L29 H29 N29" xr:uid="{00000000-0002-0000-0000-000004000000}">
      <formula1>$Q$88:$Q$94</formula1>
    </dataValidation>
    <dataValidation type="list" allowBlank="1" showInputMessage="1" sqref="F30 L30 H30 N30" xr:uid="{00000000-0002-0000-0000-000005000000}">
      <formula1>$S$88:$S$95</formula1>
    </dataValidation>
    <dataValidation type="list" allowBlank="1" showInputMessage="1" sqref="N31 L31 H31 F31" xr:uid="{00000000-0002-0000-0000-000006000000}">
      <formula1>$U$88:$U$95</formula1>
    </dataValidation>
    <dataValidation type="list" allowBlank="1" showInputMessage="1" sqref="F33 L33 H33 N33" xr:uid="{00000000-0002-0000-0000-000007000000}">
      <formula1>$Y$88:$Y$95</formula1>
    </dataValidation>
    <dataValidation type="list" allowBlank="1" showInputMessage="1" sqref="F21 L21 H21 N21" xr:uid="{00000000-0002-0000-0000-000008000000}">
      <formula1>$A$88:$A$95</formula1>
    </dataValidation>
    <dataValidation type="list" allowBlank="1" showInputMessage="1" sqref="F23 N23 L23 H23" xr:uid="{00000000-0002-0000-0000-000009000000}">
      <formula1>$E$88:$E$95</formula1>
    </dataValidation>
    <dataValidation type="list" allowBlank="1" showInputMessage="1" sqref="F25 H25 L25 N25" xr:uid="{00000000-0002-0000-0000-00000A000000}">
      <formula1>$I$88:$I$95</formula1>
    </dataValidation>
    <dataValidation type="list" allowBlank="1" showInputMessage="1" sqref="N17 F17 H17 L17" xr:uid="{00000000-0002-0000-0000-00000B000000}">
      <formula1>$Y$100:$Y$107</formula1>
    </dataValidation>
    <dataValidation type="list" allowBlank="1" showInputMessage="1" sqref="F14 N14 L14 H14" xr:uid="{00000000-0002-0000-0000-00000C000000}">
      <formula1>$S$100:$S$106</formula1>
    </dataValidation>
    <dataValidation type="list" allowBlank="1" showInputMessage="1" sqref="F5 N5 L5 H5" xr:uid="{00000000-0002-0000-0000-00000D000000}">
      <formula1>$A$100:$A$107</formula1>
    </dataValidation>
    <dataValidation type="list" allowBlank="1" showInputMessage="1" sqref="F11 H11 N11 L11" xr:uid="{00000000-0002-0000-0000-00000E000000}">
      <formula1>$M$100:$M$107</formula1>
    </dataValidation>
    <dataValidation type="list" allowBlank="1" showInputMessage="1" sqref="F12 H12 L12 N12" xr:uid="{00000000-0002-0000-0000-00000F000000}">
      <formula1>$O$100:$O$107</formula1>
    </dataValidation>
    <dataValidation type="list" allowBlank="1" showInputMessage="1" sqref="F13 H13 L13 N13" xr:uid="{00000000-0002-0000-0000-000010000000}">
      <formula1>$Q$100:$Q$107</formula1>
    </dataValidation>
    <dataValidation type="list" allowBlank="1" showInputMessage="1" sqref="N16 L16 F16 H16" xr:uid="{00000000-0002-0000-0000-000011000000}">
      <formula1>$W$100:$W$107</formula1>
    </dataValidation>
    <dataValidation type="list" allowBlank="1" showInputMessage="1" sqref="F7 H7 L7 N7" xr:uid="{00000000-0002-0000-0000-000012000000}">
      <formula1>$E$100:$E$107</formula1>
    </dataValidation>
    <dataValidation type="list" allowBlank="1" showInputMessage="1" sqref="F6 H6 L6 N6" xr:uid="{00000000-0002-0000-0000-000013000000}">
      <formula1>$C$100:$C$107</formula1>
    </dataValidation>
    <dataValidation type="list" allowBlank="1" showInputMessage="1" sqref="F8 H8 L8 N8" xr:uid="{00000000-0002-0000-0000-000014000000}">
      <formula1>$G$100:$G$107</formula1>
    </dataValidation>
    <dataValidation type="list" allowBlank="1" showInputMessage="1" sqref="F9 H9 L9 N9" xr:uid="{00000000-0002-0000-0000-000015000000}">
      <formula1>$I$100:$I$107</formula1>
    </dataValidation>
    <dataValidation type="list" allowBlank="1" showInputMessage="1" sqref="F10 H10 L10 N10" xr:uid="{00000000-0002-0000-0000-000016000000}">
      <formula1>$K$100:$K$107</formula1>
    </dataValidation>
    <dataValidation type="list" allowBlank="1" showInputMessage="1" sqref="F15 H15 L15 N15" xr:uid="{00000000-0002-0000-0000-000017000000}">
      <formula1>$U$100:$U$107</formula1>
    </dataValidation>
    <dataValidation type="list" allowBlank="1" showInputMessage="1" sqref="F34 H34 L34 N34" xr:uid="{00000000-0002-0000-0000-000018000000}">
      <formula1>$AA$88:$AA$94</formula1>
    </dataValidation>
    <dataValidation type="list" allowBlank="1" showInputMessage="1" sqref="F32 H32 L32 N32" xr:uid="{00000000-0002-0000-0000-000019000000}">
      <formula1>$W$88:$W$95</formula1>
    </dataValidation>
    <dataValidation type="list" allowBlank="1" showInputMessage="1" sqref="F27 H27 L27 N27" xr:uid="{00000000-0002-0000-0000-00001A000000}">
      <formula1>$M$88:$M$95</formula1>
    </dataValidation>
    <dataValidation type="list" allowBlank="1" showInputMessage="1" showErrorMessage="1" sqref="N51 F51 H51 L51" xr:uid="{00000000-0002-0000-0000-00001B000000}">
      <formula1>$AA$74:$AA$79</formula1>
    </dataValidation>
    <dataValidation type="list" allowBlank="1" showInputMessage="1" showErrorMessage="1" sqref="N50 F50 H50 L50" xr:uid="{00000000-0002-0000-0000-00001C000000}">
      <formula1>$Y$74:$Y$79</formula1>
    </dataValidation>
    <dataValidation type="list" allowBlank="1" showInputMessage="1" showErrorMessage="1" sqref="N49 F49 H49 L49" xr:uid="{00000000-0002-0000-0000-00001D000000}">
      <formula1>$W$74:$W$79</formula1>
    </dataValidation>
    <dataValidation type="list" allowBlank="1" showInputMessage="1" showErrorMessage="1" sqref="N48 L48 H48 F48" xr:uid="{00000000-0002-0000-0000-00001E000000}">
      <formula1>$U$74:$U$79</formula1>
    </dataValidation>
    <dataValidation type="list" allowBlank="1" showInputMessage="1" showErrorMessage="1" sqref="N47 F47 H47 L47" xr:uid="{00000000-0002-0000-0000-00001F000000}">
      <formula1>$S$74:$S$79</formula1>
    </dataValidation>
    <dataValidation type="list" allowBlank="1" showInputMessage="1" showErrorMessage="1" sqref="N46 F46 H46 L46" xr:uid="{00000000-0002-0000-0000-000020000000}">
      <formula1>$Q$74:$Q$79</formula1>
    </dataValidation>
    <dataValidation type="list" allowBlank="1" showInputMessage="1" showErrorMessage="1" sqref="N45 F45 H45" xr:uid="{00000000-0002-0000-0000-000021000000}">
      <formula1>$O$74:$O$79</formula1>
    </dataValidation>
    <dataValidation type="list" allowBlank="1" showInputMessage="1" showErrorMessage="1" sqref="N44 F44 H44 L44" xr:uid="{00000000-0002-0000-0000-000022000000}">
      <formula1>$M$74:$M$79</formula1>
    </dataValidation>
    <dataValidation type="list" allowBlank="1" showInputMessage="1" showErrorMessage="1" sqref="N43 F43 H43 L43" xr:uid="{00000000-0002-0000-0000-000023000000}">
      <formula1>$K$74:$K$79</formula1>
    </dataValidation>
    <dataValidation type="list" allowBlank="1" showInputMessage="1" showErrorMessage="1" sqref="N42 F42 H42 L42" xr:uid="{00000000-0002-0000-0000-000024000000}">
      <formula1>$I$74:$I$79</formula1>
    </dataValidation>
    <dataValidation type="list" allowBlank="1" showInputMessage="1" showErrorMessage="1" sqref="N41 F41 L41 H41" xr:uid="{00000000-0002-0000-0000-000025000000}">
      <formula1>$G$74:$G$79</formula1>
    </dataValidation>
    <dataValidation type="list" allowBlank="1" showInputMessage="1" showErrorMessage="1" sqref="N40 F40 H40 L40" xr:uid="{00000000-0002-0000-0000-000026000000}">
      <formula1>$E$74:$E$79</formula1>
    </dataValidation>
    <dataValidation type="list" allowBlank="1" showInputMessage="1" showErrorMessage="1" sqref="N39 F39 H39 L39" xr:uid="{00000000-0002-0000-0000-000027000000}">
      <formula1>$C$74:$C$79</formula1>
    </dataValidation>
    <dataValidation type="list" allowBlank="1" showInputMessage="1" showErrorMessage="1" sqref="N38 F38 H38 L38" xr:uid="{00000000-0002-0000-0000-000028000000}">
      <formula1>$A$74:$A$79</formula1>
    </dataValidation>
    <dataValidation type="list" allowBlank="1" showInputMessage="1" showErrorMessage="1" sqref="L45" xr:uid="{00000000-0002-0000-0000-000029000000}">
      <formula1>$O$74:$O$80</formula1>
    </dataValidation>
    <dataValidation type="list" allowBlank="1" showInputMessage="1" showErrorMessage="1" sqref="E35:E36 M35:M36 K35:K36 G35:G36" xr:uid="{00000000-0002-0000-0000-00002A000000}">
      <formula1>$AD$87:$AD$94</formula1>
    </dataValidation>
    <dataValidation type="list" allowBlank="1" showInputMessage="1" showErrorMessage="1" sqref="F35:F36 N35:N36 H35:H36" xr:uid="{00000000-0002-0000-0000-00002B000000}">
      <formula1>$AC$87:$AC$94</formula1>
    </dataValidation>
    <dataValidation type="list" allowBlank="1" showInputMessage="1" showErrorMessage="1" sqref="L35:L36" xr:uid="{00000000-0002-0000-0000-00002C000000}">
      <formula1>$AC$87:$AC$95</formula1>
    </dataValidation>
    <dataValidation type="list" allowBlank="1" showInputMessage="1" showErrorMessage="1" sqref="F52:F53 N52:N53 L52:L53 H52:H53" xr:uid="{00000000-0002-0000-0000-00002D000000}">
      <formula1>$AC$73:$AC$82</formula1>
    </dataValidation>
    <dataValidation type="list" allowBlank="1" showInputMessage="1" showErrorMessage="1" sqref="E52:E53 M52:M53 K52:K53 G52:G53" xr:uid="{00000000-0002-0000-0000-00002E000000}">
      <formula1>$AD$73:$AD$82</formula1>
    </dataValidation>
    <dataValidation type="list" allowBlank="1" showInputMessage="1" showErrorMessage="1" sqref="E18:E19 M18:M19 K18:K19" xr:uid="{00000000-0002-0000-0000-00002F000000}">
      <formula1>$AB$99:$AB$106</formula1>
    </dataValidation>
    <dataValidation type="list" allowBlank="1" showInputMessage="1" showErrorMessage="1" sqref="F18:F19 N18:N19 L18:L19 H18:H19" xr:uid="{00000000-0002-0000-0000-000030000000}">
      <formula1>$AA$99:$AA$106</formula1>
    </dataValidation>
    <dataValidation type="list" allowBlank="1" showInputMessage="1" showErrorMessage="1" sqref="G18" xr:uid="{00000000-0002-0000-0000-000031000000}">
      <formula1>"$AB$99:$AB$107"</formula1>
    </dataValidation>
    <dataValidation type="list" allowBlank="1" showInputMessage="1" showErrorMessage="1" sqref="G19" xr:uid="{00000000-0002-0000-0000-000032000000}">
      <formula1>$AB$99:$AB$107</formula1>
    </dataValidation>
  </dataValidations>
  <pageMargins left="0.2" right="0.2" top="0.2" bottom="0.1" header="0.5" footer="0.5"/>
  <pageSetup scale="85" orientation="landscape" r:id="rId1"/>
  <ignoredErrors>
    <ignoredError sqref="AE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43" operator="containsText" id="{AD2958BF-2865-4815-89D3-B96C8C0D8425}">
            <xm:f>NOT(ISERROR(SEARCH($O$12,F5)))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4" operator="containsText" id="{0CACE0E6-94E6-4FD2-BFC8-F1C9DC706DD4}">
            <xm:f>NOT(ISERROR(SEARCH($O$13,F5)))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5" operator="containsText" id="{26E65DFE-0C81-426C-91BA-6E44F78C49BB}">
            <xm:f>NOT(ISERROR(SEARCH($O$14,F5)))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065" operator="containsText" id="{92D26A86-0636-4963-9450-8089D6317409}">
            <xm:f>NOT(ISERROR(SEARCH($O$15,F5)))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2" operator="containsText" id="{5129AFA8-1846-44EE-807E-923ADBF6112B}">
            <xm:f>NOT(ISERROR(SEARCH($O$11,F5)))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F5:F16 H5:H16 L5:L16 N5:N14 N16</xm:sqref>
        </x14:conditionalFormatting>
        <x14:conditionalFormatting xmlns:xm="http://schemas.microsoft.com/office/excel/2006/main">
          <x14:cfRule type="containsText" priority="3037" operator="containsText" id="{902B2378-0D7E-4789-A346-5756C69FE7FC}">
            <xm:f>NOT(ISERROR(SEARCH($O$5,F5)))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38" operator="containsText" id="{2ED875B7-694E-4EAB-B6E0-B3193709E061}">
            <xm:f>NOT(ISERROR(SEARCH($O$6,F5)))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039" operator="containsText" id="{9D885CE4-B639-41AE-91F9-37957B6841AE}">
            <xm:f>NOT(ISERROR(SEARCH($O$7,F5)))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0" operator="containsText" id="{3C74881A-7BD6-49C1-94AE-0B71A6244AB5}">
            <xm:f>NOT(ISERROR(SEARCH($O$8,F5)))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1" operator="containsText" id="{B34B903F-07C3-4B47-A2DF-712ADA398FC0}">
            <xm:f>NOT(ISERROR(SEARCH($O$9,F5)))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F5:F16 H5:H16 L5:L16</xm:sqref>
        </x14:conditionalFormatting>
        <x14:conditionalFormatting xmlns:xm="http://schemas.microsoft.com/office/excel/2006/main">
          <x14:cfRule type="containsText" priority="211" operator="containsText" id="{D799007E-0448-4AB8-8962-6ED50536484A}">
            <xm:f>NOT(ISERROR(SEARCH($O$15,F18)))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" operator="containsText" id="{B77A9129-2CA2-4E01-A710-E88E10A918C3}">
            <xm:f>NOT(ISERROR(SEARCH($O$5,F18)))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" operator="containsText" id="{FD0B95EE-481F-4066-A59E-55F6236E3820}">
            <xm:f>NOT(ISERROR(SEARCH($O$14,F18)))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8" operator="containsText" id="{B12B1C86-C482-40C1-9CE9-D49E11158B84}">
            <xm:f>NOT(ISERROR(SEARCH($O$12,F18)))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" operator="containsText" id="{6242CEF0-C5FC-451C-BCE7-EA133EEC0EB1}">
            <xm:f>NOT(ISERROR(SEARCH($O$11,F18)))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6" operator="containsText" id="{B32FA2C6-D058-400D-A6D9-49223C92CB91}">
            <xm:f>NOT(ISERROR(SEARCH($O$9,F18)))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" operator="containsText" id="{88E14BC8-43D4-4204-86D0-2F8F15A09506}">
            <xm:f>NOT(ISERROR(SEARCH($O$8,F18)))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04" operator="containsText" id="{7E4A446B-2F26-48E3-98B1-A64F31B9883A}">
            <xm:f>NOT(ISERROR(SEARCH($O$7,F18)))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" operator="containsText" id="{E1A9329A-E7AD-4E34-A5DB-553EA487412A}">
            <xm:f>NOT(ISERROR(SEARCH($O$6,F18)))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" operator="containsText" id="{01639894-A9C0-4D50-890A-4A2C6CD7854A}">
            <xm:f>NOT(ISERROR(SEARCH($O$13,F18)))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4972" operator="containsText" id="{C08EEB07-6224-4001-962A-619B62AB4475}">
            <xm:f>NOT(ISERROR(SEARCH($O$15,F21)))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240" operator="containsText" id="{7D544364-C96E-4882-BAC9-27B1DC3080C7}">
            <xm:f>NOT(ISERROR(SEARCH($O$11,F21)))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F21:F33 H21:H33 L21:L33 N21:N33</xm:sqref>
        </x14:conditionalFormatting>
        <x14:conditionalFormatting xmlns:xm="http://schemas.microsoft.com/office/excel/2006/main">
          <x14:cfRule type="containsText" priority="1737" operator="containsText" id="{050F0F52-3521-4DEC-8EAF-BCE1959659D0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33" operator="containsText" id="{6F18A80D-FDE0-40BF-AE2F-9F12515AB955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2" operator="containsText" id="{02E836CF-5438-4A30-AAEB-6F8749D5365E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08" operator="containsText" id="{EA8F058B-CC68-4709-B2EA-AAB44C680E61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921" operator="containsText" id="{40A70D71-84F1-4A59-8C3F-16C397BEFF7B}">
            <xm:f>NOT(ISERROR(SEARCH($O$11,F34)))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911" operator="containsText" id="{092DBD28-2FD1-4C5D-B799-BB61132B0A16}">
            <xm:f>NOT(ISERROR(SEARCH($O$14,F34)))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12" operator="containsText" id="{F3257E22-D021-4137-9956-D47086CF8461}">
            <xm:f>NOT(ISERROR(SEARCH($O$13,F34)))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13" operator="containsText" id="{D2AAEAE0-A18D-4DDD-9932-63EA972B12E7}">
            <xm:f>NOT(ISERROR(SEARCH($O$12,F34)))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914" operator="containsText" id="{68C39343-81BE-4F4E-896D-206533498844}">
            <xm:f>NOT(ISERROR(SEARCH($O$9,F34)))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15" operator="containsText" id="{1247CEBE-9039-4C90-BE35-76FAE4C93BF1}">
            <xm:f>NOT(ISERROR(SEARCH($O$8,F34)))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16" operator="containsText" id="{CB957430-2481-4996-8565-5E19799DC0A6}">
            <xm:f>NOT(ISERROR(SEARCH($O$7,F34)))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917" operator="containsText" id="{EA6DEE52-5B17-4C34-9F29-08D65E03C6AE}">
            <xm:f>NOT(ISERROR(SEARCH($O$6,F34)))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18" operator="containsText" id="{FD01C002-8C54-4039-926A-07B7467720B4}">
            <xm:f>NOT(ISERROR(SEARCH($O$5,F34)))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920" operator="containsText" id="{FF3E1272-00CF-4D9D-B7E1-D0E150F13A4F}">
            <xm:f>NOT(ISERROR(SEARCH($O$15,F34)))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442" operator="containsText" id="{3731F742-147E-4050-9344-3002744B8600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40" operator="containsText" id="{920431DD-A0FC-438E-B785-6CCCC561AFF7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39" operator="containsText" id="{AE65669A-3B38-425C-B76B-9F62771468A4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38" operator="containsText" id="{68382769-08A2-4FF4-B29A-8102C250ABCB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41" operator="containsText" id="{1BEE991C-B757-482F-9CCA-8F3E5B4479DF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" operator="containsText" id="{E3C61EAD-31DB-4EF6-9C9B-5F7710BDB8CA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37" operator="containsText" id="{7ED8A760-B016-4B87-A8CB-88A483B88DAF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36" operator="containsText" id="{121E16D5-6756-416C-B500-29163AD51DA7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44" operator="containsText" id="{3F974660-C853-4F00-98F9-F2DE9D3F1411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45" operator="containsText" id="{680D74FC-D569-4B1D-9764-E03D4C5D14A5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10" operator="containsText" id="{3320BFDB-6300-4271-8A2F-0A94409957C0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07" operator="containsText" id="{6AAD2FB0-4985-4A40-8716-A1343C694135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09" operator="containsText" id="{55935E1D-023B-44EE-AF30-A43462C546F6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08" operator="containsText" id="{12C4E3D7-F4E9-47F5-95AA-BF2D536D78CD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11" operator="containsText" id="{92A3206B-3EF7-47BF-A781-E73A285B3173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12" operator="containsText" id="{978D2544-2B97-4038-9970-393CF8A79D0F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13" operator="containsText" id="{844D5691-C855-4ED5-8E72-B95CBC777514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04" operator="containsText" id="{50EA15CD-A029-45B7-9C97-4EC8097BD788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05" operator="containsText" id="{D6DAEA18-337A-4536-A78C-9D6CE34CA76C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06" operator="containsText" id="{03BCE545-29B0-4F69-9670-C801A5E2849C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1429" operator="containsText" id="{50B2D17B-CB8F-4B89-982E-FE911DA644BF}">
            <xm:f>NOT(ISERROR(SEARCH($O$13,F38)))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2" operator="containsText" id="{3B83CDE9-926D-4121-93D8-E21E63580AAA}">
            <xm:f>NOT(ISERROR(SEARCH($O$8,F38)))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8" operator="containsText" id="{79EFE4CE-99AA-4896-96E4-00937A5C50A5}">
            <xm:f>NOT(ISERROR(SEARCH($O$7,F38)))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7" operator="containsText" id="{FCB5756A-D2C2-4A02-B3AE-01A6F8189F76}">
            <xm:f>NOT(ISERROR(SEARCH($O$15,F38)))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6" operator="containsText" id="{C8647DFB-97AE-4587-BBBD-050669B753AE}">
            <xm:f>NOT(ISERROR(SEARCH($O$14,F38)))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5" operator="containsText" id="{39A8DD06-B7CC-4705-94F9-822B4EB127FB}">
            <xm:f>NOT(ISERROR(SEARCH($O$12,F38)))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4" operator="containsText" id="{4C5271D8-E919-4985-B51D-89D13CF9A02D}">
            <xm:f>NOT(ISERROR(SEARCH($O$11,F38)))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3" operator="containsText" id="{163555F0-1F57-429F-889C-7D5BE15CFB85}">
            <xm:f>NOT(ISERROR(SEARCH($O$9,F38)))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1" operator="containsText" id="{452CA04E-0B17-46CA-A6C0-BB3E1A302ED0}">
            <xm:f>NOT(ISERROR(SEARCH($O$6,F38)))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420" operator="containsText" id="{13E1AE8A-3CF1-4477-AC55-7FD73DFF41E2}">
            <xm:f>NOT(ISERROR(SEARCH($O$5,F38)))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1346" operator="containsText" id="{0A3AA1E7-8E9F-4A65-9501-9FCBFF14367B}">
            <xm:f>NOT(ISERROR(SEARCH($O$8,F49)))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344" operator="containsText" id="{2C504BA9-5C4D-42CC-B4FB-BACB26F8A94D}">
            <xm:f>NOT(ISERROR(SEARCH($O$6,F49)))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345" operator="containsText" id="{2EA0197A-23CD-476A-B9EA-CC4702EF6F8F}">
            <xm:f>NOT(ISERROR(SEARCH($O$7,F49)))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347" operator="containsText" id="{34279B8C-E8A9-4D9C-852E-A87C366B2013}">
            <xm:f>NOT(ISERROR(SEARCH($O$9,F49)))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1213" operator="containsText" id="{D1E06617-312C-4011-99A2-435871F92C3D}">
            <xm:f>NOT(ISERROR(SEARCH($O$7,F50)))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215" operator="containsText" id="{3587DEA5-A371-4864-A6C4-DCFF7D7B52C4}">
            <xm:f>NOT(ISERROR(SEARCH($O$9,F50)))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212" operator="containsText" id="{E5E9A42D-7FD6-47A8-AF08-263BE4192A99}">
            <xm:f>NOT(ISERROR(SEARCH($O$6,F50)))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214" operator="containsText" id="{ABF50EA2-E34C-44B0-9AF3-70918BFD6882}">
            <xm:f>NOT(ISERROR(SEARCH($O$8,F50)))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070" operator="containsText" id="{811E8575-31B4-4C8E-9BF4-B6FAAE811204}">
            <xm:f>NOT(ISERROR(SEARCH($O$9,F51)))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9" operator="containsText" id="{190F784D-0373-4D7E-8672-6072D684E470}">
            <xm:f>NOT(ISERROR(SEARCH($O$8,F51)))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8" operator="containsText" id="{70AA42E8-83D6-4C50-ACD2-17276B8A60B9}">
            <xm:f>NOT(ISERROR(SEARCH($O$7,F51)))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7" operator="containsText" id="{635D327A-D335-447E-905F-ACB62840DBA4}">
            <xm:f>NOT(ISERROR(SEARCH($O$6,F51)))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579" operator="containsText" id="{FA3C50C9-1974-49AF-B289-DD3CC82022D6}">
            <xm:f>NOT(ISERROR(SEARCH($O$5,F52)))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85" operator="containsText" id="{5CD2CE8A-94E5-4542-A23D-8225503B754D}">
            <xm:f>NOT(ISERROR(SEARCH($O$14,F52)))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80" operator="containsText" id="{24821290-195D-4F2F-BA19-A2AF8BC26CD8}">
            <xm:f>NOT(ISERROR(SEARCH($O$6,F52)))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81" operator="containsText" id="{83BBF70A-0133-4FD5-AA87-E68BA0557C91}">
            <xm:f>NOT(ISERROR(SEARCH($O$8,F52)))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82" operator="containsText" id="{B0A792E8-1687-4C32-AAB5-0E7C1C62A785}">
            <xm:f>NOT(ISERROR(SEARCH($O$9,F52)))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83" operator="containsText" id="{57632A2A-1546-4999-8E79-AC22C1849F81}">
            <xm:f>NOT(ISERROR(SEARCH($O$11,F52)))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84" operator="containsText" id="{B7EBF1D3-A4B4-4146-BEB2-EAF8CDB25A04}">
            <xm:f>NOT(ISERROR(SEARCH($O$12,F52)))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86" operator="containsText" id="{0F4EBAAD-38A2-4E48-AEE5-14749715018C}">
            <xm:f>NOT(ISERROR(SEARCH($O$15,F52)))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87" operator="containsText" id="{7D74005A-C10C-4DA0-B624-1108D8F27968}">
            <xm:f>NOT(ISERROR(SEARCH($O$7,F52)))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88" operator="containsText" id="{2CC47E5E-945F-4467-9590-E920DAC6188D}">
            <xm:f>NOT(ISERROR(SEARCH($O$13,F52)))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168" operator="containsText" id="{E49B0D76-4048-4F44-AEA0-469954179FD9}">
            <xm:f>NOT(ISERROR(SEARCH($O$6,H18)))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76" operator="containsText" id="{FE8633E1-2BCA-42C7-BB12-0A42C8768E07}">
            <xm:f>NOT(ISERROR(SEARCH($O$15,H18)))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75" operator="containsText" id="{162D46C3-4272-4DF1-8BCE-DF7C106A42D9}">
            <xm:f>NOT(ISERROR(SEARCH($O$14,H18)))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74" operator="containsText" id="{BC51D3A7-3606-4760-ADEA-6BA2F4189351}">
            <xm:f>NOT(ISERROR(SEARCH($O$13,H18)))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73" operator="containsText" id="{FFE60467-07F6-4EEC-9155-96464DBE9F7D}">
            <xm:f>NOT(ISERROR(SEARCH($O$12,H18)))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72" operator="containsText" id="{36A3C1D5-9D07-4A1E-9916-9AC8AA706637}">
            <xm:f>NOT(ISERROR(SEARCH($O$11,H18)))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" operator="containsText" id="{D9BA71AD-19B8-45CA-AC16-FC419DB1768D}">
            <xm:f>NOT(ISERROR(SEARCH($O$9,H18)))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70" operator="containsText" id="{D505656A-EB52-4EEB-9693-E8633989EA87}">
            <xm:f>NOT(ISERROR(SEARCH($O$8,H18)))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69" operator="containsText" id="{B3C5ADEC-AC0E-40A1-8B82-AA8850E922DE}">
            <xm:f>NOT(ISERROR(SEARCH($O$7,H18)))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67" operator="containsText" id="{D25AF61D-6FB3-4983-B880-838A02733AA6}">
            <xm:f>NOT(ISERROR(SEARCH($O$5,H18)))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4499" operator="containsText" id="{C08EEB07-6224-4001-962A-619B62AB4475}">
            <xm:f>NOT(ISERROR(SEARCH($O$14,F21)))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9" operator="containsText" id="{C9C68AF6-CA7A-40D7-A0BD-0BF412C3AC7D}">
            <xm:f>NOT(ISERROR(SEARCH($O$5,F21)))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8" operator="containsText" id="{EE00BAC6-BC0D-47B1-8395-4932DCA6EBC2}">
            <xm:f>NOT(ISERROR(SEARCH($O$6,F21)))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6" operator="containsText" id="{7EA447B7-E545-4A91-9D78-ED86FD6ED57C}">
            <xm:f>NOT(ISERROR(SEARCH($O$7,F21)))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4" operator="containsText" id="{7E53D6E3-D2A0-4334-B765-281EC8A7B819}">
            <xm:f>NOT(ISERROR(SEARCH($O$9,F21)))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1" operator="containsText" id="{CDEC50D5-63FF-4E73-A2F4-C678CB4C515F}">
            <xm:f>NOT(ISERROR(SEARCH($O$12,F21)))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0" operator="containsText" id="{0F908094-248A-4040-95B9-B456643BC728}">
            <xm:f>NOT(ISERROR(SEARCH($O$13,F21)))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H21:H33 L21:L33 N21:N33 F21:F33</xm:sqref>
        </x14:conditionalFormatting>
        <x14:conditionalFormatting xmlns:xm="http://schemas.microsoft.com/office/excel/2006/main">
          <x14:cfRule type="containsText" priority="5261" operator="containsText" id="{133D503B-9AF4-4F11-B84F-DDE964AF16B7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414" operator="containsText" id="{0F7E5762-2448-4D55-A8EE-D3B0DA887F7E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723" operator="containsText" id="{4870F77B-624A-40C3-AEEA-9F85F334D457}">
            <xm:f>NOT(ISERROR(SEARCH($O$8,H23)))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748" operator="containsText" id="{4612D01F-48D8-4913-957B-0F9EDFB1E8A4}">
            <xm:f>NOT(ISERROR(SEARCH($O$8,H27)))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1758" operator="containsText" id="{DBB3BA14-C242-4E78-A47D-2E5D99A27368}">
            <xm:f>NOT(ISERROR(SEARCH($O$8,H32)))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H32</xm:sqref>
        </x14:conditionalFormatting>
        <x14:conditionalFormatting xmlns:xm="http://schemas.microsoft.com/office/excel/2006/main">
          <x14:cfRule type="containsText" priority="888" operator="containsText" id="{6FE7C742-8B8C-4813-A828-D28323BBFB0E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89" operator="containsText" id="{AE50A2E8-AA52-45C1-A263-D7E5EB8EE07C}">
            <xm:f>NOT(ISERROR(SEARCH($O$14,H34)))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90" operator="containsText" id="{0E2E7929-0E6E-49A1-9CAF-4E2473B87430}">
            <xm:f>NOT(ISERROR(SEARCH($O$13,H34)))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891" operator="containsText" id="{E979502D-7CCA-4189-ABCB-31B2619A55AD}">
            <xm:f>NOT(ISERROR(SEARCH($O$12,H34)))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93" operator="containsText" id="{C689E8CE-0B00-4731-AFC2-A325267F901B}">
            <xm:f>NOT(ISERROR(SEARCH($O$7,H34)))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94" operator="containsText" id="{9428FAD2-0705-4B79-92C0-1DEA5F53A188}">
            <xm:f>NOT(ISERROR(SEARCH($O$6,H34)))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895" operator="containsText" id="{B98AA8F9-4D05-4116-B724-BC4CD75C1313}">
            <xm:f>NOT(ISERROR(SEARCH($O$5,H34)))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897" operator="containsText" id="{79854AA0-5602-4739-ACC7-AD95C9582D72}">
            <xm:f>NOT(ISERROR(SEARCH($O$15,H34)))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98" operator="containsText" id="{A55BC0B7-C10B-41FF-83A3-6E16BD0881EE}">
            <xm:f>NOT(ISERROR(SEARCH($O$11,H34)))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92" operator="containsText" id="{9C0840FC-8D4E-44F5-BB0B-DC94C180B3C7}">
            <xm:f>NOT(ISERROR(SEARCH($O$9,H34)))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380" operator="containsText" id="{CBC2B035-9046-40E8-9A5B-568BBC970B88}">
            <xm:f>NOT(ISERROR(SEARCH($O$9,H35)))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82" operator="containsText" id="{A0A4558F-FC64-4874-9FCF-C71A5364548F}">
            <xm:f>NOT(ISERROR(SEARCH($O$7,H35)))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77" operator="containsText" id="{26941F5C-2F02-4568-B071-AD09B015EE5D}">
            <xm:f>NOT(ISERROR(SEARCH($O$14,H35)))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78" operator="containsText" id="{C4B91488-9126-4F43-BF4E-7B1191D45384}">
            <xm:f>NOT(ISERROR(SEARCH($O$13,H35)))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79" operator="containsText" id="{7218CAAC-70C9-4487-95D0-9E975338A573}">
            <xm:f>NOT(ISERROR(SEARCH($O$12,H35)))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81" operator="containsText" id="{44087CAE-2120-47F0-9FE1-AAC6AFFD60A6}">
            <xm:f>NOT(ISERROR(SEARCH($O$8,H35)))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87" operator="containsText" id="{6AAA7D5F-979D-4837-9933-5D6E7FA82647}">
            <xm:f>NOT(ISERROR(SEARCH($O$11,H35)))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83" operator="containsText" id="{77B4F1AB-92F8-49B2-BFFE-CB54C9DD62A8}">
            <xm:f>NOT(ISERROR(SEARCH($O$6,H35)))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84" operator="containsText" id="{3818F693-3569-4474-A60A-5E3AA6030DFA}">
            <xm:f>NOT(ISERROR(SEARCH($O$5,H35)))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86" operator="containsText" id="{46F4C827-A09D-4B6C-9DEB-2E2119E34A95}">
            <xm:f>NOT(ISERROR(SEARCH($O$15,H35)))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47" operator="containsText" id="{0F890020-8913-4550-A407-75DDC7EDBF58}">
            <xm:f>NOT(ISERROR(SEARCH($O$13,H36)))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48" operator="containsText" id="{6A951895-25EE-41EF-B255-744CDD0BE600}">
            <xm:f>NOT(ISERROR(SEARCH($O$12,H36)))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49" operator="containsText" id="{6BA6E36B-FB84-485F-A55E-DF643B605EC8}">
            <xm:f>NOT(ISERROR(SEARCH($O$9,H36)))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50" operator="containsText" id="{3FFBECC9-0038-47AA-94A9-33DD0483E75A}">
            <xm:f>NOT(ISERROR(SEARCH($O$8,H36)))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51" operator="containsText" id="{6A4D2A9C-C9FA-468A-85DA-410056C62138}">
            <xm:f>NOT(ISERROR(SEARCH($O$7,H36)))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52" operator="containsText" id="{52AC911C-7A5A-41EC-8B6C-14113DDB9970}">
            <xm:f>NOT(ISERROR(SEARCH($O$6,H36)))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53" operator="containsText" id="{9ED2113C-E340-4FE5-B7FE-ED07179DBA63}">
            <xm:f>NOT(ISERROR(SEARCH($O$5,H36)))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54" operator="containsText" id="{CD0EDE2B-15E1-47DF-A04F-5B294809D679}">
            <xm:f>NOT(ISERROR(SEARCH($O$15,H36)))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55" operator="containsText" id="{2BAB0DB8-7BE7-47D2-BBEC-A75648C1D70B}">
            <xm:f>NOT(ISERROR(SEARCH($O$11,H36)))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46" operator="containsText" id="{931994A1-8D93-4B26-B3FC-88AF14AEF7EB}">
            <xm:f>NOT(ISERROR(SEARCH($O$14,H36)))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35" operator="containsText" id="{0C04A50C-1B59-4E81-9B99-1EAFAE64C22E}">
            <xm:f>NOT(ISERROR(SEARCH($O$14,F49)))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36" operator="containsText" id="{4680CFCB-C83C-48ED-A6B9-59770BBBC8F8}">
            <xm:f>NOT(ISERROR(SEARCH($O$13,F49)))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372" operator="containsText" id="{01BA4471-4BBD-461E-9675-6D64DB812244}">
            <xm:f>NOT(ISERROR(SEARCH($O$15,F49)))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71" operator="containsText" id="{90773D41-F2CF-4BBF-9A7C-E8097EF57C68}">
            <xm:f>NOT(ISERROR(SEARCH($O$12,F49)))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370" operator="containsText" id="{92F5BA94-141C-408B-A8DA-68BDD8ACA764}">
            <xm:f>NOT(ISERROR(SEARCH($O$11,F49)))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373" operator="containsText" id="{CD5773C2-59F3-49A6-A4D8-E023A045D833}">
            <xm:f>NOT(ISERROR(SEARCH($O$5,F49)))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1203" operator="containsText" id="{8902C974-82F6-4960-AE94-817E9ECA2A0E}">
            <xm:f>NOT(ISERROR(SEARCH($O$14,F50)))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241" operator="containsText" id="{0F537EF5-5BA8-4387-AC8E-08934ADE829F}">
            <xm:f>NOT(ISERROR(SEARCH($O$5,F50)))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240" operator="containsText" id="{62AF5534-71D9-4B3C-AB76-73FC375E701A}">
            <xm:f>NOT(ISERROR(SEARCH($O$15,F50)))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239" operator="containsText" id="{95FD7A70-1F33-4E81-B3B1-A8DE27608DBC}">
            <xm:f>NOT(ISERROR(SEARCH($O$12,F50)))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238" operator="containsText" id="{6CB314D2-5239-4F41-B7D8-587B4220EAD7}">
            <xm:f>NOT(ISERROR(SEARCH($O$11,F50)))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204" operator="containsText" id="{589C8A19-4B94-46B5-9E22-3533B8704B17}">
            <xm:f>NOT(ISERROR(SEARCH($O$13,F50)))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096" operator="containsText" id="{1E69768E-2C89-4CBB-B659-E03FBCD14925}">
            <xm:f>NOT(ISERROR(SEARCH($O$5,F51)))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4" operator="containsText" id="{CBDFF968-665E-46A4-926C-EAFECF47BC2E}">
            <xm:f>NOT(ISERROR(SEARCH($O$12,F51)))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9" operator="containsText" id="{FFDE6AA3-82ED-4C07-B662-9164BEE22CB0}">
            <xm:f>NOT(ISERROR(SEARCH($O$13,F51)))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3" operator="containsText" id="{3A8B6DE1-D399-460B-95E0-991B55D3FCBA}">
            <xm:f>NOT(ISERROR(SEARCH($O$11,F51)))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8" operator="containsText" id="{4B549793-578D-4598-A2C8-B2D50EDD6E72}">
            <xm:f>NOT(ISERROR(SEARCH($O$14,F51)))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5" operator="containsText" id="{7B6EC993-E2CA-4822-9AAA-67AFEC35D973}">
            <xm:f>NOT(ISERROR(SEARCH($O$15,F51)))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551" operator="containsText" id="{3C1EC7DA-9C67-40D2-950A-B8C78E898462}">
            <xm:f>NOT(ISERROR(SEARCH($O$14,H52)))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53" operator="containsText" id="{9589EFCE-531F-4DB3-BFD1-DF20A8DE5186}">
            <xm:f>NOT(ISERROR(SEARCH($O$7,H52)))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47" operator="containsText" id="{EA19A203-0B29-4455-8C3C-0C12E77FFF37}">
            <xm:f>NOT(ISERROR(SEARCH($O$8,H52)))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50" operator="containsText" id="{633BB462-3817-4537-A33A-923CABBFA6F4}">
            <xm:f>NOT(ISERROR(SEARCH($O$12,H52)))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49" operator="containsText" id="{6E928B01-40A7-4F16-B242-04A597218EC1}">
            <xm:f>NOT(ISERROR(SEARCH($O$11,H52)))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48" operator="containsText" id="{816B29FC-C513-4A05-B12F-BE320577AE8B}">
            <xm:f>NOT(ISERROR(SEARCH($O$9,H52)))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52" operator="containsText" id="{6C8BD8B2-89B0-4CB4-8911-C09FE152B268}">
            <xm:f>NOT(ISERROR(SEARCH($O$15,H52)))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46" operator="containsText" id="{C9616F61-4AD5-4C43-934D-F2529624AE10}">
            <xm:f>NOT(ISERROR(SEARCH($O$6,H52)))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45" operator="containsText" id="{09EEA102-F7F1-4C8A-A45C-34F43A1DF929}">
            <xm:f>NOT(ISERROR(SEARCH($O$5,H52)))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54" operator="containsText" id="{C3C2256D-FF05-4C2D-A1B8-27B576CCFDD7}">
            <xm:f>NOT(ISERROR(SEARCH($O$13,H52)))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139" operator="containsText" id="{AC535400-50AF-4C6C-AB4A-607CCCF3F1CC}">
            <xm:f>NOT(ISERROR(SEARCH($O$13,L18)))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33" operator="containsText" id="{D81B1B7D-64AF-4F0B-9185-AFDA48B6A997}">
            <xm:f>NOT(ISERROR(SEARCH($O$6,L18)))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40" operator="containsText" id="{7BA2DAF0-66DA-4337-8C83-40063CB1DEF1}">
            <xm:f>NOT(ISERROR(SEARCH($O$14,L18)))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4" operator="containsText" id="{5FCD7450-BCA8-4777-BAD8-2ECF276DEED3}">
            <xm:f>NOT(ISERROR(SEARCH($O$7,L18)))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35" operator="containsText" id="{7AEDA814-86F5-464A-82D5-B85A2ECCE7AD}">
            <xm:f>NOT(ISERROR(SEARCH($O$8,L18)))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41" operator="containsText" id="{A13F82AF-0B0D-4021-913D-B388C2176C96}">
            <xm:f>NOT(ISERROR(SEARCH($O$15,L18)))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6" operator="containsText" id="{761D936C-AABC-473A-83D2-28871055EF93}">
            <xm:f>NOT(ISERROR(SEARCH($O$9,L18)))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37" operator="containsText" id="{D29BEBD6-5C90-4654-B5AA-C2860396CE12}">
            <xm:f>NOT(ISERROR(SEARCH($O$11,L18)))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38" operator="containsText" id="{3C029F46-3A7A-4EF5-B909-F110B386FEE4}">
            <xm:f>NOT(ISERROR(SEARCH($O$12,L18)))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" operator="containsText" id="{FF7E2A31-EAC8-4D54-8A52-FEBF48CDAB0D}">
            <xm:f>NOT(ISERROR(SEARCH($O$5,L18)))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4393" operator="containsText" id="{6B24B60A-B739-4F77-9EC3-024D131DF515}">
            <xm:f>NOT(ISERROR(SEARCH($O$8,L21)))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4505" operator="containsText" id="{270C2075-5D1A-4F61-9955-502212508540}">
            <xm:f>NOT(ISERROR(SEARCH($O$8,F21)))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L21:L33 N21:N33 F21:F33</xm:sqref>
        </x14:conditionalFormatting>
        <x14:conditionalFormatting xmlns:xm="http://schemas.microsoft.com/office/excel/2006/main">
          <x14:cfRule type="containsText" priority="866" operator="containsText" id="{08567AF1-8591-410C-9E6D-F4BB0998DF31}">
            <xm:f>NOT(ISERROR(SEARCH($O$11,L34)))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65" operator="containsText" id="{D2396DAA-D2C7-4687-AE76-4DF950C4F081}">
            <xm:f>NOT(ISERROR(SEARCH($O$15,L34)))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62" operator="containsText" id="{75BA7569-A5DD-4B6C-A936-FA34F9CE8B7D}">
            <xm:f>NOT(ISERROR(SEARCH($O$5,L34)))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861" operator="containsText" id="{ACE2FE37-3CA9-451E-8EA1-CD34DCD306DA}">
            <xm:f>NOT(ISERROR(SEARCH($O$6,L34)))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860" operator="containsText" id="{2B066720-1567-4B83-9EF5-5B45FA51321F}">
            <xm:f>NOT(ISERROR(SEARCH($O$7,L34)))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58" operator="containsText" id="{28EF645C-1885-4D62-9B46-69A4E372F67A}">
            <xm:f>NOT(ISERROR(SEARCH($O$9,L34)))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56" operator="containsText" id="{F6399246-5BFE-494D-8585-00CB8699B57F}">
            <xm:f>NOT(ISERROR(SEARCH($O$13,L34)))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855" operator="containsText" id="{B371D673-72D2-4620-8A5C-7ACCB4F11F44}">
            <xm:f>NOT(ISERROR(SEARCH($O$14,L34)))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57" operator="containsText" id="{833BF8F5-3426-44F4-BD24-5229CA4D5132}">
            <xm:f>NOT(ISERROR(SEARCH($O$12,L34)))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59" operator="containsText" id="{F294242E-83C9-44A5-9199-7A4FE541BE8C}">
            <xm:f>NOT(ISERROR(SEARCH($O$8,L34)))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319" operator="containsText" id="{1BBDF3C5-B9FA-4126-B12F-856001A4F2DF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21" operator="containsText" id="{71EE4591-EEC0-421A-B05A-659516D474E8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22" operator="containsText" id="{6DCE129E-7180-44B5-9B91-C6D88C0F0208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23" operator="containsText" id="{828170C8-ABD2-4F74-81A8-768FB1DBE074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25" operator="containsText" id="{CA46244F-BFB6-4BBA-B416-33200171F311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20" operator="containsText" id="{D7C2F626-56C6-4DA9-BD41-71BF4AE0692F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17" operator="containsText" id="{7B19CAFE-C836-4B1E-A338-92ABF99FFDBB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18" operator="containsText" id="{2FE24C4C-31EB-4BD7-8F7A-D5B6B51F357A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1" operator="containsText" id="{407073AD-D5C2-4D3C-BF34-8105FECAD624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70" operator="containsText" id="{48759C33-7A63-40BB-87E3-7AF0E18D1557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8" operator="containsText" id="{F2982FA0-B0C3-4925-8450-ED595851B1D8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7" operator="containsText" id="{9983BC1F-52E8-4ACB-B1BF-4361C5417459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6" operator="containsText" id="{73246CC1-EC44-4D86-81A3-C96F620CE7F3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65" operator="containsText" id="{A5FBA23D-0D2E-4DE2-8248-EFD0D367C4A8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1" operator="containsText" id="{ADD58158-AD55-4096-AC29-FFEA18779207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26" operator="containsText" id="{D552521A-C8BF-4AB3-9728-DD7DBDADC12A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16" operator="containsText" id="{D7F35678-EC66-478F-A77B-D9C20B27E969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4" operator="containsText" id="{8B64CC43-9848-4768-ABDE-5432A32903C9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2" operator="containsText" id="{2018D035-EE21-4845-8F66-BBDD8BCAD33E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63" operator="containsText" id="{75257C66-9B74-4D38-BB59-C96ED40A8F27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4" operator="containsText" id="{D63C63DE-3ED0-4B70-8D0A-80C9FBEF28F5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3" operator="containsText" id="{7D16B04B-4522-46AA-B303-0D70028E98FA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2" operator="containsText" id="{29613EEE-B027-4497-B293-2FB45316E3A7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1" operator="containsText" id="{06628B73-5D1A-4B2A-80AB-A7C3D3C75137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0" operator="containsText" id="{3983BDDF-46A6-4FCB-A98F-941B5918BCBA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9" operator="containsText" id="{9055DB9D-02DA-4DEC-A2C7-986EC6DA70C9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85" operator="containsText" id="{77803C79-2A77-4D28-B711-F264A7E4DD55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5" operator="containsText" id="{359F9922-41E6-4C22-BAA4-DCA4460FA950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6" operator="containsText" id="{8FB5A4E0-8D42-4E6F-AC83-40C77D5DE4A5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90" operator="containsText" id="{7E9EA053-3931-4843-9C3C-6DA91D111852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89" operator="containsText" id="{9312DACD-66D7-438A-A16E-57352A961666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88" operator="containsText" id="{224798B2-2DB5-4219-989E-1C8DB8585F2D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87" operator="containsText" id="{CE9D89AC-1E16-4B33-8414-A7CE04B5EBA8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86" operator="containsText" id="{7907D3A7-5095-4185-8521-6B85301DC09F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91" operator="containsText" id="{E82E0272-3015-466B-A25B-83FD4C31D6CC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92" operator="containsText" id="{5C9D2C53-29A9-479B-96FA-C9E5EC5A208E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93" operator="containsText" id="{58735550-3200-4FC9-A1A5-1B54618FF318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8FB0B7FE-CD3D-4BD4-B54A-43C961962127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94" operator="containsText" id="{C2DF1FE4-34D0-48D3-8B80-9516FFDA151C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E90837D2-C0C2-4B0B-8FE1-8DD55F9ABEA5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1302" operator="containsText" id="{AA279F6B-7BDE-43A2-B54D-BA6C44BEB6ED}">
            <xm:f>NOT(ISERROR(SEARCH($O$6,L49)))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6" operator="containsText" id="{12DC9A18-9EF5-4D5B-9B6F-26E1D457A593}">
            <xm:f>NOT(ISERROR(SEARCH($O$14,L49)))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7" operator="containsText" id="{3A3BB54A-CB3C-4C1F-A861-56F14DAA22F5}">
            <xm:f>NOT(ISERROR(SEARCH($O$11,L49)))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7" operator="containsText" id="{92EB36E7-6E7E-4C1E-BCE4-50996C086D0C}">
            <xm:f>NOT(ISERROR(SEARCH($O$13,L49)))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8" operator="containsText" id="{781DEDFB-B287-4873-B48D-D9DB423D4057}">
            <xm:f>NOT(ISERROR(SEARCH($O$12,L49)))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9" operator="containsText" id="{5E8D1C21-B737-4B99-85B6-C4A0AD714E7C}">
            <xm:f>NOT(ISERROR(SEARCH($O$15,L49)))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30" operator="containsText" id="{858296B7-853C-42DC-8B0D-EBC9D5279016}">
            <xm:f>NOT(ISERROR(SEARCH($O$5,L49)))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5" operator="containsText" id="{452236A2-883D-4A98-8DC5-D069E3563E2F}">
            <xm:f>NOT(ISERROR(SEARCH($O$9,L49)))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4" operator="containsText" id="{2DCDF805-0E60-44B6-BA32-3C2F1EB0A72B}">
            <xm:f>NOT(ISERROR(SEARCH($O$8,L49)))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3" operator="containsText" id="{AF5BC982-5B87-429F-B5FA-8A0167D2196C}">
            <xm:f>NOT(ISERROR(SEARCH($O$7,L49)))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172" operator="containsText" id="{C6E10A34-C6A3-44FD-8271-D39D46015287}">
            <xm:f>NOT(ISERROR(SEARCH($O$8,L50)))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171" operator="containsText" id="{FC93DDC2-E62B-44AC-8E6A-7E71354A9E15}">
            <xm:f>NOT(ISERROR(SEARCH($O$7,L50)))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170" operator="containsText" id="{9C815743-3A64-48FE-A17F-E85F84863C2C}">
            <xm:f>NOT(ISERROR(SEARCH($O$6,L50)))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195" operator="containsText" id="{770AAD36-9B38-4A67-835B-AD2BC834D9DD}">
            <xm:f>NOT(ISERROR(SEARCH($O$11,L50)))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196" operator="containsText" id="{2250282C-9A46-455D-96C0-7AD08B352B98}">
            <xm:f>NOT(ISERROR(SEARCH($O$12,L50)))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197" operator="containsText" id="{E3862D96-E18C-46BD-824F-C388D78F59C3}">
            <xm:f>NOT(ISERROR(SEARCH($O$15,L50)))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198" operator="containsText" id="{38DB93CA-5D5A-42B5-AC60-D4C5CEFD40A2}">
            <xm:f>NOT(ISERROR(SEARCH($O$5,L50)))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173" operator="containsText" id="{E373A15A-8A4D-4003-BFB8-00ABB8B5E38C}">
            <xm:f>NOT(ISERROR(SEARCH($O$9,L50)))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165" operator="containsText" id="{3B9AD586-F1D0-485C-9337-F09E9ED7DD08}">
            <xm:f>NOT(ISERROR(SEARCH($O$13,L50)))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164" operator="containsText" id="{313E9015-D97B-4EFF-A940-1B3DCF48EC67}">
            <xm:f>NOT(ISERROR(SEARCH($O$14,L50)))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025" operator="containsText" id="{A1019EA5-F8C1-4D16-9C3E-890E5E7D78EE}">
            <xm:f>NOT(ISERROR(SEARCH($O$6,L51)))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6" operator="containsText" id="{04A5E41B-2B39-445E-9159-FBF8E0AA8B0F}">
            <xm:f>NOT(ISERROR(SEARCH($O$7,L51)))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7" operator="containsText" id="{75BF4EE1-2B0B-4F26-BA4A-ADE55521FB07}">
            <xm:f>NOT(ISERROR(SEARCH($O$8,L51)))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3" operator="containsText" id="{B17C12D2-5889-4B1F-9786-A700D50A754A}">
            <xm:f>NOT(ISERROR(SEARCH($O$5,L51)))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2" operator="containsText" id="{6F116617-5BED-419C-BDE3-68721D3227F7}">
            <xm:f>NOT(ISERROR(SEARCH($O$15,L51)))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1" operator="containsText" id="{69BBBFA3-FC4A-48D3-B2F6-647E5BB36422}">
            <xm:f>NOT(ISERROR(SEARCH($O$12,L51)))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0" operator="containsText" id="{6653CEBB-E03E-4857-9E4E-4908A6811B14}">
            <xm:f>NOT(ISERROR(SEARCH($O$11,L51)))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8" operator="containsText" id="{9792C07A-D7CE-41D9-B0A6-4E76AA43E0A6}">
            <xm:f>NOT(ISERROR(SEARCH($O$9,L51)))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9" operator="containsText" id="{ACE88E3D-7296-49B4-8DEE-746DB759F4C5}">
            <xm:f>NOT(ISERROR(SEARCH($O$14,L51)))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0" operator="containsText" id="{07E73142-9546-4D84-9D18-6DE2EA37F988}">
            <xm:f>NOT(ISERROR(SEARCH($O$13,L51)))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514" operator="containsText" id="{118A5D37-5A88-4065-A5D9-96053E79F76F}">
            <xm:f>NOT(ISERROR(SEARCH($O$12,L52)))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13" operator="containsText" id="{13D2DBCD-E2F0-4A57-9999-28453DADB542}">
            <xm:f>NOT(ISERROR(SEARCH($O$11,L52)))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12" operator="containsText" id="{E31451DF-CFA2-42C7-BA6D-7DF769D79DE6}">
            <xm:f>NOT(ISERROR(SEARCH($O$9,L52)))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16" operator="containsText" id="{31ADE896-CB51-42E3-B047-63479EB5BD2E}">
            <xm:f>NOT(ISERROR(SEARCH($O$15,L52)))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15" operator="containsText" id="{777CE03F-C60B-41C3-A820-41930CC53DFD}">
            <xm:f>NOT(ISERROR(SEARCH($O$14,L52)))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11" operator="containsText" id="{3225D28F-F6FB-4F10-80E2-AAC2A217A839}">
            <xm:f>NOT(ISERROR(SEARCH($O$8,L52)))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10" operator="containsText" id="{E269F54F-E226-4099-A824-F98E1253C4AF}">
            <xm:f>NOT(ISERROR(SEARCH($O$6,L52)))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09" operator="containsText" id="{93381E6F-8C9B-4B9F-8193-A665C5A82A06}">
            <xm:f>NOT(ISERROR(SEARCH($O$5,L52)))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18" operator="containsText" id="{083608B6-D4B8-4769-AFE3-069D7F7022C3}">
            <xm:f>NOT(ISERROR(SEARCH($O$13,L52)))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17" operator="containsText" id="{F3D7BF89-2B5C-4CAA-9513-591105FDA821}">
            <xm:f>NOT(ISERROR(SEARCH($O$7,L52)))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3046" operator="containsText" id="{5DCDE1EE-8844-4141-98FB-E8CAB521CDD6}">
            <xm:f>NOT(ISERROR(SEARCH($O$5,N5)))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7" operator="containsText" id="{CF569570-9153-45B3-AC74-2CDFEE5E5A38}">
            <xm:f>NOT(ISERROR(SEARCH($O$6,N5)))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8" operator="containsText" id="{037AD28C-EC65-43DF-9514-839F528E4163}">
            <xm:f>NOT(ISERROR(SEARCH($O$7,N5)))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9" operator="containsText" id="{1C203A76-DA8E-4DF1-BBD5-1DEBAEDA2B3D}">
            <xm:f>NOT(ISERROR(SEARCH($O$8,N5)))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050" operator="containsText" id="{FAFAA6E8-A42F-449E-9C94-64CE9AB10CAF}">
            <xm:f>NOT(ISERROR(SEARCH($O$9,N5)))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N5:N16</xm:sqref>
        </x14:conditionalFormatting>
        <x14:conditionalFormatting xmlns:xm="http://schemas.microsoft.com/office/excel/2006/main">
          <x14:cfRule type="containsText" priority="3066" stopIfTrue="1" operator="containsText" id="{DCA7A743-3F50-43A5-ADDC-6F2A6D9DC0E0}">
            <xm:f>NOT(ISERROR(SEARCH($O$15,N15)))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61" stopIfTrue="1" operator="containsText" id="{FC3C7E13-D239-4CA9-9F62-E992575DD71E}">
            <xm:f>NOT(ISERROR(SEARCH($O$11,N15)))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062" stopIfTrue="1" operator="containsText" id="{B6E66852-3AAB-4135-8F82-0BD2793673C6}">
            <xm:f>NOT(ISERROR(SEARCH($O$12,N15)))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063" stopIfTrue="1" operator="containsText" id="{730D0630-96CB-4460-86FC-6F26328A7DAE}">
            <xm:f>NOT(ISERROR(SEARCH($O$13,N15)))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064" stopIfTrue="1" operator="containsText" id="{DDD7E418-F32E-45F7-8A5C-6F75B7481AA3}">
            <xm:f>NOT(ISERROR(SEARCH($O$14,N15)))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06" operator="containsText" id="{E0DA7EC5-280B-4C23-AEE0-E3537E30EE68}">
            <xm:f>NOT(ISERROR(SEARCH($O$15,N18)))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" operator="containsText" id="{9BCECD5E-4591-4DDE-B1A7-AA1394F99316}">
            <xm:f>NOT(ISERROR(SEARCH($O$14,N18)))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4" operator="containsText" id="{690B5CC5-55B6-49B9-AAF1-DE39DD218D2C}">
            <xm:f>NOT(ISERROR(SEARCH($O$13,N18)))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3" operator="containsText" id="{B7306C6A-FD91-459A-AAE2-D314308A906C}">
            <xm:f>NOT(ISERROR(SEARCH($O$12,N18)))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" operator="containsText" id="{4F3CD46E-9E3F-4ED8-8522-86B586A7EA9F}">
            <xm:f>NOT(ISERROR(SEARCH($O$11,N18)))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" operator="containsText" id="{88D85E39-751F-41C1-BEFE-8FA41F93D932}">
            <xm:f>NOT(ISERROR(SEARCH($O$9,N18)))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0" operator="containsText" id="{16D5FA9A-7F0D-4867-A8DA-3D0E0A0399AD}">
            <xm:f>NOT(ISERROR(SEARCH($O$8,N18)))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9" operator="containsText" id="{9F195823-801A-4A0F-AF32-A707D767A978}">
            <xm:f>NOT(ISERROR(SEARCH($O$7,N18)))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98" operator="containsText" id="{C403A2C9-69E3-496A-94B0-379EF5C490DB}">
            <xm:f>NOT(ISERROR(SEARCH($O$6,N18)))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7" operator="containsText" id="{FA89D2A0-4767-408E-86F1-9DD53C6F4FF2}">
            <xm:f>NOT(ISERROR(SEARCH($O$5,N18)))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716" operator="containsText" id="{207FAA10-0CB0-4DE8-A7AA-DFCDC6B62937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260" operator="containsText" id="{47012F53-DD2F-43D0-A37A-5039248DA044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258" operator="containsText" id="{D19C06EF-1D54-4220-A413-DE8822144B61}">
            <xm:f>NOT(ISERROR(SEARCH($O$14,N35)))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59" operator="containsText" id="{93F498F1-008F-4B31-A196-C06EEAB3DF8E}">
            <xm:f>NOT(ISERROR(SEARCH($O$13,N35)))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67" operator="containsText" id="{463B002C-0730-43D2-A839-F7B7938A5E74}">
            <xm:f>NOT(ISERROR(SEARCH($O$15,N35)))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68" operator="containsText" id="{04004A25-7460-4B96-A3AA-8AAD66196396}">
            <xm:f>NOT(ISERROR(SEARCH($O$11,N35)))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61" operator="containsText" id="{2226D77D-E2A0-4CA3-8F4B-6904369E7EE6}">
            <xm:f>NOT(ISERROR(SEARCH($O$9,N35)))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60" operator="containsText" id="{54C9325A-08ED-413B-889E-CF7C902267FD}">
            <xm:f>NOT(ISERROR(SEARCH($O$12,N35)))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62" operator="containsText" id="{8B9D918A-4410-4F02-B4E9-2D77FACF53D7}">
            <xm:f>NOT(ISERROR(SEARCH($O$8,N35)))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63" operator="containsText" id="{225502C4-828C-4CC1-8B83-9DAB015EDCB5}">
            <xm:f>NOT(ISERROR(SEARCH($O$7,N35)))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64" operator="containsText" id="{C2473949-169E-4EF3-8026-FAB99349F29F}">
            <xm:f>NOT(ISERROR(SEARCH($O$6,N35)))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65" operator="containsText" id="{593FF11D-394C-4C40-9B0C-2BC6C6685672}">
            <xm:f>NOT(ISERROR(SEARCH($O$5,N35)))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236" operator="containsText" id="{7C80FC03-8625-476C-8FE8-AE96839318D9}">
            <xm:f>NOT(ISERROR(SEARCH($O$11,N36)))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28" operator="containsText" id="{F666E399-D8C0-439E-ABE9-7A3E8EC13A77}">
            <xm:f>NOT(ISERROR(SEARCH($O$13,N36)))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29" operator="containsText" id="{B75DA01C-6007-4EF8-9351-35019D0CFCA6}">
            <xm:f>NOT(ISERROR(SEARCH($O$12,N36)))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" operator="containsText" id="{E2006F72-D4EA-4C88-9216-E6BE9D78C9C2}">
            <xm:f>NOT(ISERROR(SEARCH($O$15,N36)))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0" operator="containsText" id="{A1AA2DEA-AD32-4583-ABDA-444ABD10D7FA}">
            <xm:f>NOT(ISERROR(SEARCH($O$9,N36)))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31" operator="containsText" id="{F1FA939B-8F10-4390-A6A0-2752592D2484}">
            <xm:f>NOT(ISERROR(SEARCH($O$8,N36)))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32" operator="containsText" id="{6CF3BE5D-C513-435B-A38E-07E790F4462A}">
            <xm:f>NOT(ISERROR(SEARCH($O$7,N36)))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33" operator="containsText" id="{6D33FF08-C737-44F8-8875-8809035475C3}">
            <xm:f>NOT(ISERROR(SEARCH($O$6,N36)))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34" operator="containsText" id="{516D15D7-04C6-4580-9E43-FA59318F9320}">
            <xm:f>NOT(ISERROR(SEARCH($O$5,N36)))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27" operator="containsText" id="{A3A65451-06DB-4173-BB0D-A8BF20065FA7}">
            <xm:f>NOT(ISERROR(SEARCH($O$14,N36)))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1267" operator="containsText" id="{EE8600A2-12BD-410C-9D2F-A18BDC0C44EC}">
            <xm:f>NOT(ISERROR(SEARCH($O$7,N49)))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269" operator="containsText" id="{C029276E-D252-440C-86F7-0509CEFF597E}">
            <xm:f>NOT(ISERROR(SEARCH($O$9,N49)))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268" operator="containsText" id="{75EC6D26-7F40-460D-9DFC-911118BB9AE8}">
            <xm:f>NOT(ISERROR(SEARCH($O$8,N49)))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266" operator="containsText" id="{AA26D646-4859-440B-B981-9DEADEF743D8}">
            <xm:f>NOT(ISERROR(SEARCH($O$6,N49)))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4" operator="containsText" id="{D30A8EB0-39DB-43C9-9573-9E99AB893C62}">
            <xm:f>NOT(ISERROR(SEARCH($O$5,N49)))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3" operator="containsText" id="{EF2E28B9-BEFB-467E-BC63-0266DBBE4228}">
            <xm:f>NOT(ISERROR(SEARCH($O$15,N49)))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2" operator="containsText" id="{18ABA410-5108-406B-9CA4-FDB196BC0499}">
            <xm:f>NOT(ISERROR(SEARCH($O$12,N49)))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1" operator="containsText" id="{BF5A7268-0AAC-420E-9E5C-385866D76A80}">
            <xm:f>NOT(ISERROR(SEARCH($O$11,N49)))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261" operator="containsText" id="{86A63358-887A-4BA7-BF39-556270AAF29C}">
            <xm:f>NOT(ISERROR(SEARCH($O$13,N49)))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260" operator="containsText" id="{5E3FBB67-D92B-42CA-BAE6-CF954FFF717B}">
            <xm:f>NOT(ISERROR(SEARCH($O$14,N49)))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134" operator="containsText" id="{FEC1F40B-12BF-4743-B530-C3C77E3E55A9}">
            <xm:f>NOT(ISERROR(SEARCH($O$6,N50)))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135" operator="containsText" id="{D7E40966-DAF9-4B7A-AC10-74704A422219}">
            <xm:f>NOT(ISERROR(SEARCH($O$7,N50)))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136" operator="containsText" id="{A959C5FC-EAD8-4131-889A-B966EBB1660C}">
            <xm:f>NOT(ISERROR(SEARCH($O$8,N50)))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137" operator="containsText" id="{55C91EFE-1F35-4051-8C19-27E9E3529CD4}">
            <xm:f>NOT(ISERROR(SEARCH($O$9,N50)))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162" operator="containsText" id="{B491F7B8-06AE-4DBB-8270-1567AAFBF3D5}">
            <xm:f>NOT(ISERROR(SEARCH($O$5,N50)))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161" operator="containsText" id="{F610C063-8AC5-47A4-A5F3-DD5182CDD29E}">
            <xm:f>NOT(ISERROR(SEARCH($O$15,N50)))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160" operator="containsText" id="{DC339825-E96E-4C07-B159-2B1A39F9987C}">
            <xm:f>NOT(ISERROR(SEARCH($O$12,N50)))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128" operator="containsText" id="{6B27DE1A-33B8-4744-97CF-FD3FBDF8F947}">
            <xm:f>NOT(ISERROR(SEARCH($O$14,N50)))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29" operator="containsText" id="{4BB7F425-B984-40B1-9EB2-842909773433}">
            <xm:f>NOT(ISERROR(SEARCH($O$13,N50)))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159" operator="containsText" id="{24FE5F59-8425-4FCE-B138-84018F0DD7B5}">
            <xm:f>NOT(ISERROR(SEARCH($O$11,N50)))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984" operator="containsText" id="{D527D662-211C-4915-A1A9-37E79B61904B}">
            <xm:f>NOT(ISERROR(SEARCH($O$13,N51)))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83" operator="containsText" id="{3732003F-F437-4809-BAA9-F590650D92E0}">
            <xm:f>NOT(ISERROR(SEARCH($O$14,N51)))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92" operator="containsText" id="{A30E302D-9402-449E-BEC5-72916192D720}">
            <xm:f>NOT(ISERROR(SEARCH($O$9,N51)))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89" operator="containsText" id="{B7C5D070-276D-4C44-8E66-1D63DDC42EAA}">
            <xm:f>NOT(ISERROR(SEARCH($O$6,N51)))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90" operator="containsText" id="{62D99534-D972-4D0E-83B2-00BBD26768C4}">
            <xm:f>NOT(ISERROR(SEARCH($O$7,N51)))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7" operator="containsText" id="{B0B0F860-CB23-46E4-A983-5CDE75211561}">
            <xm:f>NOT(ISERROR(SEARCH($O$5,N51)))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6" operator="containsText" id="{176E4807-F20C-4E94-A142-C9E1B481BEEA}">
            <xm:f>NOT(ISERROR(SEARCH($O$15,N51)))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5" operator="containsText" id="{FF7307E1-31E2-4743-BF97-7709519B7D2B}">
            <xm:f>NOT(ISERROR(SEARCH($O$12,N51)))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14" operator="containsText" id="{478A0667-7C3B-4016-8779-0CA1994FCC57}">
            <xm:f>NOT(ISERROR(SEARCH($O$11,N51)))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991" operator="containsText" id="{024C19C9-7CD8-4018-8A49-D32CDDF31D8E}">
            <xm:f>NOT(ISERROR(SEARCH($O$8,N51)))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479" operator="containsText" id="{C73D8FD5-D31A-4991-BF5A-F5B25F7EC810}">
            <xm:f>NOT(ISERROR(SEARCH($O$7,N52)))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78" operator="containsText" id="{2EE09CC3-C3CF-4471-AD0D-078A9AD9162E}">
            <xm:f>NOT(ISERROR(SEARCH($O$15,N52)))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77" operator="containsText" id="{F151B937-AC25-432A-BB7C-6C7DBBFF3359}">
            <xm:f>NOT(ISERROR(SEARCH($O$14,N52)))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76" operator="containsText" id="{A0EDA86E-3219-4E67-95EF-189F559AA8D1}">
            <xm:f>NOT(ISERROR(SEARCH($O$12,N52)))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75" operator="containsText" id="{F7372845-CAC5-4355-9616-66BEEBF99209}">
            <xm:f>NOT(ISERROR(SEARCH($O$11,N52)))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74" operator="containsText" id="{B056211A-E2F0-435E-B0E6-D1D349342A48}">
            <xm:f>NOT(ISERROR(SEARCH($O$9,N52)))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73" operator="containsText" id="{C8C560CF-65C1-41B8-8957-90F2DE1C1B22}">
            <xm:f>NOT(ISERROR(SEARCH($O$8,N52)))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72" operator="containsText" id="{59C39ADD-69BD-4DC7-8D55-5E51167CDA8D}">
            <xm:f>NOT(ISERROR(SEARCH($O$6,N52)))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71" operator="containsText" id="{468893C5-AECF-4699-B76C-260574315236}">
            <xm:f>NOT(ISERROR(SEARCH($O$5,N52)))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80" operator="containsText" id="{F7741547-D2F0-4479-AFA8-87C3421A98E9}">
            <xm:f>NOT(ISERROR(SEARCH($O$13,N52)))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30"/>
  <sheetViews>
    <sheetView showGridLines="0" topLeftCell="A21" zoomScale="98" zoomScaleNormal="113" workbookViewId="0">
      <selection activeCell="M21" sqref="M21:M34"/>
    </sheetView>
  </sheetViews>
  <sheetFormatPr defaultColWidth="8.81640625" defaultRowHeight="14.5" x14ac:dyDescent="0.35"/>
  <cols>
    <col min="1" max="1" width="9.453125" bestFit="1" customWidth="1"/>
    <col min="2" max="2" width="19.453125" bestFit="1" customWidth="1"/>
    <col min="3" max="3" width="9.26953125" customWidth="1"/>
    <col min="4" max="4" width="4.81640625" customWidth="1"/>
    <col min="7" max="7" width="9.7265625" customWidth="1"/>
    <col min="12" max="12" width="10.453125" customWidth="1"/>
    <col min="13" max="13" width="11.453125" customWidth="1"/>
    <col min="14" max="14" width="11.26953125" customWidth="1"/>
    <col min="15" max="15" width="5" customWidth="1"/>
    <col min="16" max="16" width="11.81640625" customWidth="1"/>
    <col min="17" max="17" width="9.453125" customWidth="1"/>
    <col min="18" max="18" width="9.1796875" customWidth="1"/>
    <col min="19" max="19" width="11.1796875" customWidth="1"/>
    <col min="20" max="20" width="8" customWidth="1"/>
    <col min="21" max="37" width="9.453125" customWidth="1"/>
  </cols>
  <sheetData>
    <row r="1" spans="1:79" ht="19" thickBot="1" x14ac:dyDescent="0.4">
      <c r="A1" s="1"/>
      <c r="B1" s="1"/>
      <c r="C1" s="1"/>
      <c r="D1" s="1"/>
      <c r="E1" s="1"/>
      <c r="F1" s="1"/>
      <c r="G1" s="1"/>
      <c r="H1" s="2"/>
      <c r="I1" s="1"/>
      <c r="J1" s="1"/>
      <c r="AC1" s="379" t="s">
        <v>217</v>
      </c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1"/>
    </row>
    <row r="2" spans="1:79" ht="15" thickBot="1" x14ac:dyDescent="0.4">
      <c r="Y2" s="382" t="s">
        <v>1</v>
      </c>
      <c r="Z2" s="383"/>
      <c r="AA2" s="383"/>
      <c r="AB2" s="384"/>
      <c r="AC2" s="385" t="s">
        <v>2</v>
      </c>
      <c r="AD2" s="386"/>
      <c r="AE2" s="386"/>
      <c r="AF2" s="387"/>
      <c r="AG2" s="385" t="s">
        <v>3</v>
      </c>
      <c r="AH2" s="386"/>
      <c r="AI2" s="386"/>
      <c r="AJ2" s="387"/>
      <c r="AK2" s="385" t="s">
        <v>4</v>
      </c>
      <c r="AL2" s="386"/>
      <c r="AM2" s="386"/>
      <c r="AN2" s="387"/>
    </row>
    <row r="3" spans="1:79" ht="30" customHeight="1" thickBot="1" x14ac:dyDescent="0.4">
      <c r="A3" s="369" t="s">
        <v>5</v>
      </c>
      <c r="B3" s="370"/>
      <c r="C3" s="370"/>
      <c r="D3" s="370"/>
      <c r="E3" s="370"/>
      <c r="F3" s="370"/>
      <c r="G3" s="370"/>
      <c r="H3" s="370"/>
      <c r="I3" s="371">
        <f>Mon!I3+1</f>
        <v>43998</v>
      </c>
      <c r="J3" s="371"/>
      <c r="K3" s="371"/>
      <c r="L3" s="371"/>
      <c r="M3" s="371"/>
      <c r="N3" s="372"/>
      <c r="O3" s="120"/>
      <c r="P3" s="150" t="s">
        <v>6</v>
      </c>
      <c r="Q3" s="28"/>
      <c r="R3" s="28"/>
      <c r="S3" s="28"/>
      <c r="U3" s="168" t="s">
        <v>7</v>
      </c>
      <c r="V3" s="10" t="s">
        <v>8</v>
      </c>
      <c r="W3" s="168" t="s">
        <v>218</v>
      </c>
      <c r="X3" s="331" t="s">
        <v>7</v>
      </c>
      <c r="Y3" s="10" t="s">
        <v>9</v>
      </c>
      <c r="Z3" s="10" t="s">
        <v>10</v>
      </c>
      <c r="AA3" s="10" t="s">
        <v>11</v>
      </c>
      <c r="AB3" s="10" t="s">
        <v>12</v>
      </c>
      <c r="AC3" s="10" t="s">
        <v>13</v>
      </c>
      <c r="AD3" s="10" t="s">
        <v>14</v>
      </c>
      <c r="AE3" s="10" t="s">
        <v>15</v>
      </c>
      <c r="AF3" s="10" t="s">
        <v>16</v>
      </c>
      <c r="AG3" s="10" t="s">
        <v>17</v>
      </c>
      <c r="AH3" s="10" t="s">
        <v>18</v>
      </c>
      <c r="AI3" s="10" t="s">
        <v>19</v>
      </c>
      <c r="AJ3" s="10" t="s">
        <v>20</v>
      </c>
      <c r="AK3" s="10" t="s">
        <v>21</v>
      </c>
      <c r="AL3" s="10" t="s">
        <v>22</v>
      </c>
      <c r="AM3" s="10" t="s">
        <v>23</v>
      </c>
      <c r="AN3" s="10" t="s">
        <v>24</v>
      </c>
      <c r="BX3" s="364" t="s">
        <v>25</v>
      </c>
      <c r="BY3" s="365"/>
      <c r="BZ3" s="365"/>
      <c r="CA3" s="366"/>
    </row>
    <row r="4" spans="1:79" ht="18.75" customHeight="1" thickBot="1" x14ac:dyDescent="0.4">
      <c r="A4" s="101" t="s">
        <v>26</v>
      </c>
      <c r="B4" s="299"/>
      <c r="C4" s="94" t="s">
        <v>27</v>
      </c>
      <c r="D4" s="95" t="s">
        <v>136</v>
      </c>
      <c r="E4" s="352" t="s">
        <v>28</v>
      </c>
      <c r="F4" s="353"/>
      <c r="G4" s="354" t="s">
        <v>29</v>
      </c>
      <c r="H4" s="353"/>
      <c r="I4" s="354" t="s">
        <v>30</v>
      </c>
      <c r="J4" s="353"/>
      <c r="K4" s="354" t="s">
        <v>31</v>
      </c>
      <c r="L4" s="353"/>
      <c r="M4" s="354" t="s">
        <v>32</v>
      </c>
      <c r="N4" s="358"/>
      <c r="O4" s="121" t="s">
        <v>33</v>
      </c>
      <c r="P4" s="38" t="s">
        <v>33</v>
      </c>
      <c r="Q4" s="331"/>
      <c r="R4" s="28"/>
      <c r="S4" s="75"/>
      <c r="U4" s="165" t="str">
        <f>Mon!U4</f>
        <v>(AB)</v>
      </c>
      <c r="V4" s="35">
        <f>SUM(COUNTIF($E$5:$N$55,U4),IF(T4&lt;&gt;0,COUNTIF($E$5:$N$55,T4),0),IF(S4&lt;&gt;0,COUNTIF($E$5:$N$55,S4),0))</f>
        <v>1</v>
      </c>
      <c r="W4" s="36">
        <f>SUM(Mon!V4,Tue!V4)</f>
        <v>3</v>
      </c>
      <c r="X4" s="165" t="str">
        <f>Mon!U4</f>
        <v>(AB)</v>
      </c>
      <c r="Y4" s="20">
        <f>SUM((COUNTIF($E$5:$F$55,$U4)),IF($T4&lt;&gt;0,(COUNTIF($E$5:$F$55,$T4))),IF($S4&lt;&gt;0,(COUNTIF($E$5:$F$55,$S4))))</f>
        <v>0</v>
      </c>
      <c r="Z4" s="21">
        <f>SUM(COUNTIF($G$5:$J$55,$U4),IF($T4&lt;&gt;0,(COUNTIF($G$5:$J$55,$T4))),IF($S4&lt;&gt;0,(COUNTIF($G$5:$J$55,$S4))))</f>
        <v>0</v>
      </c>
      <c r="AA4" s="21">
        <f t="shared" ref="AA4:AA52" si="0">SUM(COUNTIF($K$5:$L$55,$U4),IF($T4&lt;&gt;0,(COUNTIF($K$5:$L$55,$T4))),IF($S4&lt;&gt;0,(COUNTIF($K$5:$L$55,$S4))))</f>
        <v>1</v>
      </c>
      <c r="AB4" s="22">
        <f t="shared" ref="AB4:AB52" si="1">SUM(COUNTIF($M$5:$N$55,$U4),IF($T4&lt;&gt;0,(COUNTIF($M$5:$N$55,$T4))),IF($S4&lt;&gt;0,(COUNTIF($M$5:$N$55,$S4))))</f>
        <v>0</v>
      </c>
      <c r="AC4" s="25" t="str">
        <f>CONCATENATE(IF($U4=$F$5,$E$5,IF($U4=$F$6,$E$6,IF($U4=$F$7,$E$7,IF($U4=$F$8,$E$8,IF($U4=$F$9,$E$9,IF($U4=$F$10,$E$10,IF($U4=$F$11,$E$11,IF($U4=$F$12,$E$12,IF($U4=$F$13,$E$13,IF($U4=$F$14,$E$14,IF($U4=$F$15,$E$15,IF($U4=$F$16,$E$16,IF($U4=$F$17,$E$17,"")))))))))))))&amp;" "&amp;IF($U4=$F$5,"(A)",IF($U4=$F$6,"(B)",IF($U4=$F$7,"(C)",IF($U4=$F$8,"(D)",IF($U4=$F$9,"(E)",IF($U4=$F$10,"(F)",IF($U4=$F$11,"(G)",IF($U4=$F$12,"(H)",IF($U4=$F$13,"(I)",IF($U4=$F$14,"(J)",IF($U4=$F$15,"(K)",IF($U4=$F$16,"(L)",IF($U4=$F$17,"(L)",""))))))))))))))</f>
        <v xml:space="preserve"> </v>
      </c>
      <c r="AD4" s="26" t="str">
        <f>CONCATENATE(IF($U4=$H$5,$G$5,IF($U4=$H$6,$G$6,IF($U4=$H$7,$G$7,IF($U4=$H$8,$G$8,IF($U4=$H$9,$G$9,IF($U4=$H$10,$G$10,IF($U4=$H$11,$G$11,IF($U4=$H$12,$G$12,IF($U4=$H$13,$G$13,IF($U4=$H$14,$G$14,IF($U4=$H$15,$G$15,IF($U4=$H$16,$G$16,IF($U4=$H$17,$G$17,"")))))))))))))&amp;" "&amp;IF($U4=$H$5,"(A)",IF($U4=$H$6,"(B)",IF($U4=$H$7,"(C)",IF($U4=$H$8,"(D)",IF($U4=$H$9,"(E)",IF($U4=$H$10,"(F)",IF($U4=$H$11,"(G)",IF($U4=$H$12,"(H)",IF($U4=$H$13,"(I)",IF($U4=$H$14,"(J)",IF($U4=$H$15,"(K)",IF($U4=$H$16,"(L)",IF($U4=$H$17,"(L)",""))))))))))))))</f>
        <v xml:space="preserve"> </v>
      </c>
      <c r="AE4" s="26" t="str">
        <f>CONCATENATE(IF($U4=$L$5,$K$5,IF($U4=$L$6,$K$6,IF($U4=$L$7,$K$7,IF($U4=$L$8,$K$8,IF($U4=$L$9,$K$9,IF($U4=$L$10,$K$10,IF($U4=$L$11,$K$11,IF($U4=$L$12,$K$12,IF($U4=$L$13,$K$13,IF($U4=$L$14,$K$14,IF($U4=$L$15,$K$15,IF($U4=$L$16,$K$16,IF($U4=$L$17,$K$17,"")))))))))))))&amp;" "&amp;IF($U4=$L$5,"(A)",IF($U4=$L$6,"(B)",IF($U4=$L$7,"(C)",IF($U4=$L$8,"(D)",IF($U4=$L$9,"(E)",IF($U4=$L$10,"(F)",IF($U4=$L$11,"(G)",IF($U4=$L$12,"(H)",IF($U4=$L$13,"(I)",IF($U4=$L$14,"(J)",IF($U4=$L$15,"(K)",IF($U4=$L$16,"(L)",IF($U4=$L$17,"(L)",""))))))))))))))</f>
        <v xml:space="preserve"> </v>
      </c>
      <c r="AF4" s="27" t="str">
        <f>CONCATENATE(IF($U4=$N$5,$M$5,IF($U4=$N$6,$M$6,IF($U4=$N$7,$M$7,IF($U4=$N$8,$M$8,IF($U4=$N$9,$M$9,IF($U4=$N$10,$M$10,IF($U4=$N$11,$M$11,IF($U4=$N$12,$M$12,IF($U4=$N$13,$M$13,IF($U4=$N$14,$M$14,IF($U4=$N$15,$M$15,IF($U4=$N$16,$M$16,IF($U4=$N$17,$M$17,"")))))))))))))&amp;" "&amp;(IF($U4=$N$5,"(A)",IF($U4=$N$6,"(B)",IF($U4=$N$7,"(C)",IF($U4=$N$8,"(D)",IF($U4=$N$9,"(E)",IF($U4=$N$10,"(F)",IF($U4=$N$11,"(G)",IF($U4=$N$12,"(H)",IF($U4=$N$13,"(I)",IF($U4=$N$14,"(J)",IF($U4=$N$15,"(K)",IF($U4=$N$16,"(L)",IF($U4=$N$17,"(L)","")))))))))))))))</f>
        <v xml:space="preserve"> </v>
      </c>
      <c r="AG4" s="178" t="str">
        <f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f>
        <v xml:space="preserve"> </v>
      </c>
      <c r="AH4" s="177" t="str">
        <f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f>
        <v xml:space="preserve"> </v>
      </c>
      <c r="AI4" s="177" t="str">
        <f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f>
        <v xml:space="preserve"> </v>
      </c>
      <c r="AJ4" s="180" t="str">
        <f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f>
        <v xml:space="preserve"> </v>
      </c>
      <c r="AK4" s="178" t="str">
        <f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f>
        <v xml:space="preserve"> </v>
      </c>
      <c r="AL4" s="177" t="str">
        <f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f>
        <v xml:space="preserve"> </v>
      </c>
      <c r="AM4" s="177" t="str">
        <f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f>
        <v>BT (G)</v>
      </c>
      <c r="AN4" s="179" t="str">
        <f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f>
        <v xml:space="preserve"> </v>
      </c>
      <c r="BV4" t="s">
        <v>35</v>
      </c>
      <c r="BX4" s="4" t="s">
        <v>36</v>
      </c>
      <c r="BY4" s="4" t="s">
        <v>37</v>
      </c>
      <c r="BZ4" s="4" t="s">
        <v>38</v>
      </c>
      <c r="CA4" s="4" t="s">
        <v>39</v>
      </c>
    </row>
    <row r="5" spans="1:79" ht="18.75" customHeight="1" thickBot="1" x14ac:dyDescent="0.4">
      <c r="A5" s="373">
        <v>5</v>
      </c>
      <c r="B5" s="18" t="str">
        <f>Mon!B5</f>
        <v>F+ECOM</v>
      </c>
      <c r="C5" s="90" t="s">
        <v>41</v>
      </c>
      <c r="D5" s="91"/>
      <c r="E5" s="33" t="str">
        <f>_xlfn.XLOOKUP(F5, $A$100:$A$107, $B$100:$B$107, "Training")</f>
        <v>IB</v>
      </c>
      <c r="F5" s="92" t="s">
        <v>46</v>
      </c>
      <c r="G5" s="33" t="str">
        <f>_xlfn.XLOOKUP(H5, $A$100:$A$107, $B$100:$B$107, "Training")</f>
        <v>IT</v>
      </c>
      <c r="H5" s="92" t="s">
        <v>50</v>
      </c>
      <c r="I5" s="375" t="s">
        <v>143</v>
      </c>
      <c r="J5" s="375"/>
      <c r="K5" s="33" t="str">
        <f>_xlfn.XLOOKUP(L5, $A$100:$A$107, $B$100:$B$107, "Training")</f>
        <v>IF</v>
      </c>
      <c r="L5" s="92" t="s">
        <v>58</v>
      </c>
      <c r="M5" s="33" t="str">
        <f>_xlfn.XLOOKUP(N5, $A$100:$A$107, $B$100:$B$107, "Training")</f>
        <v>AA</v>
      </c>
      <c r="N5" s="93" t="s">
        <v>45</v>
      </c>
      <c r="O5" s="70" t="str">
        <f>IF(P5="",".",P5)</f>
        <v>.</v>
      </c>
      <c r="P5" s="12"/>
      <c r="Q5" s="331"/>
      <c r="R5" s="28"/>
      <c r="S5" s="331"/>
      <c r="U5" s="165" t="str">
        <f>Mon!U5</f>
        <v>(AD)</v>
      </c>
      <c r="V5" s="35">
        <f t="shared" ref="V5:V58" si="2">SUM(COUNTIF($E$5:$N$55,U5),IF(T5&lt;&gt;0,COUNTIF($E$5:$N$55,T5),0),IF(S5&lt;&gt;0,COUNTIF($E$5:$N$55,S5),0))</f>
        <v>3</v>
      </c>
      <c r="W5" s="36">
        <f>SUM(Mon!V5,Tue!V5)</f>
        <v>6</v>
      </c>
      <c r="X5" s="165" t="str">
        <f>Mon!U5</f>
        <v>(AD)</v>
      </c>
      <c r="Y5" s="20">
        <f t="shared" ref="Y5:Y52" si="3">SUM((COUNTIF($E$5:$F$55,$U5)),IF($T5&lt;&gt;0,(COUNTIF($E$5:$F$55,$T5))),IF($S5&lt;&gt;0,(COUNTIF($E$5:$F$55,$S5))))</f>
        <v>1</v>
      </c>
      <c r="Z5" s="21">
        <f t="shared" ref="Z5:Z52" si="4">SUM(COUNTIF($G$5:$J$55,$U5),IF($T5&lt;&gt;0,(COUNTIF($G$5:$J$55,$T5))),IF($S5&lt;&gt;0,(COUNTIF($G$5:$J$55,$S5))))</f>
        <v>1</v>
      </c>
      <c r="AA5" s="21">
        <f t="shared" si="0"/>
        <v>0</v>
      </c>
      <c r="AB5" s="22">
        <f t="shared" si="1"/>
        <v>1</v>
      </c>
      <c r="AC5" s="25" t="str">
        <f t="shared" ref="AC5:AC9" si="5">CONCATENATE(IF($U5=$F$5,$E$5,IF($U5=$F$6,$E$6,IF($U5=$F$7,$E$7,IF($U5=$F$8,$E$8,IF($U5=$F$9,$E$9,IF($U5=$F$10,$E$10,IF($U5=$F$11,$E$11,IF($U5=$F$12,$E$12,IF($U5=$F$13,$E$13,IF($U5=$F$14,$E$14,IF($U5=$F$15,$E$15,IF($U5=$F$16,$E$16,IF($U5=$F$17,$E$17,"")))))))))))))&amp;" "&amp;IF($U5=$F$5,"(A)",IF($U5=$F$6,"(B)",IF($U5=$F$7,"(C)",IF($U5=$F$8,"(D)",IF($U5=$F$9,"(E)",IF($U5=$F$10,"(F)",IF($U5=$F$11,"(G)",IF($U5=$F$12,"(H)",IF($U5=$F$13,"(I)",IF($U5=$F$14,"(J)",IF($U5=$F$15,"(K)",IF($U5=$F$16,"(L)",IF($U5=$F$17,"(L)",""))))))))))))))</f>
        <v>IT (J)</v>
      </c>
      <c r="AD5" s="26" t="str">
        <f t="shared" ref="AD5:AD9" si="6">CONCATENATE(IF($U5=$H$5,$G$5,IF($U5=$H$6,$G$6,IF($U5=$H$7,$G$7,IF($U5=$H$8,$G$8,IF($U5=$H$9,$G$9,IF($U5=$H$10,$G$10,IF($U5=$H$11,$G$11,IF($U5=$H$12,$G$12,IF($U5=$H$13,$G$13,IF($U5=$H$14,$G$14,IF($U5=$H$15,$G$15,IF($U5=$H$16,$G$16,IF($U5=$H$17,$G$17,"")))))))))))))&amp;" "&amp;IF($U5=$H$5,"(A)",IF($U5=$H$6,"(B)",IF($U5=$H$7,"(C)",IF($U5=$H$8,"(D)",IF($U5=$H$9,"(E)",IF($U5=$H$10,"(F)",IF($U5=$H$11,"(G)",IF($U5=$H$12,"(H)",IF($U5=$H$13,"(I)",IF($U5=$H$14,"(J)",IF($U5=$H$15,"(K)",IF($U5=$H$16,"(L)",IF($U5=$H$17,"(L)",""))))))))))))))</f>
        <v>IT (L)</v>
      </c>
      <c r="AE5" s="26" t="str">
        <f t="shared" ref="AE5:AE9" si="7">CONCATENATE(IF($U5=$L$5,$K$5,IF($U5=$L$6,$K$6,IF($U5=$L$7,$K$7,IF($U5=$L$8,$K$8,IF($U5=$L$9,$K$9,IF($U5=$L$10,$K$10,IF($U5=$L$11,$K$11,IF($U5=$L$12,$K$12,IF($U5=$L$13,$K$13,IF($U5=$L$14,$K$14,IF($U5=$L$15,$K$15,IF($U5=$L$16,$K$16,IF($U5=$L$17,$K$17,"")))))))))))))&amp;" "&amp;IF($U5=$L$5,"(A)",IF($U5=$L$6,"(B)",IF($U5=$L$7,"(C)",IF($U5=$L$8,"(D)",IF($U5=$L$9,"(E)",IF($U5=$L$10,"(F)",IF($U5=$L$11,"(G)",IF($U5=$L$12,"(H)",IF($U5=$L$13,"(I)",IF($U5=$L$14,"(J)",IF($U5=$L$15,"(K)",IF($U5=$L$16,"(L)",IF($U5=$L$17,"(L)",""))))))))))))))</f>
        <v xml:space="preserve"> </v>
      </c>
      <c r="AF5" s="27" t="str">
        <f t="shared" ref="AF5:AF9" si="8">CONCATENATE(IF($U5=$N$5,$M$5,IF($U5=$N$6,$M$6,IF($U5=$N$7,$M$7,IF($U5=$N$8,$M$8,IF($U5=$N$9,$M$9,IF($U5=$N$10,$M$10,IF($U5=$N$11,$M$11,IF($U5=$N$12,$M$12,IF($U5=$N$13,$M$13,IF($U5=$N$14,$M$14,IF($U5=$N$15,$M$15,IF($U5=$N$16,$M$16,IF($U5=$N$17,$M$17,"")))))))))))))&amp;" "&amp;(IF($U5=$N$5,"(A)",IF($U5=$N$6,"(B)",IF($U5=$N$7,"(C)",IF($U5=$N$8,"(D)",IF($U5=$N$9,"(E)",IF($U5=$N$10,"(F)",IF($U5=$N$11,"(G)",IF($U5=$N$12,"(H)",IF($U5=$N$13,"(I)",IF($U5=$N$14,"(J)",IF($U5=$N$15,"(K)",IF($U5=$N$16,"(L)",IF($U5=$N$17,"(L)","")))))))))))))))</f>
        <v>IT (K)</v>
      </c>
      <c r="AG5" s="178" t="str">
        <f t="shared" ref="AG5:AG59" si="9">CONCATENATE(IF($U5=$F$21,$E$21,IF($U5=$F$22,$E$22,IF($U5=$F$23,$E$23,IF($U5=$F$24,$E$24,IF($U5=$F$25,$E$25,IF($U5=$F$26,$E$26,IF($U5=$F$27,$E$27,IF($U5=$F$28,$E$28,IF($U5=$F$29,$E$29,IF($U5=$F$30,$E$30,IF($U5=$F$31,$E$31,IF($U5=$F$32,$E$32,IF($U5=$F$33,$E$33,IF($U5=$F$34,$E$34,"")))))))))))))&amp;" "&amp;(IF($U5=$F$21,"(A)",IF($U5=$F$22,"(B)",IF($U5=$F$23,"(C)",IF($U5=$F$24,"(D)",IF($U5=$F$25,"(E)",IF($U5=$F$26,"(F)",IF($U5=$F$27,"(G)",IF($U5=$F$28,"(H)",IF($U5=$F$29,"(I)",IF($U5=$F$30,"(J)",IF($U5=$D$63,"(K)",IF($U5=$F$32,"(L)",IF($U5=$F$33,"(M)",IF($U5=$F$34,"(N)","")))))))))))))))))</f>
        <v xml:space="preserve"> </v>
      </c>
      <c r="AH5" s="177" t="str">
        <f t="shared" ref="AH5:AH59" si="10">CONCATENATE(IF($U5=$H$21,$G$21,IF($U5=$H$22,$G$22,IF($U5=$H$23,$G$23,IF($U5=$H$24,$G$24,IF($U5=$H$25,$G$25,IF($U5=$H$26,$G$26,IF($U5=$H$27,$G$27,IF($U5=$H$28,$G$28,IF($U5=$H$29,$G$29,IF($U5=$H$30,$G$30,IF($U5=$H$31,$G$31,IF($U5=$H$32,$G$32,IF($U5=$H$33,$G$33,IF($U5=$H$34,$G$34,""))))))))))))))&amp;" "&amp;(IF($U5=$H$21,"(A)",IF($U5=$H$22,"(B)",IF($U5=$H$23,"(C)",IF($U5=$H$24,"(D)",IF($U5=$H$25,"(E)",IF($U5=$H$26,"(F)",IF($U5=$H$27,"(G)",IF($U5=$H$28,"(H)",IF($U5=$H$29,"(I)",IF($U5=$H$30,"(J)",IF($U5=$H$31,"(K)",IF($U5=$H$32,"(L)",IF($U5=$H$33,"(M)",IF($U5=$H$34,"(N)",""))))))))))))))))</f>
        <v xml:space="preserve"> </v>
      </c>
      <c r="AI5" s="177" t="str">
        <f t="shared" ref="AI5:AI59" si="11">CONCATENATE(IF($U5=$L$21,$K$21,IF($U5=$L$22,$K$22,IF($U5=$L$23,$K$23,IF($U5=$L$24,$K$24,IF($U5=$L$25,$K$25,IF($U5=$L$26,$K$26,IF($U5=$L$27,$K$27,IF($U5=$L$28,$K$28,IF($U5=$L$29,$K$29,IF($U5=$L$30,$K$30,IF($U5=$L$31,$K$31,IF($U5=$L$32,$K$32,IF($U5=$L$33,$K$33,IF($U5=$L$34,$K$34,""))))))))))))))&amp;" "&amp;IF($U5=$L$21,"(A)",IF($U5=$L$22,"(B)",IF($U5=$L$23,"(C)",IF($U5=$L$24,"(D)",IF($U5=$L$25,"(E)",IF($U5=$L$26,"(F)",IF($U5=$L$27,"(G)",IF($U5=$L$28,"(H)",IF($U5=$L$29,"(I)",IF($U5=$L$30,"(J)",IF($U5=$L$31,"(K)",IF($U5=$L$32,"(L)",IF($U5=$L$33,"(M)",IF($U5=$L$34,"(N)","")))))))))))))))</f>
        <v xml:space="preserve"> </v>
      </c>
      <c r="AJ5" s="180" t="str">
        <f t="shared" ref="AJ5:AJ59" si="12">CONCATENATE(IF($U5=$N$21,$M$21,IF($U5=$N$22,$M$22,IF($U5=$N$23,$M$23,IF($U5=$N$24,$M$24,IF($U5=$N$25,$M$25,IF($U5=$N$26,$M$26,IF($U5=$N$27,$M$27,IF($U5=$N$28,$M$28,IF($U5=$N$29,$M$29,IF($U5=$N$30,$M$30,IF($U5=$N$31,$M$31,IF($U5=$N$32,$M$32,IF($U5=$N$33,$M$33,IF($U5=$N$34,$M$34,""))))))))))))))&amp;" "&amp;(IF($U5=$N$21,"(A)",IF($U5=$N$22,"(B)",IF($U5=$N$23,"(C)",IF($U5=$N$24,"(D)",IF($U5=$N$25,"(E)",IF($U5=$N$26,"(F)",IF($U5=$N$27,"(G)",IF($U5=$N$28,"(H)",IF($U5=$N$29,"(I)",IF($U5=$N$30,"(J)",IF($U5=$N$31,"(K)",IF($U5=$N$32,"(L)",IF($U5=$N$33,"(M)",IF($U5=$N$34,"(N)",""))))))))))))))))</f>
        <v xml:space="preserve"> </v>
      </c>
      <c r="AK5" s="178" t="str">
        <f t="shared" ref="AK5:AK59" si="13">CONCATENATE(IF($U5=$F$37,$E$37,IF($U5=$F$38,$E$38,IF($U5=$F$39,$E$39,IF($U5=$F$40,$E$40,IF($U5=$F$41,$E$41,IF($U5=$F$42,$E$42,IF($U5=$F$43,$E$43,IF($U5=$F$44,$E$44,IF($U5=$F$45,$E$45,IF($U5=$F$46,$E$46,IF($U5=$F$47,$E$47,IF($U5=$F$48,$E$48,IF($U5=$F$49,$E$49,IF($U5=$F$50,$E$50,IF($U5=$F$51,$E$51,""))))))))))))))&amp;" "&amp;IF($U5=$F$38,"(A)",IF($U5=$F$39,"(B)",IF($U5=$F$40,"(C)",IF($U5=$F$41,"(D)",IF($U5=$F$42,"(E)",IF($U5=$F$43,"(F)",IF($U5=$F$44,"(G)",IF($U5=$F$45,"(H)",IF($U5=$F$46,"(I)",IF($U5=$F$47,"(J)",IF($U5=$F$48,"(K)",IF($U5=$F$49,"(L)",IF($U5=$F$50,"(M)",IF($U5=$F$51,"(N)",""))))))))))))))))</f>
        <v xml:space="preserve"> </v>
      </c>
      <c r="AL5" s="177" t="str">
        <f t="shared" ref="AL5:AL59" si="14">CONCATENATE(IF($U5=$H$37,$G$37,IF($U5=$H$38,$G$38,IF($U5=$H$39,$G$39,IF($U5=$H$40,$G$40,IF($U5=$H$41,$G$41,IF($U5=$H$42,$G$42,IF($U5=$H$43,$G$43,IF($U5=$H$44,$G$44,IF($U5=$H$45,$G$45,IF($U5=$H$46,$G$46,IF($U5=$H$47,$G$47,IF($U5=$H$48,$G$48,IF($U5=$H$49,$G$49,IF($U5=$H$50,$G$50,IF($U5=$H$51,$G$51,"")))))))))))))))&amp;" "&amp;IF($U5=$H$38,"(A)",IF($U5=$H$39,"(B)",IF($U5=$H$40,"(C)",IF($U5=$H$41,"(D)",IF($U5=$H$42,"(E)",IF($U5=$H$43,"(F)",IF($U5=$H$44,"(G)",IF($U5=$H$45,"(H)",IF($U5=$H$46,"(I)",IF($U5=$H$47,"(J)",IF($U5=$H$48,"(K)",IF($U5=$H$49,"(L)",IF($U5=$H$50,"(M)",IF($U5=$H$51,"(N)","")))))))))))))))</f>
        <v xml:space="preserve"> </v>
      </c>
      <c r="AM5" s="177" t="str">
        <f t="shared" ref="AM5:AM59" si="15">CONCATENATE(IF($U5=$L$37,$K$37,IF($U5=$L$38,$K$38,IF($U5=$L$39,$K$39,IF($U5=$L$40,$K$40,IF($U5=$L$41,$K$41,IF($U5=$L$42,$K$42,IF($U5=$L$43,$K$43,IF($U5=$L$44,$K$44,IF($U5=$L$45,$K$45,IF($U5=$L$46,$K$46,IF($U5=$L$47,$K$47,IF($U5=$L$48,$K$48,IF($U5=$L$49,$K$49,IF($U5=$L$50,$K$50,IF($U5=$L$51,$K$51,"")))))))))))))))&amp;" "&amp;IF($U5=$L$38,"(A)",IF($U5=$L$39,"(B)",IF($U5=$L$40,"(C)",IF($U5=$L$41,"(D)",IF($U5=$L$42,"(E)",IF($U5=$L$43,"(F)",IF($U5=$L$44,"(G)",IF($U5=$L$45,"(H)",IF($U5=$L$46,"(I)",IF($U5=$L$47,"(J)",IF($U5=$L$48,"(K)",IF($U5=$L$49,"(L)",IF($U5=$L$50,"(M)",IF($U5=$L$51,"(N)","")))))))))))))))</f>
        <v xml:space="preserve"> </v>
      </c>
      <c r="AN5" s="179" t="str">
        <f t="shared" ref="AN5:AN59" si="16">CONCATENATE(IF($U5=$N$37,$M$37,IF($U5=$N$38,$M$38,IF($U5=$N$39,$M$39,IF($U5=$N$40,$M$40,IF($U5=$N$41,$M$41,IF($U5=$N$42,$M$42,IF($U5=$N$43,$M$43,IF($U5=$N$44,$M$44,IF($U5=$N$45,$M$45,IF($U5=$N$46,$M$46,IF($U5=$N$47,$M$47,IF($U5=$N$48,$M$48,IF($U5=$N$49,$M$49,IF($U5=$N$50,$M$50,IF($U5=$N$51,$M$51,"")))))))))))))))&amp;" "&amp;IF($U5=$N$38,"(A)",IF($U5=$N$39,"(B)",IF($U5=$N$40,"(C)",IF($U5=$N$41,"(D)",IF($U5=$N$42,"(E)",IF($U5=$N$43,"(F)",IF($U5=$N$44,"(G)",IF($U5=$N$45,"(H)",IF($U5=$N$46,"(I)",IF($U5=$N$47,"(J)",IF($U5=$N$48,"(K)",IF($U5=$N$49,"(L)",IF($U5=$N$50,"(M)",IF($U5=$N$51,"(N)","")))))))))))))))</f>
        <v xml:space="preserve"> </v>
      </c>
      <c r="BV5" t="s">
        <v>48</v>
      </c>
    </row>
    <row r="6" spans="1:79" ht="18.75" customHeight="1" thickBot="1" x14ac:dyDescent="0.4">
      <c r="A6" s="374"/>
      <c r="B6" s="162" t="str">
        <f>Mon!B6</f>
        <v>F+ECOM</v>
      </c>
      <c r="C6" s="3" t="s">
        <v>49</v>
      </c>
      <c r="D6" s="76"/>
      <c r="E6" s="6" t="str">
        <f>_xlfn.XLOOKUP(F6, $C$100:$C$107, $D$100:$D$107, "Training")</f>
        <v>IB</v>
      </c>
      <c r="F6" s="7" t="s">
        <v>70</v>
      </c>
      <c r="G6" s="6" t="str">
        <f>_xlfn.XLOOKUP(H6, $C$100:$C$107, $D$100:$D$107, "Training")</f>
        <v>MA</v>
      </c>
      <c r="H6" s="7" t="s">
        <v>106</v>
      </c>
      <c r="I6" s="375"/>
      <c r="J6" s="375"/>
      <c r="K6" s="6" t="str">
        <f>_xlfn.XLOOKUP(L6, $C$100:$C$107, $D$100:$D$107, "Training")</f>
        <v>IT</v>
      </c>
      <c r="L6" s="7" t="s">
        <v>52</v>
      </c>
      <c r="M6" s="6" t="str">
        <f>_xlfn.XLOOKUP(N6, $C$100:$C$107, $D$100:$D$107, "Training")</f>
        <v>ECOM</v>
      </c>
      <c r="N6" s="107" t="s">
        <v>51</v>
      </c>
      <c r="O6" s="71" t="str">
        <f t="shared" ref="O6:O9" si="17">IF(P6="",".",P6)</f>
        <v>.</v>
      </c>
      <c r="P6" s="13"/>
      <c r="Q6" s="331"/>
      <c r="R6" s="28"/>
      <c r="S6" s="331" t="s">
        <v>219</v>
      </c>
      <c r="U6" s="165" t="str">
        <f>Mon!U6</f>
        <v>(AG)</v>
      </c>
      <c r="V6" s="35">
        <f t="shared" si="2"/>
        <v>3</v>
      </c>
      <c r="W6" s="36">
        <f>SUM(Mon!V6,Tue!V6)</f>
        <v>6</v>
      </c>
      <c r="X6" s="165" t="str">
        <f>Mon!U6</f>
        <v>(AG)</v>
      </c>
      <c r="Y6" s="20">
        <f t="shared" si="3"/>
        <v>1</v>
      </c>
      <c r="Z6" s="21">
        <f t="shared" si="4"/>
        <v>2</v>
      </c>
      <c r="AA6" s="21">
        <f t="shared" si="0"/>
        <v>0</v>
      </c>
      <c r="AB6" s="22">
        <f t="shared" si="1"/>
        <v>0</v>
      </c>
      <c r="AC6" s="25" t="str">
        <f t="shared" si="5"/>
        <v xml:space="preserve"> </v>
      </c>
      <c r="AD6" s="26" t="str">
        <f t="shared" si="6"/>
        <v xml:space="preserve"> </v>
      </c>
      <c r="AE6" s="26" t="str">
        <f t="shared" si="7"/>
        <v xml:space="preserve"> </v>
      </c>
      <c r="AF6" s="27" t="str">
        <f t="shared" si="8"/>
        <v xml:space="preserve"> </v>
      </c>
      <c r="AG6" s="178" t="str">
        <f t="shared" si="9"/>
        <v xml:space="preserve"> </v>
      </c>
      <c r="AH6" s="177" t="str">
        <f t="shared" si="10"/>
        <v>EVS (J)</v>
      </c>
      <c r="AI6" s="177" t="str">
        <f t="shared" si="11"/>
        <v xml:space="preserve"> </v>
      </c>
      <c r="AJ6" s="180" t="str">
        <f t="shared" si="12"/>
        <v xml:space="preserve"> </v>
      </c>
      <c r="AK6" s="178" t="str">
        <f t="shared" si="13"/>
        <v>BM (K)</v>
      </c>
      <c r="AL6" s="177" t="str">
        <f t="shared" si="14"/>
        <v>BM (N)</v>
      </c>
      <c r="AM6" s="177" t="str">
        <f t="shared" si="15"/>
        <v xml:space="preserve"> </v>
      </c>
      <c r="AN6" s="179" t="str">
        <f t="shared" si="16"/>
        <v xml:space="preserve"> </v>
      </c>
    </row>
    <row r="7" spans="1:79" ht="18.75" customHeight="1" thickBot="1" x14ac:dyDescent="0.4">
      <c r="A7" s="374"/>
      <c r="B7" s="162" t="str">
        <f>Mon!B7</f>
        <v>F+ECOM</v>
      </c>
      <c r="C7" s="3" t="s">
        <v>55</v>
      </c>
      <c r="D7" s="76"/>
      <c r="E7" s="6" t="str">
        <f>_xlfn.XLOOKUP(F7, $E$100:$E$107, $F$100:$F$107, "Training")</f>
        <v>ECOM</v>
      </c>
      <c r="F7" s="7" t="s">
        <v>56</v>
      </c>
      <c r="G7" s="6" t="str">
        <f>_xlfn.XLOOKUP(H7, $E$100:$E$107, $F$100:$F$107, "Training")</f>
        <v>AA</v>
      </c>
      <c r="H7" s="7" t="s">
        <v>53</v>
      </c>
      <c r="I7" s="375"/>
      <c r="J7" s="375"/>
      <c r="K7" s="6" t="str">
        <f>_xlfn.XLOOKUP(L7, $E$100:$E$107, $F$100:$F$107, "Training")</f>
        <v>IT</v>
      </c>
      <c r="L7" s="7" t="s">
        <v>45</v>
      </c>
      <c r="M7" s="6" t="str">
        <f>_xlfn.XLOOKUP(N7, $E$100:$E$107, $F$100:$F$107, "Training")</f>
        <v>FMS</v>
      </c>
      <c r="N7" s="11" t="s">
        <v>66</v>
      </c>
      <c r="O7" s="71" t="str">
        <f t="shared" si="17"/>
        <v>.</v>
      </c>
      <c r="P7" s="13"/>
      <c r="Q7" s="331"/>
      <c r="R7" s="28"/>
      <c r="S7" s="331"/>
      <c r="U7" s="165" t="str">
        <f>Mon!U7</f>
        <v>(ANU)</v>
      </c>
      <c r="V7" s="35">
        <f t="shared" si="2"/>
        <v>0</v>
      </c>
      <c r="W7" s="36">
        <f>SUM(Mon!V7,Tue!V7)</f>
        <v>0</v>
      </c>
      <c r="X7" s="165" t="str">
        <f>Mon!U7</f>
        <v>(ANU)</v>
      </c>
      <c r="Y7" s="20">
        <f t="shared" si="3"/>
        <v>0</v>
      </c>
      <c r="Z7" s="21">
        <f t="shared" si="4"/>
        <v>0</v>
      </c>
      <c r="AA7" s="21">
        <f t="shared" si="0"/>
        <v>0</v>
      </c>
      <c r="AB7" s="22">
        <f t="shared" si="1"/>
        <v>0</v>
      </c>
      <c r="AC7" s="25" t="str">
        <f t="shared" si="5"/>
        <v xml:space="preserve"> </v>
      </c>
      <c r="AD7" s="26" t="str">
        <f t="shared" si="6"/>
        <v xml:space="preserve"> </v>
      </c>
      <c r="AE7" s="26" t="str">
        <f t="shared" si="7"/>
        <v xml:space="preserve"> </v>
      </c>
      <c r="AF7" s="27" t="str">
        <f t="shared" si="8"/>
        <v xml:space="preserve"> </v>
      </c>
      <c r="AG7" s="178" t="str">
        <f t="shared" si="9"/>
        <v xml:space="preserve"> </v>
      </c>
      <c r="AH7" s="177" t="str">
        <f t="shared" si="10"/>
        <v xml:space="preserve"> </v>
      </c>
      <c r="AI7" s="177" t="str">
        <f t="shared" si="11"/>
        <v xml:space="preserve"> </v>
      </c>
      <c r="AJ7" s="180" t="str">
        <f t="shared" si="12"/>
        <v xml:space="preserve"> </v>
      </c>
      <c r="AK7" s="178" t="str">
        <f t="shared" si="13"/>
        <v xml:space="preserve"> </v>
      </c>
      <c r="AL7" s="177" t="str">
        <f t="shared" si="14"/>
        <v xml:space="preserve"> </v>
      </c>
      <c r="AM7" s="177" t="str">
        <f t="shared" si="15"/>
        <v xml:space="preserve"> </v>
      </c>
      <c r="AN7" s="179" t="str">
        <f t="shared" si="16"/>
        <v xml:space="preserve"> </v>
      </c>
    </row>
    <row r="8" spans="1:79" ht="18.75" customHeight="1" thickBot="1" x14ac:dyDescent="0.4">
      <c r="A8" s="374"/>
      <c r="B8" s="162" t="str">
        <f>Mon!B8</f>
        <v>F+ECOM</v>
      </c>
      <c r="C8" s="3" t="s">
        <v>37</v>
      </c>
      <c r="D8" s="76"/>
      <c r="E8" s="6" t="str">
        <f>_xlfn.XLOOKUP(F8, $G$100:$G$107, $H$100:$H$107, "Training")</f>
        <v>IT</v>
      </c>
      <c r="F8" s="7" t="s">
        <v>50</v>
      </c>
      <c r="G8" s="6" t="str">
        <f>_xlfn.XLOOKUP(H8, $G$100:$G$107, $H$100:$H$107, "Training")</f>
        <v>ECOM</v>
      </c>
      <c r="H8" s="7" t="s">
        <v>51</v>
      </c>
      <c r="I8" s="375"/>
      <c r="J8" s="375"/>
      <c r="K8" s="6" t="str">
        <f>_xlfn.XLOOKUP(L8, $G$100:$G$107, $H$100:$H$107, "Training")</f>
        <v>FMS</v>
      </c>
      <c r="L8" s="7" t="s">
        <v>43</v>
      </c>
      <c r="M8" s="6" t="str">
        <f>_xlfn.XLOOKUP(N8, $G$100:$G$107, $H$100:$H$107, "Training")</f>
        <v>IF</v>
      </c>
      <c r="N8" s="11" t="s">
        <v>58</v>
      </c>
      <c r="O8" s="71" t="str">
        <f t="shared" si="17"/>
        <v>.</v>
      </c>
      <c r="P8" s="13"/>
      <c r="Q8" s="331"/>
      <c r="R8" s="28"/>
      <c r="S8" s="331"/>
      <c r="U8" s="165" t="str">
        <f>Mon!U8</f>
        <v>(AS)</v>
      </c>
      <c r="V8" s="35">
        <f t="shared" si="2"/>
        <v>4</v>
      </c>
      <c r="W8" s="36">
        <f>SUM(Mon!V8,Tue!V8)</f>
        <v>7</v>
      </c>
      <c r="X8" s="165" t="str">
        <f>Mon!U8</f>
        <v>(AS)</v>
      </c>
      <c r="Y8" s="20">
        <f t="shared" si="3"/>
        <v>1</v>
      </c>
      <c r="Z8" s="21">
        <f t="shared" si="4"/>
        <v>1</v>
      </c>
      <c r="AA8" s="21">
        <f t="shared" si="0"/>
        <v>1</v>
      </c>
      <c r="AB8" s="22">
        <f t="shared" si="1"/>
        <v>1</v>
      </c>
      <c r="AC8" s="25" t="str">
        <f t="shared" si="5"/>
        <v xml:space="preserve"> </v>
      </c>
      <c r="AD8" s="26" t="str">
        <f t="shared" si="6"/>
        <v xml:space="preserve"> </v>
      </c>
      <c r="AE8" s="26" t="str">
        <f t="shared" si="7"/>
        <v xml:space="preserve"> </v>
      </c>
      <c r="AF8" s="27" t="str">
        <f t="shared" si="8"/>
        <v xml:space="preserve"> </v>
      </c>
      <c r="AG8" s="178" t="str">
        <f t="shared" si="9"/>
        <v>HR (L)</v>
      </c>
      <c r="AH8" s="177" t="str">
        <f t="shared" si="10"/>
        <v>HR (K)</v>
      </c>
      <c r="AI8" s="177" t="str">
        <f t="shared" si="11"/>
        <v>HR (J)</v>
      </c>
      <c r="AJ8" s="180" t="str">
        <f t="shared" si="12"/>
        <v>HR (C)</v>
      </c>
      <c r="AK8" s="178" t="str">
        <f t="shared" si="13"/>
        <v xml:space="preserve"> </v>
      </c>
      <c r="AL8" s="177" t="str">
        <f t="shared" si="14"/>
        <v xml:space="preserve"> </v>
      </c>
      <c r="AM8" s="177" t="str">
        <f t="shared" si="15"/>
        <v xml:space="preserve"> </v>
      </c>
      <c r="AN8" s="179" t="str">
        <f t="shared" si="16"/>
        <v xml:space="preserve"> </v>
      </c>
    </row>
    <row r="9" spans="1:79" ht="18.75" customHeight="1" thickBot="1" x14ac:dyDescent="0.4">
      <c r="A9" s="374"/>
      <c r="B9" s="162" t="str">
        <f>Mon!B9</f>
        <v>F+ECOM</v>
      </c>
      <c r="C9" s="3" t="s">
        <v>38</v>
      </c>
      <c r="D9" s="76"/>
      <c r="E9" s="6" t="str">
        <f>_xlfn.XLOOKUP(F9, $I$100:$I$107, $J$100:$J$107, "Training")</f>
        <v>MA</v>
      </c>
      <c r="F9" s="7" t="s">
        <v>42</v>
      </c>
      <c r="G9" s="6" t="str">
        <f>_xlfn.XLOOKUP(H9, $I$100:$I$107, $J$100:$J$107, "Training")</f>
        <v>AA</v>
      </c>
      <c r="H9" s="7" t="s">
        <v>45</v>
      </c>
      <c r="I9" s="375"/>
      <c r="J9" s="375"/>
      <c r="K9" s="6" t="str">
        <f>_xlfn.XLOOKUP(L9, $I$100:$I$107, $J$100:$J$107, "Training")</f>
        <v>FMS</v>
      </c>
      <c r="L9" s="7" t="s">
        <v>53</v>
      </c>
      <c r="M9" s="6" t="str">
        <f>_xlfn.XLOOKUP(N9, $I$100:$I$107, $J$100:$J$107, "Training")</f>
        <v>ECOM</v>
      </c>
      <c r="N9" s="11" t="s">
        <v>62</v>
      </c>
      <c r="O9" s="72" t="str">
        <f t="shared" si="17"/>
        <v>.</v>
      </c>
      <c r="P9" s="14"/>
      <c r="Q9" s="331"/>
      <c r="R9" s="28"/>
      <c r="S9" s="331"/>
      <c r="T9" s="87"/>
      <c r="U9" s="165" t="str">
        <f>Mon!U9</f>
        <v>(AV)</v>
      </c>
      <c r="V9" s="35">
        <f t="shared" si="2"/>
        <v>4</v>
      </c>
      <c r="W9" s="36">
        <f>SUM(Mon!V9,Tue!V9)</f>
        <v>6</v>
      </c>
      <c r="X9" s="165" t="str">
        <f>Mon!U9</f>
        <v>(AV)</v>
      </c>
      <c r="Y9" s="20">
        <f t="shared" si="3"/>
        <v>1</v>
      </c>
      <c r="Z9" s="21">
        <f t="shared" si="4"/>
        <v>1</v>
      </c>
      <c r="AA9" s="21">
        <f t="shared" si="0"/>
        <v>1</v>
      </c>
      <c r="AB9" s="22">
        <f t="shared" si="1"/>
        <v>1</v>
      </c>
      <c r="AC9" s="25" t="str">
        <f t="shared" si="5"/>
        <v>IB (A)</v>
      </c>
      <c r="AD9" s="26" t="str">
        <f t="shared" si="6"/>
        <v>IB (I)</v>
      </c>
      <c r="AE9" s="26" t="str">
        <f t="shared" si="7"/>
        <v xml:space="preserve"> </v>
      </c>
      <c r="AF9" s="27" t="str">
        <f t="shared" si="8"/>
        <v xml:space="preserve"> </v>
      </c>
      <c r="AG9" s="178" t="str">
        <f t="shared" si="9"/>
        <v xml:space="preserve"> </v>
      </c>
      <c r="AH9" s="177" t="str">
        <f t="shared" si="10"/>
        <v xml:space="preserve"> </v>
      </c>
      <c r="AI9" s="177" t="str">
        <f t="shared" si="11"/>
        <v>CM (K)</v>
      </c>
      <c r="AJ9" s="180" t="str">
        <f t="shared" si="12"/>
        <v>CM (A)</v>
      </c>
      <c r="AK9" s="178" t="str">
        <f t="shared" si="13"/>
        <v xml:space="preserve"> </v>
      </c>
      <c r="AL9" s="177" t="str">
        <f t="shared" si="14"/>
        <v xml:space="preserve"> </v>
      </c>
      <c r="AM9" s="177" t="str">
        <f t="shared" si="15"/>
        <v xml:space="preserve"> </v>
      </c>
      <c r="AN9" s="179" t="str">
        <f t="shared" si="16"/>
        <v xml:space="preserve"> </v>
      </c>
    </row>
    <row r="10" spans="1:79" ht="18.75" customHeight="1" thickBot="1" x14ac:dyDescent="0.4">
      <c r="A10" s="374"/>
      <c r="B10" s="162" t="str">
        <f>Mon!B10</f>
        <v>F+PR</v>
      </c>
      <c r="C10" s="3" t="s">
        <v>65</v>
      </c>
      <c r="D10" s="76"/>
      <c r="E10" s="6" t="str">
        <f>_xlfn.XLOOKUP(F10, $K$100:$K$107, $L$100:$L$107, "Training")</f>
        <v>IB</v>
      </c>
      <c r="F10" s="7" t="s">
        <v>103</v>
      </c>
      <c r="G10" s="6" t="str">
        <f>_xlfn.XLOOKUP(H10, $K$100:$K$107, $L$100:$L$107, "Training")</f>
        <v>PR</v>
      </c>
      <c r="H10" s="7" t="s">
        <v>82</v>
      </c>
      <c r="I10" s="375"/>
      <c r="J10" s="375"/>
      <c r="K10" s="6" t="str">
        <f>_xlfn.XLOOKUP(L10, $K$100:$K$107, $L$100:$L$107, "Training")</f>
        <v>FMS</v>
      </c>
      <c r="L10" s="7" t="s">
        <v>66</v>
      </c>
      <c r="M10" s="6" t="str">
        <f>_xlfn.XLOOKUP(N10, $K$100:$K$107, $L$100:$L$107, "Training")</f>
        <v>MA</v>
      </c>
      <c r="N10" s="11" t="s">
        <v>120</v>
      </c>
      <c r="O10" s="123" t="s">
        <v>67</v>
      </c>
      <c r="P10" s="32" t="s">
        <v>67</v>
      </c>
      <c r="Q10" s="331"/>
      <c r="R10" s="28"/>
      <c r="S10" s="331"/>
      <c r="U10" s="165" t="str">
        <f>Mon!U10</f>
        <v>(AW)</v>
      </c>
      <c r="V10" s="35">
        <f t="shared" si="2"/>
        <v>3</v>
      </c>
      <c r="W10" s="36">
        <f>SUM(Mon!V10,Tue!V10)</f>
        <v>6</v>
      </c>
      <c r="X10" s="165" t="str">
        <f>Mon!U10</f>
        <v>(AW)</v>
      </c>
      <c r="Y10" s="20">
        <f t="shared" si="3"/>
        <v>1</v>
      </c>
      <c r="Z10" s="21">
        <f t="shared" si="4"/>
        <v>0</v>
      </c>
      <c r="AA10" s="21">
        <f t="shared" si="0"/>
        <v>1</v>
      </c>
      <c r="AB10" s="22">
        <f t="shared" si="1"/>
        <v>1</v>
      </c>
      <c r="AC10" s="25" t="str">
        <f>CONCATENATE(IF($U10=$F$5,$E$5,IF($U10=$F$6,$E$6,IF($U10=$F$7,$E$7,IF($U10=$F$8,$E$8,IF($U10=$F$9,$E$9,IF($U10=$F$10,$E$10,IF($U10=$F$11,$E$11,IF($U10=$F$12,$E$12,IF($U10=$F$13,$E$13,IF($U10=$F$14,$E$14,IF($U10=$F$15,$E$15,IF($U10=$F$16,$E$16,IF($U10=$F$17,$E$17,"")))))))))))))&amp;" "&amp;IF($U10=$F$5,"(A)",IF($U10=$F$6,"(B)",IF($U10=$F$7,"(C)",IF($U10=$F$8,"(D)",IF($U10=$F$9,"(E)",IF($U10=$F$10,"(F)",IF($U10=$F$11,"(G)",IF($U10=$F$12,"(H)",IF($U10=$F$13,"(I)",IF($U10=$F$14,"(J)",IF($U10=$F$15,"(K)",IF($U10=$F$16,"(L)",IF($U10=$F$17,"(L)",""))))))))))))))</f>
        <v>ECOM (C)</v>
      </c>
      <c r="AD10" s="26" t="str">
        <f>CONCATENATE(IF($U10=$H$5,$G$5,IF($U10=$H$6,$G$6,IF($U10=$H$7,$G$7,IF($U10=$H$8,$G$8,IF($U10=$H$9,$G$9,IF($U10=$H$10,$G$10,IF($U10=$H$11,$G$11,IF($U10=$H$12,$G$12,IF($U10=$H$13,$G$13,IF($U10=$H$14,$G$14,IF($U10=$H$15,$G$15,IF($U10=$H$16,$G$16,IF($U10=$H$17,$G$17,"")))))))))))))&amp;" "&amp;IF($U10=$H$5,"(A)",IF($U10=$H$6,"(B)",IF($U10=$H$7,"(C)",IF($U10=$H$8,"(D)",IF($U10=$H$9,"(E)",IF($U10=$H$10,"(F)",IF($U10=$H$11,"(G)",IF($U10=$H$12,"(H)",IF($U10=$H$13,"(I)",IF($U10=$H$14,"(J)",IF($U10=$H$15,"(K)",IF($U10=$H$16,"(L)",IF($U10=$H$17,"(L)",""))))))))))))))</f>
        <v xml:space="preserve"> </v>
      </c>
      <c r="AE10" s="26" t="str">
        <f>CONCATENATE(IF($U10=$L$5,$K$5,IF($U10=$L$6,$K$6,IF($U10=$L$7,$K$7,IF($U10=$L$8,$K$8,IF($U10=$L$9,$K$9,IF($U10=$L$10,$K$10,IF($U10=$L$11,$K$11,IF($U10=$L$12,$K$12,IF($U10=$L$13,$K$13,IF($U10=$L$14,$K$14,IF($U10=$L$15,$K$15,IF($U10=$L$16,$K$16,IF($U10=$L$17,$K$17,"")))))))))))))&amp;" "&amp;IF($U10=$L$5,"(A)",IF($U10=$L$6,"(B)",IF($U10=$L$7,"(C)",IF($U10=$L$8,"(D)",IF($U10=$L$9,"(E)",IF($U10=$L$10,"(F)",IF($U10=$L$11,"(G)",IF($U10=$L$12,"(H)",IF($U10=$L$13,"(I)",IF($U10=$L$14,"(J)",IF($U10=$L$15,"(K)",IF($U10=$L$16,"(L)",IF($U10=$L$17,"(L)",""))))))))))))))</f>
        <v xml:space="preserve"> </v>
      </c>
      <c r="AF10" s="27" t="str">
        <f>CONCATENATE(IF($U10=$N$5,$M$5,IF($U10=$N$6,$M$6,IF($U10=$N$7,$M$7,IF($U10=$N$8,$M$8,IF($U10=$N$9,$M$9,IF($U10=$N$10,$M$10,IF($U10=$N$11,$M$11,IF($U10=$N$12,$M$12,IF($U10=$N$13,$M$13,IF($U10=$N$14,$M$14,IF($U10=$N$15,$M$15,IF($U10=$N$16,$M$16,IF($U10=$N$17,$M$17,"")))))))))))))&amp;" "&amp;(IF($U10=$N$5,"(A)",IF($U10=$N$6,"(B)",IF($U10=$N$7,"(C)",IF($U10=$N$8,"(D)",IF($U10=$N$9,"(E)",IF($U10=$N$10,"(F)",IF($U10=$N$11,"(G)",IF($U10=$N$12,"(H)",IF($U10=$N$13,"(I)",IF($U10=$N$14,"(J)",IF($U10=$N$15,"(K)",IF($U10=$N$16,"(L)",IF($U10=$N$17,"(L)","")))))))))))))))</f>
        <v xml:space="preserve"> </v>
      </c>
      <c r="AG10" s="178" t="str">
        <f t="shared" si="9"/>
        <v xml:space="preserve"> </v>
      </c>
      <c r="AH10" s="177" t="str">
        <f t="shared" si="10"/>
        <v xml:space="preserve"> </v>
      </c>
      <c r="AI10" s="177" t="str">
        <f t="shared" si="11"/>
        <v xml:space="preserve"> </v>
      </c>
      <c r="AJ10" s="180" t="str">
        <f t="shared" si="12"/>
        <v xml:space="preserve"> </v>
      </c>
      <c r="AK10" s="178" t="str">
        <f t="shared" si="13"/>
        <v xml:space="preserve"> </v>
      </c>
      <c r="AL10" s="177" t="str">
        <f t="shared" si="14"/>
        <v xml:space="preserve"> </v>
      </c>
      <c r="AM10" s="177" t="str">
        <f t="shared" si="15"/>
        <v>BT (C)</v>
      </c>
      <c r="AN10" s="179" t="str">
        <f t="shared" si="16"/>
        <v>BT (A)</v>
      </c>
    </row>
    <row r="11" spans="1:79" ht="18.75" customHeight="1" thickBot="1" x14ac:dyDescent="0.4">
      <c r="A11" s="374"/>
      <c r="B11" s="19" t="str">
        <f>Mon!B11</f>
        <v>MKG+ECOM</v>
      </c>
      <c r="C11" s="98" t="s">
        <v>69</v>
      </c>
      <c r="D11" s="76"/>
      <c r="E11" s="6" t="str">
        <f>_xlfn.XLOOKUP(F11, $M$100:$M$107, $N$100:$N$107, "Training")</f>
        <v>IT</v>
      </c>
      <c r="F11" s="7" t="s">
        <v>52</v>
      </c>
      <c r="G11" s="6" t="str">
        <f>_xlfn.XLOOKUP(H11, $M$100:$M$107, $N$100:$N$107, "Training")</f>
        <v>RM</v>
      </c>
      <c r="H11" s="7" t="s">
        <v>73</v>
      </c>
      <c r="I11" s="375"/>
      <c r="J11" s="375"/>
      <c r="K11" s="6" t="str">
        <f>_xlfn.XLOOKUP(L11, $M$100:$M$107, $N$100:$N$107, "Training")</f>
        <v>ECOM</v>
      </c>
      <c r="L11" s="7" t="s">
        <v>51</v>
      </c>
      <c r="M11" s="6" t="str">
        <f>_xlfn.XLOOKUP(N11, $M$100:$M$107, $N$100:$N$107, "Training")</f>
        <v>IB</v>
      </c>
      <c r="N11" s="11" t="s">
        <v>63</v>
      </c>
      <c r="O11" s="70" t="str">
        <f>IF(P11="",".",P11)</f>
        <v>.</v>
      </c>
      <c r="P11" s="12"/>
      <c r="Q11" s="331"/>
      <c r="R11" s="28"/>
      <c r="S11" s="331"/>
      <c r="U11" s="165" t="str">
        <f>Mon!U11</f>
        <v>(BB)</v>
      </c>
      <c r="V11" s="35">
        <f t="shared" si="2"/>
        <v>4</v>
      </c>
      <c r="W11" s="36">
        <f>SUM(Mon!V11,Tue!V11)</f>
        <v>7</v>
      </c>
      <c r="X11" s="165" t="str">
        <f>Mon!U11</f>
        <v>(BB)</v>
      </c>
      <c r="Y11" s="20">
        <f t="shared" si="3"/>
        <v>1</v>
      </c>
      <c r="Z11" s="21">
        <f t="shared" si="4"/>
        <v>1</v>
      </c>
      <c r="AA11" s="21">
        <f t="shared" si="0"/>
        <v>1</v>
      </c>
      <c r="AB11" s="22">
        <f t="shared" si="1"/>
        <v>1</v>
      </c>
      <c r="AC11" s="25" t="str">
        <f t="shared" ref="AC11:AC62" si="18">CONCATENATE(IF($U11=$F$5,$E$5,IF($U11=$F$6,$E$6,IF($U11=$F$7,$E$7,IF($U11=$F$8,$E$8,IF($U11=$F$9,$E$9,IF($U11=$F$10,$E$10,IF($U11=$F$11,$E$11,IF($U11=$F$12,$E$12,IF($U11=$F$13,$E$13,IF($U11=$F$14,$E$14,IF($U11=$F$15,$E$15,IF($U11=$F$16,$E$16,IF($U11=$F$17,$E$17,"")))))))))))))&amp;" "&amp;IF($U11=$F$5,"(A)",IF($U11=$F$6,"(B)",IF($U11=$F$7,"(C)",IF($U11=$F$8,"(D)",IF($U11=$F$9,"(E)",IF($U11=$F$10,"(F)",IF($U11=$F$11,"(G)",IF($U11=$F$12,"(H)",IF($U11=$F$13,"(I)",IF($U11=$F$14,"(J)",IF($U11=$F$15,"(K)",IF($U11=$F$16,"(L)",IF($U11=$F$17,"(L)",""))))))))))))))</f>
        <v xml:space="preserve"> </v>
      </c>
      <c r="AD11" s="26" t="str">
        <f t="shared" ref="AD11:AD62" si="19">CONCATENATE(IF($U11=$H$5,$G$5,IF($U11=$H$6,$G$6,IF($U11=$H$7,$G$7,IF($U11=$H$8,$G$8,IF($U11=$H$9,$G$9,IF($U11=$H$10,$G$10,IF($U11=$H$11,$G$11,IF($U11=$H$12,$G$12,IF($U11=$H$13,$G$13,IF($U11=$H$14,$G$14,IF($U11=$H$15,$G$15,IF($U11=$H$16,$G$16,IF($U11=$H$17,$G$17,"")))))))))))))&amp;" "&amp;IF($U11=$H$5,"(A)",IF($U11=$H$6,"(B)",IF($U11=$H$7,"(C)",IF($U11=$H$8,"(D)",IF($U11=$H$9,"(E)",IF($U11=$H$10,"(F)",IF($U11=$H$11,"(G)",IF($U11=$H$12,"(H)",IF($U11=$H$13,"(I)",IF($U11=$H$14,"(J)",IF($U11=$H$15,"(K)",IF($U11=$H$16,"(L)",IF($U11=$H$17,"(L)",""))))))))))))))</f>
        <v xml:space="preserve"> </v>
      </c>
      <c r="AE11" s="26" t="str">
        <f t="shared" ref="AE11:AE62" si="20">CONCATENATE(IF($U11=$L$5,$K$5,IF($U11=$L$6,$K$6,IF($U11=$L$7,$K$7,IF($U11=$L$8,$K$8,IF($U11=$L$9,$K$9,IF($U11=$L$10,$K$10,IF($U11=$L$11,$K$11,IF($U11=$L$12,$K$12,IF($U11=$L$13,$K$13,IF($U11=$L$14,$K$14,IF($U11=$L$15,$K$15,IF($U11=$L$16,$K$16,IF($U11=$L$17,$K$17,"")))))))))))))&amp;" "&amp;IF($U11=$L$5,"(A)",IF($U11=$L$6,"(B)",IF($U11=$L$7,"(C)",IF($U11=$L$8,"(D)",IF($U11=$L$9,"(E)",IF($U11=$L$10,"(F)",IF($U11=$L$11,"(G)",IF($U11=$L$12,"(H)",IF($U11=$L$13,"(I)",IF($U11=$L$14,"(J)",IF($U11=$L$15,"(K)",IF($U11=$L$16,"(L)",IF($U11=$L$17,"(L)",""))))))))))))))</f>
        <v xml:space="preserve"> </v>
      </c>
      <c r="AF11" s="27" t="str">
        <f t="shared" ref="AF11:AF62" si="21">CONCATENATE(IF($U11=$N$5,$M$5,IF($U11=$N$6,$M$6,IF($U11=$N$7,$M$7,IF($U11=$N$8,$M$8,IF($U11=$N$9,$M$9,IF($U11=$N$10,$M$10,IF($U11=$N$11,$M$11,IF($U11=$N$12,$M$12,IF($U11=$N$13,$M$13,IF($U11=$N$14,$M$14,IF($U11=$N$15,$M$15,IF($U11=$N$16,$M$16,IF($U11=$N$17,$M$17,"")))))))))))))&amp;" "&amp;(IF($U11=$N$5,"(A)",IF($U11=$N$6,"(B)",IF($U11=$N$7,"(C)",IF($U11=$N$8,"(D)",IF($U11=$N$9,"(E)",IF($U11=$N$10,"(F)",IF($U11=$N$11,"(G)",IF($U11=$N$12,"(H)",IF($U11=$N$13,"(I)",IF($U11=$N$14,"(J)",IF($U11=$N$15,"(K)",IF($U11=$N$16,"(L)",IF($U11=$N$17,"(L)","")))))))))))))))</f>
        <v xml:space="preserve"> </v>
      </c>
      <c r="AG11" s="178" t="str">
        <f t="shared" si="9"/>
        <v xml:space="preserve"> </v>
      </c>
      <c r="AH11" s="177" t="str">
        <f t="shared" si="10"/>
        <v xml:space="preserve"> </v>
      </c>
      <c r="AI11" s="177" t="str">
        <f t="shared" si="11"/>
        <v xml:space="preserve"> </v>
      </c>
      <c r="AJ11" s="180" t="str">
        <f t="shared" si="12"/>
        <v xml:space="preserve"> </v>
      </c>
      <c r="AK11" s="178" t="str">
        <f t="shared" si="13"/>
        <v>QT (C)</v>
      </c>
      <c r="AL11" s="177" t="str">
        <f t="shared" si="14"/>
        <v>QT (B)</v>
      </c>
      <c r="AM11" s="177" t="str">
        <f t="shared" si="15"/>
        <v>QT (L)</v>
      </c>
      <c r="AN11" s="179" t="str">
        <f t="shared" si="16"/>
        <v>QT (G)</v>
      </c>
    </row>
    <row r="12" spans="1:79" ht="18.75" customHeight="1" thickBot="1" x14ac:dyDescent="0.4">
      <c r="A12" s="374"/>
      <c r="B12" s="19" t="str">
        <f>Mon!B12</f>
        <v>MKG+ECOM</v>
      </c>
      <c r="C12" s="98" t="s">
        <v>72</v>
      </c>
      <c r="D12" s="76"/>
      <c r="E12" s="6" t="str">
        <f>_xlfn.XLOOKUP(F12, $O$100:$O$107, $P$100:$P$107, "Training")</f>
        <v>IB</v>
      </c>
      <c r="F12" s="7" t="s">
        <v>43</v>
      </c>
      <c r="G12" s="6" t="str">
        <f>_xlfn.XLOOKUP(H12, $O$100:$O$107, $P$100:$P$107, "Training")</f>
        <v>RM</v>
      </c>
      <c r="H12" s="7" t="s">
        <v>148</v>
      </c>
      <c r="I12" s="375"/>
      <c r="J12" s="375"/>
      <c r="K12" s="6" t="str">
        <f>_xlfn.XLOOKUP(L12, $O$100:$O$107, $P$100:$P$107, "Training")</f>
        <v>IT</v>
      </c>
      <c r="L12" s="7" t="s">
        <v>50</v>
      </c>
      <c r="M12" s="6" t="str">
        <f>_xlfn.XLOOKUP(N12, $O$100:$O$107, $P$100:$P$107, "Training")</f>
        <v>MA</v>
      </c>
      <c r="N12" s="11" t="s">
        <v>42</v>
      </c>
      <c r="O12" s="71" t="str">
        <f t="shared" ref="O12:O18" si="22">IF(P12="",".",P12)</f>
        <v>.</v>
      </c>
      <c r="P12" s="13"/>
      <c r="Q12" s="331"/>
      <c r="R12" s="28"/>
      <c r="S12" s="331"/>
      <c r="U12" s="165" t="str">
        <f>Mon!U12</f>
        <v>(BD)</v>
      </c>
      <c r="V12" s="35">
        <f t="shared" si="2"/>
        <v>4</v>
      </c>
      <c r="W12" s="36">
        <f>SUM(Mon!V12,Tue!V12)</f>
        <v>7</v>
      </c>
      <c r="X12" s="165" t="str">
        <f>Mon!U12</f>
        <v>(BD)</v>
      </c>
      <c r="Y12" s="20">
        <f t="shared" si="3"/>
        <v>1</v>
      </c>
      <c r="Z12" s="21">
        <f t="shared" si="4"/>
        <v>1</v>
      </c>
      <c r="AA12" s="21">
        <f t="shared" si="0"/>
        <v>1</v>
      </c>
      <c r="AB12" s="22">
        <f t="shared" si="1"/>
        <v>1</v>
      </c>
      <c r="AC12" s="25" t="str">
        <f t="shared" si="18"/>
        <v xml:space="preserve"> </v>
      </c>
      <c r="AD12" s="26" t="str">
        <f t="shared" si="19"/>
        <v xml:space="preserve"> </v>
      </c>
      <c r="AE12" s="26" t="str">
        <f t="shared" si="20"/>
        <v xml:space="preserve"> </v>
      </c>
      <c r="AF12" s="27" t="str">
        <f t="shared" si="21"/>
        <v xml:space="preserve"> </v>
      </c>
      <c r="AG12" s="178" t="str">
        <f t="shared" si="9"/>
        <v>HR (N)</v>
      </c>
      <c r="AH12" s="177" t="str">
        <f t="shared" si="10"/>
        <v>HR (F)</v>
      </c>
      <c r="AI12" s="177" t="str">
        <f t="shared" si="11"/>
        <v xml:space="preserve"> </v>
      </c>
      <c r="AJ12" s="180" t="str">
        <f t="shared" si="12"/>
        <v xml:space="preserve"> </v>
      </c>
      <c r="AK12" s="178" t="str">
        <f t="shared" si="13"/>
        <v xml:space="preserve"> </v>
      </c>
      <c r="AL12" s="177" t="str">
        <f t="shared" si="14"/>
        <v xml:space="preserve"> </v>
      </c>
      <c r="AM12" s="177" t="str">
        <f t="shared" si="15"/>
        <v>QT (K)</v>
      </c>
      <c r="AN12" s="179" t="str">
        <f t="shared" si="16"/>
        <v>QT (J)</v>
      </c>
    </row>
    <row r="13" spans="1:79" ht="18.75" customHeight="1" thickBot="1" x14ac:dyDescent="0.4">
      <c r="A13" s="374"/>
      <c r="B13" s="19" t="str">
        <f>Mon!B13</f>
        <v>MKG+ECOM</v>
      </c>
      <c r="C13" s="98" t="s">
        <v>76</v>
      </c>
      <c r="D13" s="76"/>
      <c r="E13" s="6" t="str">
        <f>_xlfn.XLOOKUP(F13, $Q$100:$Q$107, $R$100:$R$107, "Training")</f>
        <v>MIP</v>
      </c>
      <c r="F13" s="7" t="s">
        <v>73</v>
      </c>
      <c r="G13" s="6" t="str">
        <f>_xlfn.XLOOKUP(H13, $Q$100:$Q$107, $R$100:$R$107, "Training")</f>
        <v>IB</v>
      </c>
      <c r="H13" s="7" t="s">
        <v>46</v>
      </c>
      <c r="I13" s="375"/>
      <c r="J13" s="375"/>
      <c r="K13" s="6" t="str">
        <f>_xlfn.XLOOKUP(L13, $Q$100:$Q$107, $R$100:$R$107, "Training")</f>
        <v>ECOM</v>
      </c>
      <c r="L13" s="7" t="s">
        <v>62</v>
      </c>
      <c r="M13" s="6" t="str">
        <f>_xlfn.XLOOKUP(N13, $Q$100:$Q$107, $R$100:$R$107, "Training")</f>
        <v>CB</v>
      </c>
      <c r="N13" s="11" t="s">
        <v>70</v>
      </c>
      <c r="O13" s="71" t="str">
        <f t="shared" si="22"/>
        <v>.</v>
      </c>
      <c r="P13" s="13"/>
      <c r="Q13" s="331"/>
      <c r="R13" s="28"/>
      <c r="S13" s="331"/>
      <c r="U13" s="165" t="str">
        <f>Mon!U13</f>
        <v>(CG)</v>
      </c>
      <c r="V13" s="35">
        <f t="shared" si="2"/>
        <v>4</v>
      </c>
      <c r="W13" s="36">
        <f>SUM(Mon!V13,Tue!V13)</f>
        <v>8</v>
      </c>
      <c r="X13" s="165" t="str">
        <f>Mon!U13</f>
        <v>(CG)</v>
      </c>
      <c r="Y13" s="20">
        <f t="shared" si="3"/>
        <v>1</v>
      </c>
      <c r="Z13" s="21">
        <f t="shared" si="4"/>
        <v>1</v>
      </c>
      <c r="AA13" s="21">
        <f t="shared" si="0"/>
        <v>1</v>
      </c>
      <c r="AB13" s="22">
        <f t="shared" si="1"/>
        <v>1</v>
      </c>
      <c r="AC13" s="25" t="str">
        <f t="shared" si="18"/>
        <v xml:space="preserve"> </v>
      </c>
      <c r="AD13" s="26" t="str">
        <f t="shared" si="19"/>
        <v xml:space="preserve"> </v>
      </c>
      <c r="AE13" s="26" t="str">
        <f t="shared" si="20"/>
        <v xml:space="preserve"> </v>
      </c>
      <c r="AF13" s="27" t="str">
        <f t="shared" si="21"/>
        <v xml:space="preserve"> </v>
      </c>
      <c r="AG13" s="178" t="str">
        <f t="shared" si="9"/>
        <v xml:space="preserve"> </v>
      </c>
      <c r="AH13" s="177" t="str">
        <f t="shared" si="10"/>
        <v xml:space="preserve"> </v>
      </c>
      <c r="AI13" s="177" t="str">
        <f t="shared" si="11"/>
        <v xml:space="preserve"> </v>
      </c>
      <c r="AJ13" s="180" t="str">
        <f t="shared" si="12"/>
        <v xml:space="preserve"> </v>
      </c>
      <c r="AK13" s="178" t="str">
        <f t="shared" si="13"/>
        <v>GE (I)</v>
      </c>
      <c r="AL13" s="177" t="str">
        <f t="shared" si="14"/>
        <v xml:space="preserve"> </v>
      </c>
      <c r="AM13" s="177" t="str">
        <f t="shared" si="15"/>
        <v>GE (E)</v>
      </c>
      <c r="AN13" s="179" t="str">
        <f t="shared" si="16"/>
        <v xml:space="preserve"> </v>
      </c>
    </row>
    <row r="14" spans="1:79" ht="18.75" customHeight="1" thickBot="1" x14ac:dyDescent="0.4">
      <c r="A14" s="374"/>
      <c r="B14" s="19" t="str">
        <f>Mon!B14</f>
        <v>MKG+PR</v>
      </c>
      <c r="C14" s="98" t="s">
        <v>79</v>
      </c>
      <c r="D14" s="76"/>
      <c r="E14" s="6" t="str">
        <f>_xlfn.XLOOKUP(F14, $S$100:$S$107, $T$100:$T$107, "Training")</f>
        <v>IT</v>
      </c>
      <c r="F14" s="7" t="s">
        <v>47</v>
      </c>
      <c r="G14" s="6" t="str">
        <f>_xlfn.XLOOKUP(H14, $S$100:$S$107, $T$100:$T$107, "Training")</f>
        <v>CB</v>
      </c>
      <c r="H14" s="7" t="s">
        <v>70</v>
      </c>
      <c r="I14" s="375"/>
      <c r="J14" s="375"/>
      <c r="K14" s="6" t="str">
        <f>_xlfn.XLOOKUP(L14, $S$100:$S$107, $T$100:$T$107, "Training")</f>
        <v>IB</v>
      </c>
      <c r="L14" s="7" t="s">
        <v>63</v>
      </c>
      <c r="M14" s="6" t="str">
        <f>_xlfn.XLOOKUP(N14, $S$100:$S$107, $T$100:$T$107, "Training")</f>
        <v>MA</v>
      </c>
      <c r="N14" s="11" t="s">
        <v>60</v>
      </c>
      <c r="O14" s="71" t="str">
        <f t="shared" si="22"/>
        <v>.</v>
      </c>
      <c r="P14" s="13"/>
      <c r="Q14" s="331"/>
      <c r="R14" s="28"/>
      <c r="S14" s="331"/>
      <c r="U14" s="165" t="str">
        <f>Mon!U14</f>
        <v>(DT)</v>
      </c>
      <c r="V14" s="35">
        <f t="shared" si="2"/>
        <v>3</v>
      </c>
      <c r="W14" s="36">
        <f>SUM(Mon!V14,Tue!V14)</f>
        <v>6</v>
      </c>
      <c r="X14" s="165" t="str">
        <f>Mon!U14</f>
        <v>(DT)</v>
      </c>
      <c r="Y14" s="20">
        <f t="shared" si="3"/>
        <v>1</v>
      </c>
      <c r="Z14" s="21">
        <f t="shared" si="4"/>
        <v>0</v>
      </c>
      <c r="AA14" s="21">
        <f t="shared" si="0"/>
        <v>1</v>
      </c>
      <c r="AB14" s="22">
        <f t="shared" si="1"/>
        <v>1</v>
      </c>
      <c r="AC14" s="25" t="str">
        <f t="shared" si="18"/>
        <v>EBO (L)</v>
      </c>
      <c r="AD14" s="26" t="str">
        <f t="shared" si="19"/>
        <v xml:space="preserve"> </v>
      </c>
      <c r="AE14" s="26" t="str">
        <f t="shared" si="20"/>
        <v>ECOM (I)</v>
      </c>
      <c r="AF14" s="27" t="str">
        <f t="shared" si="21"/>
        <v>ECOM (E)</v>
      </c>
      <c r="AG14" s="178" t="str">
        <f t="shared" si="9"/>
        <v xml:space="preserve"> </v>
      </c>
      <c r="AH14" s="177" t="str">
        <f t="shared" si="10"/>
        <v xml:space="preserve"> </v>
      </c>
      <c r="AI14" s="177" t="str">
        <f t="shared" si="11"/>
        <v xml:space="preserve"> </v>
      </c>
      <c r="AJ14" s="180" t="str">
        <f t="shared" si="12"/>
        <v xml:space="preserve"> </v>
      </c>
      <c r="AK14" s="178" t="str">
        <f t="shared" si="13"/>
        <v xml:space="preserve"> </v>
      </c>
      <c r="AL14" s="177" t="str">
        <f t="shared" si="14"/>
        <v xml:space="preserve"> </v>
      </c>
      <c r="AM14" s="177" t="str">
        <f t="shared" si="15"/>
        <v xml:space="preserve"> </v>
      </c>
      <c r="AN14" s="179" t="str">
        <f t="shared" si="16"/>
        <v xml:space="preserve"> </v>
      </c>
    </row>
    <row r="15" spans="1:79" ht="18.75" customHeight="1" thickBot="1" x14ac:dyDescent="0.4">
      <c r="A15" s="374"/>
      <c r="B15" s="99" t="str">
        <f>Mon!B15</f>
        <v>MKG+ECOM+PR</v>
      </c>
      <c r="C15" s="162" t="s">
        <v>81</v>
      </c>
      <c r="D15" s="76"/>
      <c r="E15" s="81" t="str">
        <f>_xlfn.XLOOKUP(F15, $U$100:$U$107, $V$100:$V$107, "Training")</f>
        <v>CB</v>
      </c>
      <c r="F15" s="80" t="s">
        <v>74</v>
      </c>
      <c r="G15" s="81" t="str">
        <f>_xlfn.XLOOKUP(H15, $U$100:$U$107, $V$100:$V$107, "Training")</f>
        <v>MA</v>
      </c>
      <c r="H15" s="80" t="s">
        <v>66</v>
      </c>
      <c r="I15" s="375"/>
      <c r="J15" s="375"/>
      <c r="K15" s="81" t="str">
        <f>_xlfn.XLOOKUP(L15, $U$100:$U$107, $V$100:$V$107, "Training")</f>
        <v>RM</v>
      </c>
      <c r="L15" s="80" t="s">
        <v>73</v>
      </c>
      <c r="M15" s="81" t="str">
        <f>_xlfn.XLOOKUP(N15, $U$100:$U$107, $V$100:$V$107, "Training")</f>
        <v>IT</v>
      </c>
      <c r="N15" s="86" t="s">
        <v>47</v>
      </c>
      <c r="O15" s="72" t="str">
        <f t="shared" si="22"/>
        <v>.</v>
      </c>
      <c r="P15" s="147"/>
      <c r="R15" s="28"/>
      <c r="U15" s="165" t="str">
        <f>Mon!U15</f>
        <v>(EC)</v>
      </c>
      <c r="V15" s="35">
        <f t="shared" si="2"/>
        <v>3</v>
      </c>
      <c r="W15" s="36">
        <f>SUM(Mon!V15,Tue!V15)</f>
        <v>7</v>
      </c>
      <c r="X15" s="165" t="str">
        <f>Mon!U15</f>
        <v>(EC)</v>
      </c>
      <c r="Y15" s="20">
        <f t="shared" si="3"/>
        <v>1</v>
      </c>
      <c r="Z15" s="21">
        <f t="shared" si="4"/>
        <v>0</v>
      </c>
      <c r="AA15" s="21">
        <f t="shared" si="0"/>
        <v>1</v>
      </c>
      <c r="AB15" s="22">
        <f t="shared" si="1"/>
        <v>1</v>
      </c>
      <c r="AC15" s="25" t="str">
        <f t="shared" si="18"/>
        <v>HRD (L)</v>
      </c>
      <c r="AD15" s="26" t="str">
        <f t="shared" si="19"/>
        <v xml:space="preserve"> </v>
      </c>
      <c r="AE15" s="26" t="str">
        <f t="shared" si="20"/>
        <v>IB (J)</v>
      </c>
      <c r="AF15" s="27" t="str">
        <f t="shared" si="21"/>
        <v>IB (G)</v>
      </c>
      <c r="AG15" s="178" t="str">
        <f t="shared" si="9"/>
        <v xml:space="preserve"> </v>
      </c>
      <c r="AH15" s="177" t="str">
        <f t="shared" si="10"/>
        <v xml:space="preserve"> </v>
      </c>
      <c r="AI15" s="177" t="str">
        <f t="shared" si="11"/>
        <v xml:space="preserve"> </v>
      </c>
      <c r="AJ15" s="180" t="str">
        <f t="shared" si="12"/>
        <v xml:space="preserve"> </v>
      </c>
      <c r="AK15" s="178" t="str">
        <f t="shared" si="13"/>
        <v xml:space="preserve"> </v>
      </c>
      <c r="AL15" s="177" t="str">
        <f t="shared" si="14"/>
        <v xml:space="preserve"> </v>
      </c>
      <c r="AM15" s="177" t="str">
        <f t="shared" si="15"/>
        <v xml:space="preserve"> </v>
      </c>
      <c r="AN15" s="179" t="str">
        <f t="shared" si="16"/>
        <v xml:space="preserve"> </v>
      </c>
    </row>
    <row r="16" spans="1:79" ht="18.75" customHeight="1" thickBot="1" x14ac:dyDescent="0.4">
      <c r="A16" s="374"/>
      <c r="B16" s="367" t="str">
        <f>Mon!B16</f>
        <v>HR+ED+PR+ECOM</v>
      </c>
      <c r="C16" s="368" t="s">
        <v>84</v>
      </c>
      <c r="D16" s="82"/>
      <c r="E16" s="83" t="str">
        <f>_xlfn.XLOOKUP(F16, $W$100:$W$107, $X$100:$X$107, "Training")</f>
        <v>HRD</v>
      </c>
      <c r="F16" s="85" t="s">
        <v>63</v>
      </c>
      <c r="G16" s="83" t="str">
        <f>_xlfn.XLOOKUP(H16, $W$100:$W$107, $X$100:$X$107, "Training")</f>
        <v>IT</v>
      </c>
      <c r="H16" s="84" t="s">
        <v>47</v>
      </c>
      <c r="I16" s="375"/>
      <c r="J16" s="375"/>
      <c r="K16" s="83" t="str">
        <f>_xlfn.XLOOKUP(L16, $W$100:$W$107, $X$100:$X$107, "Training")</f>
        <v>MA</v>
      </c>
      <c r="L16" s="85" t="s">
        <v>57</v>
      </c>
      <c r="M16" s="83" t="str">
        <f>_xlfn.XLOOKUP(N16, $W$100:$W$107, $X$100:$X$107, "Training")</f>
        <v>CHRM</v>
      </c>
      <c r="N16" s="85" t="s">
        <v>118</v>
      </c>
      <c r="O16" s="72" t="str">
        <f t="shared" si="22"/>
        <v>.</v>
      </c>
      <c r="P16" s="151"/>
      <c r="R16" s="28"/>
      <c r="U16" s="165" t="str">
        <f>Mon!U16</f>
        <v>(HEM)</v>
      </c>
      <c r="V16" s="35">
        <f t="shared" si="2"/>
        <v>1</v>
      </c>
      <c r="W16" s="36">
        <f>SUM(Mon!V16,Tue!V16)</f>
        <v>1</v>
      </c>
      <c r="X16" s="165" t="str">
        <f>Mon!U16</f>
        <v>(HEM)</v>
      </c>
      <c r="Y16" s="20">
        <f t="shared" si="3"/>
        <v>0</v>
      </c>
      <c r="Z16" s="21">
        <f t="shared" si="4"/>
        <v>1</v>
      </c>
      <c r="AA16" s="21">
        <f t="shared" si="0"/>
        <v>0</v>
      </c>
      <c r="AB16" s="22">
        <f t="shared" si="1"/>
        <v>0</v>
      </c>
      <c r="AC16" s="25" t="str">
        <f t="shared" si="18"/>
        <v xml:space="preserve"> </v>
      </c>
      <c r="AD16" s="26" t="str">
        <f t="shared" si="19"/>
        <v xml:space="preserve"> </v>
      </c>
      <c r="AE16" s="26" t="str">
        <f t="shared" si="20"/>
        <v xml:space="preserve"> </v>
      </c>
      <c r="AF16" s="27" t="str">
        <f t="shared" si="21"/>
        <v xml:space="preserve"> </v>
      </c>
      <c r="AG16" s="178" t="str">
        <f t="shared" si="9"/>
        <v xml:space="preserve"> </v>
      </c>
      <c r="AH16" s="177" t="str">
        <f t="shared" si="10"/>
        <v xml:space="preserve"> </v>
      </c>
      <c r="AI16" s="177" t="str">
        <f t="shared" si="11"/>
        <v xml:space="preserve"> </v>
      </c>
      <c r="AJ16" s="180" t="str">
        <f t="shared" si="12"/>
        <v xml:space="preserve"> </v>
      </c>
      <c r="AK16" s="178" t="str">
        <f t="shared" si="13"/>
        <v xml:space="preserve"> </v>
      </c>
      <c r="AL16" s="177" t="str">
        <f t="shared" si="14"/>
        <v>KAN (M)</v>
      </c>
      <c r="AM16" s="177" t="str">
        <f t="shared" si="15"/>
        <v xml:space="preserve"> </v>
      </c>
      <c r="AN16" s="179" t="str">
        <f t="shared" si="16"/>
        <v xml:space="preserve"> </v>
      </c>
    </row>
    <row r="17" spans="1:40" ht="18.75" customHeight="1" thickBot="1" x14ac:dyDescent="0.4">
      <c r="A17" s="374"/>
      <c r="B17" s="367"/>
      <c r="C17" s="368"/>
      <c r="D17" s="82"/>
      <c r="E17" s="298" t="str">
        <f>IF(F17="(LK)","LE",IF(F17="(ND)","ES",IF(F17="(DT)","EBO",IF(F17="(SP)","PR",""))))</f>
        <v>EBO</v>
      </c>
      <c r="F17" s="34" t="str">
        <f>IF(F16="(RT)","(LK)",IF(F16="(SR)","(ND)",IF(F16="(EC)","(DT)",IF(F16="(BB)","(SP)",""))))</f>
        <v>(DT)</v>
      </c>
      <c r="G17" s="298" t="str">
        <f>IF(H17="(LK)","LE",IF(H17="(ND)","ES",IF(H17="(DT)","EBO",IF(H17="(SP)","PR",""))))</f>
        <v/>
      </c>
      <c r="H17" s="34" t="str">
        <f>IF(H16="(RT)","(LK)",IF(H16="(SR)","(ND)",IF(H16="(EC)","(DT)",IF(H16="(BB)","(SP)",""))))</f>
        <v/>
      </c>
      <c r="I17" s="375"/>
      <c r="J17" s="375"/>
      <c r="K17" s="307" t="str">
        <f>IF(L17="(LK)","LE",IF(L17="(ND)","ES",IF(L17="(DT)","EBO",IF(L17="(SP)","PR",""))))</f>
        <v/>
      </c>
      <c r="L17" s="313" t="str">
        <f>IF(L16="(RT)","(LK)",IF(L16="(SR)","(ND)",IF(L16="(EC)","(DT)",IF(L16="(BB)","(SP)",""))))</f>
        <v/>
      </c>
      <c r="M17" s="307" t="str">
        <f>IF(N17="(LK)","LE",IF(N17="(ND)","ES",IF(N17="(DT)","EBO",IF(N17="(SP)","PR",""))))</f>
        <v>LE</v>
      </c>
      <c r="N17" s="313" t="str">
        <f>IF(N16="(RT)","(LK)",IF(N16="(SR)","(ND)",IF(N16="(EC)","(DT)",IF(N16="(BB)","(SP)",""))))</f>
        <v>(LK)</v>
      </c>
      <c r="O17" s="72" t="str">
        <f t="shared" si="22"/>
        <v>.</v>
      </c>
      <c r="P17" s="151"/>
      <c r="R17" s="28"/>
      <c r="U17" s="165" t="str">
        <f>Mon!U17</f>
        <v>(HK)</v>
      </c>
      <c r="V17" s="35">
        <f t="shared" si="2"/>
        <v>0</v>
      </c>
      <c r="W17" s="36">
        <f>SUM(Mon!V17,Tue!V17)</f>
        <v>0</v>
      </c>
      <c r="X17" s="165" t="str">
        <f>Mon!U17</f>
        <v>(HK)</v>
      </c>
      <c r="Y17" s="20">
        <f t="shared" si="3"/>
        <v>0</v>
      </c>
      <c r="Z17" s="21">
        <f t="shared" si="4"/>
        <v>0</v>
      </c>
      <c r="AA17" s="21">
        <f t="shared" si="0"/>
        <v>0</v>
      </c>
      <c r="AB17" s="22">
        <f t="shared" si="1"/>
        <v>0</v>
      </c>
      <c r="AC17" s="25" t="str">
        <f t="shared" si="18"/>
        <v xml:space="preserve"> </v>
      </c>
      <c r="AD17" s="26" t="str">
        <f t="shared" si="19"/>
        <v xml:space="preserve"> </v>
      </c>
      <c r="AE17" s="26" t="str">
        <f t="shared" si="20"/>
        <v xml:space="preserve"> </v>
      </c>
      <c r="AF17" s="27" t="str">
        <f t="shared" si="21"/>
        <v xml:space="preserve"> </v>
      </c>
      <c r="AG17" s="178" t="str">
        <f t="shared" si="9"/>
        <v xml:space="preserve"> </v>
      </c>
      <c r="AH17" s="177" t="str">
        <f t="shared" si="10"/>
        <v xml:space="preserve"> </v>
      </c>
      <c r="AI17" s="177" t="str">
        <f t="shared" si="11"/>
        <v xml:space="preserve"> </v>
      </c>
      <c r="AJ17" s="180" t="str">
        <f t="shared" si="12"/>
        <v xml:space="preserve"> </v>
      </c>
      <c r="AK17" s="178" t="str">
        <f t="shared" si="13"/>
        <v xml:space="preserve"> </v>
      </c>
      <c r="AL17" s="177" t="str">
        <f t="shared" si="14"/>
        <v xml:space="preserve"> </v>
      </c>
      <c r="AM17" s="177" t="str">
        <f t="shared" si="15"/>
        <v xml:space="preserve"> </v>
      </c>
      <c r="AN17" s="179" t="str">
        <f t="shared" si="16"/>
        <v xml:space="preserve"> </v>
      </c>
    </row>
    <row r="18" spans="1:40" ht="18.75" customHeight="1" thickBot="1" x14ac:dyDescent="0.4">
      <c r="A18" s="374"/>
      <c r="B18" s="100" t="s">
        <v>87</v>
      </c>
      <c r="C18" s="330" t="s">
        <v>41</v>
      </c>
      <c r="D18" s="82"/>
      <c r="E18" s="81" t="s">
        <v>88</v>
      </c>
      <c r="F18" s="80" t="s">
        <v>89</v>
      </c>
      <c r="G18" s="81" t="s">
        <v>96</v>
      </c>
      <c r="H18" s="80"/>
      <c r="I18" s="375"/>
      <c r="J18" s="375"/>
      <c r="K18" s="81" t="s">
        <v>90</v>
      </c>
      <c r="L18" s="86" t="s">
        <v>91</v>
      </c>
      <c r="M18" s="81" t="s">
        <v>92</v>
      </c>
      <c r="N18" s="80" t="s">
        <v>100</v>
      </c>
      <c r="O18" s="302" t="str">
        <f t="shared" si="22"/>
        <v>.</v>
      </c>
      <c r="P18" s="152"/>
      <c r="R18" s="28"/>
      <c r="U18" s="165" t="str">
        <f>Mon!U18</f>
        <v>(JAY)</v>
      </c>
      <c r="V18" s="35">
        <f t="shared" si="2"/>
        <v>4</v>
      </c>
      <c r="W18" s="36">
        <f>SUM(Mon!V18,Tue!V18)</f>
        <v>7</v>
      </c>
      <c r="X18" s="165" t="str">
        <f>Mon!U18</f>
        <v>(JAY)</v>
      </c>
      <c r="Y18" s="20">
        <f t="shared" si="3"/>
        <v>1</v>
      </c>
      <c r="Z18" s="21">
        <f t="shared" si="4"/>
        <v>1</v>
      </c>
      <c r="AA18" s="21">
        <f t="shared" si="0"/>
        <v>1</v>
      </c>
      <c r="AB18" s="22">
        <f t="shared" si="1"/>
        <v>1</v>
      </c>
      <c r="AC18" s="25" t="str">
        <f t="shared" si="18"/>
        <v xml:space="preserve"> </v>
      </c>
      <c r="AD18" s="26" t="str">
        <f t="shared" si="19"/>
        <v xml:space="preserve"> </v>
      </c>
      <c r="AE18" s="26" t="str">
        <f t="shared" si="20"/>
        <v xml:space="preserve"> </v>
      </c>
      <c r="AF18" s="27" t="str">
        <f t="shared" si="21"/>
        <v xml:space="preserve"> </v>
      </c>
      <c r="AG18" s="178" t="str">
        <f t="shared" si="9"/>
        <v xml:space="preserve"> </v>
      </c>
      <c r="AH18" s="177" t="str">
        <f t="shared" si="10"/>
        <v xml:space="preserve"> </v>
      </c>
      <c r="AI18" s="177" t="str">
        <f t="shared" si="11"/>
        <v xml:space="preserve"> </v>
      </c>
      <c r="AJ18" s="180" t="str">
        <f t="shared" si="12"/>
        <v xml:space="preserve"> </v>
      </c>
      <c r="AK18" s="178" t="str">
        <f t="shared" si="13"/>
        <v>BT (E)</v>
      </c>
      <c r="AL18" s="177" t="str">
        <f t="shared" si="14"/>
        <v>BT (D)</v>
      </c>
      <c r="AM18" s="177" t="str">
        <f t="shared" si="15"/>
        <v>BT (I)</v>
      </c>
      <c r="AN18" s="179" t="str">
        <f t="shared" si="16"/>
        <v>BT (N)</v>
      </c>
    </row>
    <row r="19" spans="1:40" ht="18.75" customHeight="1" x14ac:dyDescent="0.35">
      <c r="A19" s="374"/>
      <c r="B19" s="99" t="s">
        <v>87</v>
      </c>
      <c r="C19" s="18" t="s">
        <v>49</v>
      </c>
      <c r="D19" s="82"/>
      <c r="E19" s="83" t="s">
        <v>203</v>
      </c>
      <c r="F19" s="85" t="s">
        <v>100</v>
      </c>
      <c r="G19" s="83" t="s">
        <v>88</v>
      </c>
      <c r="H19" s="328" t="s">
        <v>89</v>
      </c>
      <c r="I19" s="375"/>
      <c r="J19" s="375"/>
      <c r="K19" s="33" t="s">
        <v>97</v>
      </c>
      <c r="L19" s="93" t="s">
        <v>98</v>
      </c>
      <c r="M19" s="33" t="s">
        <v>99</v>
      </c>
      <c r="N19" s="92" t="s">
        <v>89</v>
      </c>
      <c r="O19" s="302"/>
      <c r="R19" s="28"/>
      <c r="U19" s="165" t="str">
        <f>Mon!U19</f>
        <v>(KM)</v>
      </c>
      <c r="V19" s="35">
        <f t="shared" si="2"/>
        <v>3</v>
      </c>
      <c r="W19" s="36">
        <f>SUM(Mon!V19,Tue!V19)</f>
        <v>7</v>
      </c>
      <c r="X19" s="165" t="str">
        <f>Mon!U19</f>
        <v>(KM)</v>
      </c>
      <c r="Y19" s="20">
        <f t="shared" si="3"/>
        <v>1</v>
      </c>
      <c r="Z19" s="21">
        <f t="shared" si="4"/>
        <v>1</v>
      </c>
      <c r="AA19" s="21">
        <f t="shared" si="0"/>
        <v>0</v>
      </c>
      <c r="AB19" s="22">
        <f t="shared" si="1"/>
        <v>1</v>
      </c>
      <c r="AC19" s="25" t="str">
        <f t="shared" si="18"/>
        <v>IB (B)</v>
      </c>
      <c r="AD19" s="26" t="str">
        <f t="shared" si="19"/>
        <v>CB (J)</v>
      </c>
      <c r="AE19" s="26" t="str">
        <f t="shared" si="20"/>
        <v xml:space="preserve"> </v>
      </c>
      <c r="AF19" s="27" t="str">
        <f t="shared" si="21"/>
        <v>CB (I)</v>
      </c>
      <c r="AG19" s="178" t="str">
        <f t="shared" si="9"/>
        <v xml:space="preserve"> </v>
      </c>
      <c r="AH19" s="177" t="str">
        <f t="shared" si="10"/>
        <v xml:space="preserve"> </v>
      </c>
      <c r="AI19" s="177" t="str">
        <f t="shared" si="11"/>
        <v xml:space="preserve"> </v>
      </c>
      <c r="AJ19" s="180" t="str">
        <f t="shared" si="12"/>
        <v xml:space="preserve"> </v>
      </c>
      <c r="AK19" s="178" t="str">
        <f t="shared" si="13"/>
        <v xml:space="preserve"> </v>
      </c>
      <c r="AL19" s="177" t="str">
        <f t="shared" si="14"/>
        <v xml:space="preserve"> </v>
      </c>
      <c r="AM19" s="177" t="str">
        <f t="shared" si="15"/>
        <v xml:space="preserve"> </v>
      </c>
      <c r="AN19" s="179" t="str">
        <f t="shared" si="16"/>
        <v xml:space="preserve"> </v>
      </c>
    </row>
    <row r="20" spans="1:40" ht="18.75" customHeight="1" x14ac:dyDescent="0.35">
      <c r="A20" s="173" t="s">
        <v>26</v>
      </c>
      <c r="B20" s="299"/>
      <c r="C20" s="94" t="s">
        <v>27</v>
      </c>
      <c r="D20" s="95" t="s">
        <v>136</v>
      </c>
      <c r="E20" s="352" t="s">
        <v>28</v>
      </c>
      <c r="F20" s="353"/>
      <c r="G20" s="354" t="s">
        <v>29</v>
      </c>
      <c r="H20" s="353"/>
      <c r="I20" s="354" t="s">
        <v>30</v>
      </c>
      <c r="J20" s="353"/>
      <c r="K20" s="390" t="s">
        <v>31</v>
      </c>
      <c r="L20" s="391"/>
      <c r="M20" s="390" t="s">
        <v>32</v>
      </c>
      <c r="N20" s="398"/>
      <c r="O20" s="124"/>
      <c r="R20" s="28"/>
      <c r="U20" s="165" t="str">
        <f>Mon!U20</f>
        <v>(KR)</v>
      </c>
      <c r="V20" s="35">
        <f t="shared" si="2"/>
        <v>2</v>
      </c>
      <c r="W20" s="36">
        <f>SUM(Mon!V20,Tue!V20)</f>
        <v>5</v>
      </c>
      <c r="X20" s="165" t="str">
        <f>Mon!U20</f>
        <v>(KR)</v>
      </c>
      <c r="Y20" s="20">
        <f t="shared" si="3"/>
        <v>1</v>
      </c>
      <c r="Z20" s="21">
        <f t="shared" si="4"/>
        <v>0</v>
      </c>
      <c r="AA20" s="21">
        <f t="shared" si="0"/>
        <v>0</v>
      </c>
      <c r="AB20" s="22">
        <f t="shared" si="1"/>
        <v>1</v>
      </c>
      <c r="AC20" s="25" t="str">
        <f t="shared" si="18"/>
        <v>MA (E)</v>
      </c>
      <c r="AD20" s="26" t="str">
        <f t="shared" si="19"/>
        <v xml:space="preserve"> </v>
      </c>
      <c r="AE20" s="26" t="str">
        <f t="shared" si="20"/>
        <v xml:space="preserve"> </v>
      </c>
      <c r="AF20" s="27" t="str">
        <f t="shared" si="21"/>
        <v>MA (H)</v>
      </c>
      <c r="AG20" s="178" t="str">
        <f t="shared" si="9"/>
        <v xml:space="preserve"> </v>
      </c>
      <c r="AH20" s="177" t="str">
        <f t="shared" si="10"/>
        <v xml:space="preserve"> </v>
      </c>
      <c r="AI20" s="177" t="str">
        <f t="shared" si="11"/>
        <v xml:space="preserve"> </v>
      </c>
      <c r="AJ20" s="180" t="str">
        <f t="shared" si="12"/>
        <v xml:space="preserve"> </v>
      </c>
      <c r="AK20" s="178" t="str">
        <f t="shared" si="13"/>
        <v xml:space="preserve"> </v>
      </c>
      <c r="AL20" s="177" t="str">
        <f t="shared" si="14"/>
        <v xml:space="preserve"> </v>
      </c>
      <c r="AM20" s="177" t="str">
        <f t="shared" si="15"/>
        <v xml:space="preserve"> </v>
      </c>
      <c r="AN20" s="179" t="str">
        <f t="shared" si="16"/>
        <v xml:space="preserve"> </v>
      </c>
    </row>
    <row r="21" spans="1:40" ht="18.75" customHeight="1" x14ac:dyDescent="0.35">
      <c r="A21" s="343">
        <v>3</v>
      </c>
      <c r="B21" s="100" t="str">
        <f>Mon!B21</f>
        <v>CM+OP</v>
      </c>
      <c r="C21" s="330" t="s">
        <v>41</v>
      </c>
      <c r="D21" s="98"/>
      <c r="E21" s="33" t="str">
        <f>_xlfn.XLOOKUP(F21, $A$88:$A$95, $B$88:$B$95, "Training")</f>
        <v>CA</v>
      </c>
      <c r="F21" s="34" t="s">
        <v>57</v>
      </c>
      <c r="G21" s="33" t="str">
        <f>_xlfn.XLOOKUP(H21, $A$88:$A$95, $B$88:$B$95, "Training")</f>
        <v>OP</v>
      </c>
      <c r="H21" s="34" t="s">
        <v>119</v>
      </c>
      <c r="I21" s="346" t="s">
        <v>143</v>
      </c>
      <c r="J21" s="347"/>
      <c r="K21" s="33" t="str">
        <f>_xlfn.XLOOKUP(L21, $A$88:$A$95, $B$88:$B$95, "Training")</f>
        <v>ED</v>
      </c>
      <c r="L21" s="34" t="s">
        <v>103</v>
      </c>
      <c r="M21" s="33" t="str">
        <f>_xlfn.XLOOKUP(N21, $A$88:$A$95, $B$88:$B$95, "Training")</f>
        <v>CM</v>
      </c>
      <c r="N21" s="34" t="s">
        <v>46</v>
      </c>
      <c r="O21" s="205"/>
      <c r="Q21" s="78"/>
      <c r="R21" s="28"/>
      <c r="U21" s="165" t="str">
        <f>Mon!U21</f>
        <v>(LK)</v>
      </c>
      <c r="V21" s="35">
        <f t="shared" si="2"/>
        <v>4</v>
      </c>
      <c r="W21" s="36">
        <f>SUM(Mon!V21,Tue!V21)</f>
        <v>7</v>
      </c>
      <c r="X21" s="165" t="str">
        <f>Mon!U21</f>
        <v>(LK)</v>
      </c>
      <c r="Y21" s="20">
        <f t="shared" si="3"/>
        <v>1</v>
      </c>
      <c r="Z21" s="21">
        <f t="shared" si="4"/>
        <v>1</v>
      </c>
      <c r="AA21" s="21">
        <f t="shared" si="0"/>
        <v>1</v>
      </c>
      <c r="AB21" s="22">
        <f t="shared" si="1"/>
        <v>1</v>
      </c>
      <c r="AC21" s="25" t="str">
        <f t="shared" si="18"/>
        <v>MIP (I)</v>
      </c>
      <c r="AD21" s="26" t="str">
        <f t="shared" si="19"/>
        <v>RM (G)</v>
      </c>
      <c r="AE21" s="26" t="str">
        <f t="shared" si="20"/>
        <v>RM (K)</v>
      </c>
      <c r="AF21" s="27" t="str">
        <f t="shared" si="21"/>
        <v>LE (L)</v>
      </c>
      <c r="AG21" s="178" t="str">
        <f t="shared" si="9"/>
        <v xml:space="preserve"> </v>
      </c>
      <c r="AH21" s="177" t="str">
        <f t="shared" si="10"/>
        <v xml:space="preserve"> </v>
      </c>
      <c r="AI21" s="177" t="str">
        <f t="shared" si="11"/>
        <v xml:space="preserve"> </v>
      </c>
      <c r="AJ21" s="180" t="str">
        <f t="shared" si="12"/>
        <v xml:space="preserve"> </v>
      </c>
      <c r="AK21" s="178" t="str">
        <f t="shared" si="13"/>
        <v xml:space="preserve"> </v>
      </c>
      <c r="AL21" s="177" t="str">
        <f t="shared" si="14"/>
        <v xml:space="preserve"> </v>
      </c>
      <c r="AM21" s="177" t="str">
        <f t="shared" si="15"/>
        <v xml:space="preserve"> </v>
      </c>
      <c r="AN21" s="179" t="str">
        <f t="shared" si="16"/>
        <v xml:space="preserve"> </v>
      </c>
    </row>
    <row r="22" spans="1:40" ht="18.75" customHeight="1" thickBot="1" x14ac:dyDescent="0.4">
      <c r="A22" s="344"/>
      <c r="B22" s="19" t="str">
        <f>Mon!B22</f>
        <v>CM+OP</v>
      </c>
      <c r="C22" s="98" t="s">
        <v>49</v>
      </c>
      <c r="D22" s="98"/>
      <c r="E22" s="6" t="str">
        <f>_xlfn.XLOOKUP(F22, $C$88:$C$95, $D$88:$D$95, "Training")</f>
        <v>OP</v>
      </c>
      <c r="F22" s="7" t="s">
        <v>109</v>
      </c>
      <c r="G22" s="6" t="str">
        <f>_xlfn.XLOOKUP(H22, $C$88:$C$95, $D$88:$D$95, "Training")</f>
        <v>MM</v>
      </c>
      <c r="H22" s="7" t="s">
        <v>74</v>
      </c>
      <c r="I22" s="348"/>
      <c r="J22" s="349"/>
      <c r="K22" s="6" t="str">
        <f>_xlfn.XLOOKUP(L22, $C$88:$C$95, $D$88:$D$95, "Training")</f>
        <v>EVS</v>
      </c>
      <c r="L22" s="7" t="s">
        <v>105</v>
      </c>
      <c r="M22" s="6" t="str">
        <f>_xlfn.XLOOKUP(N22, $C$88:$C$95, $D$88:$D$95, "Training")</f>
        <v>ED</v>
      </c>
      <c r="N22" s="7" t="s">
        <v>108</v>
      </c>
      <c r="O22" s="205"/>
      <c r="Q22" s="29"/>
      <c r="R22" s="28"/>
      <c r="U22" s="165" t="str">
        <f>Mon!U22</f>
        <v>(LV)</v>
      </c>
      <c r="V22" s="35">
        <f t="shared" si="2"/>
        <v>3</v>
      </c>
      <c r="W22" s="36">
        <f>SUM(Mon!V22,Tue!V22)</f>
        <v>6</v>
      </c>
      <c r="X22" s="165" t="str">
        <f>Mon!U22</f>
        <v>(LV)</v>
      </c>
      <c r="Y22" s="20">
        <f t="shared" si="3"/>
        <v>0</v>
      </c>
      <c r="Z22" s="21">
        <f t="shared" si="4"/>
        <v>1</v>
      </c>
      <c r="AA22" s="21">
        <f t="shared" si="0"/>
        <v>1</v>
      </c>
      <c r="AB22" s="22">
        <f t="shared" si="1"/>
        <v>1</v>
      </c>
      <c r="AC22" s="25" t="str">
        <f t="shared" si="18"/>
        <v xml:space="preserve"> </v>
      </c>
      <c r="AD22" s="26" t="str">
        <f t="shared" si="19"/>
        <v xml:space="preserve"> </v>
      </c>
      <c r="AE22" s="26" t="str">
        <f t="shared" si="20"/>
        <v xml:space="preserve"> </v>
      </c>
      <c r="AF22" s="27" t="str">
        <f t="shared" si="21"/>
        <v xml:space="preserve"> </v>
      </c>
      <c r="AG22" s="178" t="str">
        <f t="shared" si="9"/>
        <v xml:space="preserve"> </v>
      </c>
      <c r="AH22" s="177" t="str">
        <f t="shared" si="10"/>
        <v>MM (E)</v>
      </c>
      <c r="AI22" s="177" t="str">
        <f t="shared" si="11"/>
        <v>ED (H)</v>
      </c>
      <c r="AJ22" s="180" t="str">
        <f t="shared" si="12"/>
        <v>ED (B)</v>
      </c>
      <c r="AK22" s="178" t="str">
        <f t="shared" si="13"/>
        <v xml:space="preserve"> </v>
      </c>
      <c r="AL22" s="177" t="str">
        <f t="shared" si="14"/>
        <v xml:space="preserve"> </v>
      </c>
      <c r="AM22" s="177" t="str">
        <f t="shared" si="15"/>
        <v xml:space="preserve"> </v>
      </c>
      <c r="AN22" s="179" t="str">
        <f t="shared" si="16"/>
        <v xml:space="preserve"> </v>
      </c>
    </row>
    <row r="23" spans="1:40" ht="18.75" customHeight="1" thickBot="1" x14ac:dyDescent="0.4">
      <c r="A23" s="344"/>
      <c r="B23" s="19" t="str">
        <f>Mon!B23</f>
        <v>CM+OP</v>
      </c>
      <c r="C23" s="98" t="s">
        <v>55</v>
      </c>
      <c r="D23" s="98"/>
      <c r="E23" s="6" t="str">
        <f>_xlfn.XLOOKUP(F23, $E$88:$E$95, $F$88:$F$95, "Training")</f>
        <v>ED</v>
      </c>
      <c r="F23" s="7" t="s">
        <v>53</v>
      </c>
      <c r="G23" s="6" t="str">
        <f>_xlfn.XLOOKUP(H23, $E$88:$E$95, $F$88:$F$95, "Training")</f>
        <v>CA</v>
      </c>
      <c r="H23" s="7" t="s">
        <v>110</v>
      </c>
      <c r="I23" s="348"/>
      <c r="J23" s="349"/>
      <c r="K23" s="6" t="str">
        <f>_xlfn.XLOOKUP(L23, $E$88:$E$95, $F$88:$F$95, "Training")</f>
        <v>OP</v>
      </c>
      <c r="L23" s="7" t="s">
        <v>119</v>
      </c>
      <c r="M23" s="6" t="str">
        <f>_xlfn.XLOOKUP(N23, $E$88:$E$95, $F$88:$F$95, "Training")</f>
        <v>HR</v>
      </c>
      <c r="N23" s="7" t="s">
        <v>61</v>
      </c>
      <c r="O23" s="205"/>
      <c r="Q23" s="29"/>
      <c r="R23" s="28"/>
      <c r="U23" s="165" t="str">
        <f>Mon!U23</f>
        <v>(MB)</v>
      </c>
      <c r="V23" s="35">
        <f t="shared" si="2"/>
        <v>2</v>
      </c>
      <c r="W23" s="36">
        <f>SUM(Mon!V23,Tue!V23)</f>
        <v>6</v>
      </c>
      <c r="X23" s="165" t="str">
        <f>Mon!U23</f>
        <v>(MB)</v>
      </c>
      <c r="Y23" s="20">
        <f t="shared" si="3"/>
        <v>0</v>
      </c>
      <c r="Z23" s="21">
        <f t="shared" si="4"/>
        <v>1</v>
      </c>
      <c r="AA23" s="21">
        <f t="shared" si="0"/>
        <v>1</v>
      </c>
      <c r="AB23" s="22">
        <f t="shared" si="1"/>
        <v>0</v>
      </c>
      <c r="AC23" s="25" t="str">
        <f t="shared" si="18"/>
        <v xml:space="preserve"> </v>
      </c>
      <c r="AD23" s="26" t="str">
        <f t="shared" si="19"/>
        <v xml:space="preserve"> </v>
      </c>
      <c r="AE23" s="26" t="str">
        <f t="shared" si="20"/>
        <v xml:space="preserve"> </v>
      </c>
      <c r="AF23" s="27" t="str">
        <f t="shared" si="21"/>
        <v xml:space="preserve"> </v>
      </c>
      <c r="AG23" s="178" t="str">
        <f t="shared" si="9"/>
        <v xml:space="preserve"> </v>
      </c>
      <c r="AH23" s="177" t="str">
        <f t="shared" si="10"/>
        <v>EVS (N)</v>
      </c>
      <c r="AI23" s="177" t="str">
        <f t="shared" si="11"/>
        <v>EVS (B)</v>
      </c>
      <c r="AJ23" s="180" t="str">
        <f t="shared" si="12"/>
        <v xml:space="preserve"> </v>
      </c>
      <c r="AK23" s="178" t="str">
        <f t="shared" si="13"/>
        <v xml:space="preserve"> </v>
      </c>
      <c r="AL23" s="177" t="str">
        <f t="shared" si="14"/>
        <v xml:space="preserve"> </v>
      </c>
      <c r="AM23" s="177" t="str">
        <f t="shared" si="15"/>
        <v xml:space="preserve"> </v>
      </c>
      <c r="AN23" s="179" t="str">
        <f t="shared" si="16"/>
        <v xml:space="preserve"> </v>
      </c>
    </row>
    <row r="24" spans="1:40" ht="18.75" customHeight="1" thickBot="1" x14ac:dyDescent="0.4">
      <c r="A24" s="344"/>
      <c r="B24" s="19" t="str">
        <f>Mon!B24</f>
        <v>CM+OP</v>
      </c>
      <c r="C24" s="98" t="s">
        <v>37</v>
      </c>
      <c r="D24" s="98"/>
      <c r="E24" s="6" t="str">
        <f>_xlfn.XLOOKUP(F24, $G$88:$G$95, $H$88:$H$95, "Training")</f>
        <v>MM</v>
      </c>
      <c r="F24" s="5" t="s">
        <v>107</v>
      </c>
      <c r="G24" s="6" t="str">
        <f>_xlfn.XLOOKUP(H24, $G$88:$G$95, $H$88:$H$95, "Training")</f>
        <v>OP</v>
      </c>
      <c r="H24" s="5" t="s">
        <v>114</v>
      </c>
      <c r="I24" s="348"/>
      <c r="J24" s="349"/>
      <c r="K24" s="6" t="str">
        <f>_xlfn.XLOOKUP(L24, $G$88:$G$95, $H$88:$H$95, "Training")</f>
        <v>CA</v>
      </c>
      <c r="L24" s="5" t="s">
        <v>60</v>
      </c>
      <c r="M24" s="6" t="str">
        <f>_xlfn.XLOOKUP(N24, $G$88:$G$95, $H$88:$H$95, "Training")</f>
        <v>ED</v>
      </c>
      <c r="N24" s="5" t="s">
        <v>111</v>
      </c>
      <c r="O24" s="205"/>
      <c r="Q24" s="78"/>
      <c r="R24" s="28"/>
      <c r="U24" s="165" t="str">
        <f>Mon!U24</f>
        <v>(MEG)</v>
      </c>
      <c r="V24" s="35">
        <f t="shared" si="2"/>
        <v>3</v>
      </c>
      <c r="W24" s="36">
        <f>SUM(Mon!V24,Tue!V24)</f>
        <v>6</v>
      </c>
      <c r="X24" s="165" t="str">
        <f>Mon!U24</f>
        <v>(MEG)</v>
      </c>
      <c r="Y24" s="20">
        <f t="shared" si="3"/>
        <v>0</v>
      </c>
      <c r="Z24" s="21">
        <f t="shared" si="4"/>
        <v>1</v>
      </c>
      <c r="AA24" s="21">
        <f t="shared" si="0"/>
        <v>1</v>
      </c>
      <c r="AB24" s="22">
        <f t="shared" si="1"/>
        <v>1</v>
      </c>
      <c r="AC24" s="25" t="str">
        <f t="shared" si="18"/>
        <v xml:space="preserve"> </v>
      </c>
      <c r="AD24" s="26" t="str">
        <f t="shared" si="19"/>
        <v xml:space="preserve"> </v>
      </c>
      <c r="AE24" s="26" t="str">
        <f t="shared" si="20"/>
        <v xml:space="preserve"> </v>
      </c>
      <c r="AF24" s="27" t="str">
        <f t="shared" si="21"/>
        <v>MA (J)</v>
      </c>
      <c r="AG24" s="178" t="str">
        <f t="shared" si="9"/>
        <v xml:space="preserve"> </v>
      </c>
      <c r="AH24" s="177" t="str">
        <f t="shared" si="10"/>
        <v>CA (L)</v>
      </c>
      <c r="AI24" s="177" t="str">
        <f t="shared" si="11"/>
        <v>CA (D)</v>
      </c>
      <c r="AJ24" s="180" t="str">
        <f t="shared" si="12"/>
        <v xml:space="preserve"> </v>
      </c>
      <c r="AK24" s="178" t="str">
        <f t="shared" si="13"/>
        <v xml:space="preserve"> </v>
      </c>
      <c r="AL24" s="177" t="str">
        <f t="shared" si="14"/>
        <v xml:space="preserve"> </v>
      </c>
      <c r="AM24" s="177" t="str">
        <f t="shared" si="15"/>
        <v xml:space="preserve"> </v>
      </c>
      <c r="AN24" s="179" t="str">
        <f t="shared" si="16"/>
        <v xml:space="preserve"> </v>
      </c>
    </row>
    <row r="25" spans="1:40" ht="18.75" customHeight="1" thickBot="1" x14ac:dyDescent="0.4">
      <c r="A25" s="344"/>
      <c r="B25" s="19" t="str">
        <f>Mon!B25</f>
        <v>CM+OP</v>
      </c>
      <c r="C25" s="98" t="s">
        <v>38</v>
      </c>
      <c r="D25" s="98"/>
      <c r="E25" s="6" t="str">
        <f>_xlfn.XLOOKUP(F25, $I$88:$I$95, $J$88:$J$95, "Training")</f>
        <v>EVS</v>
      </c>
      <c r="F25" s="5" t="s">
        <v>111</v>
      </c>
      <c r="G25" s="6" t="str">
        <f>_xlfn.XLOOKUP(H25, $I$88:$I$95, $J$88:$J$95, "Training")</f>
        <v>MM</v>
      </c>
      <c r="H25" s="5" t="s">
        <v>108</v>
      </c>
      <c r="I25" s="348"/>
      <c r="J25" s="349"/>
      <c r="K25" s="6" t="str">
        <f>_xlfn.XLOOKUP(L25, $I$88:$I$95, $J$88:$J$95, "Training")</f>
        <v>HR</v>
      </c>
      <c r="L25" s="5" t="s">
        <v>104</v>
      </c>
      <c r="M25" s="6" t="str">
        <f>_xlfn.XLOOKUP(N25, $I$88:$I$95, $J$88:$J$95, "Training")</f>
        <v>CM</v>
      </c>
      <c r="N25" s="5" t="s">
        <v>107</v>
      </c>
      <c r="O25" s="205"/>
      <c r="Q25" s="78"/>
      <c r="U25" s="165" t="str">
        <f>Mon!U25</f>
        <v>(MH)</v>
      </c>
      <c r="V25" s="35">
        <f t="shared" si="2"/>
        <v>3</v>
      </c>
      <c r="W25" s="36">
        <f>SUM(Mon!V25,Tue!V25)</f>
        <v>6</v>
      </c>
      <c r="X25" s="165" t="str">
        <f>Mon!U25</f>
        <v>(MH)</v>
      </c>
      <c r="Y25" s="20">
        <f t="shared" si="3"/>
        <v>1</v>
      </c>
      <c r="Z25" s="21">
        <f t="shared" si="4"/>
        <v>0</v>
      </c>
      <c r="AA25" s="21">
        <f t="shared" si="0"/>
        <v>1</v>
      </c>
      <c r="AB25" s="22">
        <f t="shared" si="1"/>
        <v>1</v>
      </c>
      <c r="AC25" s="25" t="str">
        <f t="shared" si="18"/>
        <v xml:space="preserve"> </v>
      </c>
      <c r="AD25" s="26" t="str">
        <f t="shared" si="19"/>
        <v xml:space="preserve"> </v>
      </c>
      <c r="AE25" s="26" t="str">
        <f t="shared" si="20"/>
        <v xml:space="preserve"> </v>
      </c>
      <c r="AF25" s="27" t="str">
        <f t="shared" si="21"/>
        <v xml:space="preserve"> </v>
      </c>
      <c r="AG25" s="178" t="str">
        <f t="shared" si="9"/>
        <v>SP (F)</v>
      </c>
      <c r="AH25" s="177" t="str">
        <f t="shared" si="10"/>
        <v xml:space="preserve"> </v>
      </c>
      <c r="AI25" s="177" t="str">
        <f t="shared" si="11"/>
        <v>SP (M)</v>
      </c>
      <c r="AJ25" s="180" t="str">
        <f t="shared" si="12"/>
        <v>SP (H)</v>
      </c>
      <c r="AK25" s="178" t="str">
        <f t="shared" si="13"/>
        <v xml:space="preserve"> </v>
      </c>
      <c r="AL25" s="177" t="str">
        <f t="shared" si="14"/>
        <v xml:space="preserve"> </v>
      </c>
      <c r="AM25" s="177" t="str">
        <f t="shared" si="15"/>
        <v xml:space="preserve"> </v>
      </c>
      <c r="AN25" s="179" t="str">
        <f t="shared" si="16"/>
        <v xml:space="preserve"> </v>
      </c>
    </row>
    <row r="26" spans="1:40" ht="18.75" customHeight="1" thickBot="1" x14ac:dyDescent="0.4">
      <c r="A26" s="344"/>
      <c r="B26" s="19" t="str">
        <f>Mon!B26</f>
        <v>CM+OP</v>
      </c>
      <c r="C26" s="98" t="s">
        <v>65</v>
      </c>
      <c r="D26" s="98"/>
      <c r="E26" s="6" t="str">
        <f>_xlfn.XLOOKUP(F26, $K$88:$K$95, $L$88:$L$95, "Training")</f>
        <v>SP</v>
      </c>
      <c r="F26" s="5" t="s">
        <v>113</v>
      </c>
      <c r="G26" s="6" t="str">
        <f>_xlfn.XLOOKUP(H26, $K$88:$K$95, $L$88:$L$95, "Training")</f>
        <v>HR</v>
      </c>
      <c r="H26" s="5" t="s">
        <v>75</v>
      </c>
      <c r="I26" s="348"/>
      <c r="J26" s="349"/>
      <c r="K26" s="6" t="str">
        <f>_xlfn.XLOOKUP(L26, $K$88:$K$95, $L$88:$L$95, "Training")</f>
        <v>CM</v>
      </c>
      <c r="L26" s="5" t="s">
        <v>107</v>
      </c>
      <c r="M26" s="6" t="str">
        <f>_xlfn.XLOOKUP(N26, $K$88:$K$95, $L$88:$L$95, "Training")</f>
        <v>CA</v>
      </c>
      <c r="N26" s="5" t="s">
        <v>110</v>
      </c>
      <c r="O26" s="205"/>
      <c r="Q26" s="78"/>
      <c r="R26" s="29"/>
      <c r="U26" s="165" t="str">
        <f>Mon!U26</f>
        <v>(MK)</v>
      </c>
      <c r="V26" s="35">
        <f t="shared" si="2"/>
        <v>4</v>
      </c>
      <c r="W26" s="36">
        <f>SUM(Mon!V26,Tue!V26)</f>
        <v>7</v>
      </c>
      <c r="X26" s="165" t="str">
        <f>Mon!U26</f>
        <v>(MK)</v>
      </c>
      <c r="Y26" s="20">
        <f t="shared" si="3"/>
        <v>1</v>
      </c>
      <c r="Z26" s="21">
        <f t="shared" si="4"/>
        <v>1</v>
      </c>
      <c r="AA26" s="21">
        <f t="shared" si="0"/>
        <v>1</v>
      </c>
      <c r="AB26" s="22">
        <f t="shared" si="1"/>
        <v>1</v>
      </c>
      <c r="AC26" s="25" t="str">
        <f t="shared" si="18"/>
        <v xml:space="preserve"> </v>
      </c>
      <c r="AD26" s="26" t="str">
        <f t="shared" si="19"/>
        <v xml:space="preserve"> </v>
      </c>
      <c r="AE26" s="26" t="str">
        <f t="shared" si="20"/>
        <v xml:space="preserve"> </v>
      </c>
      <c r="AF26" s="27" t="str">
        <f t="shared" si="21"/>
        <v xml:space="preserve"> </v>
      </c>
      <c r="AG26" s="178" t="str">
        <f t="shared" si="9"/>
        <v xml:space="preserve"> </v>
      </c>
      <c r="AH26" s="177" t="str">
        <f t="shared" si="10"/>
        <v xml:space="preserve"> </v>
      </c>
      <c r="AI26" s="177" t="str">
        <f t="shared" si="11"/>
        <v xml:space="preserve"> </v>
      </c>
      <c r="AJ26" s="180" t="str">
        <f t="shared" si="12"/>
        <v xml:space="preserve"> </v>
      </c>
      <c r="AK26" s="178" t="str">
        <f t="shared" si="13"/>
        <v>FA (A)</v>
      </c>
      <c r="AL26" s="177" t="str">
        <f t="shared" si="14"/>
        <v>FA (H)</v>
      </c>
      <c r="AM26" s="177" t="str">
        <f t="shared" si="15"/>
        <v>FA (N)</v>
      </c>
      <c r="AN26" s="179" t="str">
        <f t="shared" si="16"/>
        <v>FA (C)</v>
      </c>
    </row>
    <row r="27" spans="1:40" ht="18.75" customHeight="1" thickBot="1" x14ac:dyDescent="0.4">
      <c r="A27" s="344"/>
      <c r="B27" s="19" t="str">
        <f>Mon!B27</f>
        <v>OP/CM/CP</v>
      </c>
      <c r="C27" s="98" t="s">
        <v>69</v>
      </c>
      <c r="D27" s="98"/>
      <c r="E27" s="6" t="str">
        <f>_xlfn.XLOOKUP(F27, $M$88:$M$95, $N$88:$N$95, "Training")</f>
        <v>MM</v>
      </c>
      <c r="F27" s="5" t="s">
        <v>58</v>
      </c>
      <c r="G27" s="6" t="str">
        <f>_xlfn.XLOOKUP(H27, $M$88:$M$95, $N$88:$N$95, "Training")</f>
        <v>ED</v>
      </c>
      <c r="H27" s="5" t="s">
        <v>111</v>
      </c>
      <c r="I27" s="348"/>
      <c r="J27" s="349"/>
      <c r="K27" s="6" t="str">
        <f>_xlfn.XLOOKUP(L27, $M$88:$M$95, $N$88:$N$95, "Training")</f>
        <v>OP</v>
      </c>
      <c r="L27" s="5" t="s">
        <v>109</v>
      </c>
      <c r="M27" s="6" t="str">
        <f>_xlfn.XLOOKUP(N27, $M$88:$M$95, $N$88:$N$95, "Training")</f>
        <v>CP</v>
      </c>
      <c r="N27" s="5" t="s">
        <v>82</v>
      </c>
      <c r="O27" s="205"/>
      <c r="Q27" s="78"/>
      <c r="U27" s="165" t="str">
        <f>Mon!U27</f>
        <v>(MS)</v>
      </c>
      <c r="V27" s="35">
        <f t="shared" si="2"/>
        <v>3</v>
      </c>
      <c r="W27" s="36">
        <f>SUM(Mon!V27,Tue!V27)</f>
        <v>6</v>
      </c>
      <c r="X27" s="165" t="str">
        <f>Mon!U27</f>
        <v>(MS)</v>
      </c>
      <c r="Y27" s="20">
        <f t="shared" si="3"/>
        <v>1</v>
      </c>
      <c r="Z27" s="21">
        <f t="shared" si="4"/>
        <v>1</v>
      </c>
      <c r="AA27" s="21">
        <f t="shared" si="0"/>
        <v>1</v>
      </c>
      <c r="AB27" s="22">
        <f t="shared" si="1"/>
        <v>0</v>
      </c>
      <c r="AC27" s="25" t="str">
        <f t="shared" si="18"/>
        <v xml:space="preserve"> </v>
      </c>
      <c r="AD27" s="26" t="str">
        <f t="shared" si="19"/>
        <v>AA (C)</v>
      </c>
      <c r="AE27" s="26" t="str">
        <f t="shared" si="20"/>
        <v>FMS (E)</v>
      </c>
      <c r="AF27" s="27" t="str">
        <f t="shared" si="21"/>
        <v xml:space="preserve"> </v>
      </c>
      <c r="AG27" s="178" t="str">
        <f t="shared" si="9"/>
        <v>ED (C)</v>
      </c>
      <c r="AH27" s="177" t="str">
        <f t="shared" si="10"/>
        <v xml:space="preserve"> </v>
      </c>
      <c r="AI27" s="177" t="str">
        <f t="shared" si="11"/>
        <v xml:space="preserve"> </v>
      </c>
      <c r="AJ27" s="180" t="str">
        <f t="shared" si="12"/>
        <v xml:space="preserve"> </v>
      </c>
      <c r="AK27" s="178" t="str">
        <f t="shared" si="13"/>
        <v xml:space="preserve"> </v>
      </c>
      <c r="AL27" s="177" t="str">
        <f t="shared" si="14"/>
        <v xml:space="preserve"> </v>
      </c>
      <c r="AM27" s="177" t="str">
        <f t="shared" si="15"/>
        <v xml:space="preserve"> </v>
      </c>
      <c r="AN27" s="179" t="str">
        <f t="shared" si="16"/>
        <v xml:space="preserve"> </v>
      </c>
    </row>
    <row r="28" spans="1:40" ht="18.75" customHeight="1" thickBot="1" x14ac:dyDescent="0.4">
      <c r="A28" s="344"/>
      <c r="B28" s="19" t="str">
        <f>Mon!B28</f>
        <v>CP+OP</v>
      </c>
      <c r="C28" s="98" t="s">
        <v>72</v>
      </c>
      <c r="D28" s="98"/>
      <c r="E28" s="6" t="str">
        <f>_xlfn.XLOOKUP(F28, $O$88:$O$95, $P$88:$P$95, "Training")</f>
        <v>HR</v>
      </c>
      <c r="F28" s="5" t="s">
        <v>118</v>
      </c>
      <c r="G28" s="6" t="str">
        <f>_xlfn.XLOOKUP(H28, $O$88:$O$95, $P$88:$P$95, "Training")</f>
        <v>CA</v>
      </c>
      <c r="H28" s="5" t="s">
        <v>112</v>
      </c>
      <c r="I28" s="348"/>
      <c r="J28" s="349"/>
      <c r="K28" s="6" t="str">
        <f>_xlfn.XLOOKUP(L28, $O$88:$O$95, $P$88:$P$95, "Training")</f>
        <v>ED</v>
      </c>
      <c r="L28" s="5" t="s">
        <v>108</v>
      </c>
      <c r="M28" s="6" t="str">
        <f>_xlfn.XLOOKUP(N28, $O$88:$O$95, $P$88:$P$95, "Training")</f>
        <v>SP</v>
      </c>
      <c r="N28" s="5" t="s">
        <v>113</v>
      </c>
      <c r="O28" s="205"/>
      <c r="Q28" s="78"/>
      <c r="U28" s="165" t="str">
        <f>Mon!U28</f>
        <v>(ND)</v>
      </c>
      <c r="V28" s="35">
        <f t="shared" si="2"/>
        <v>3</v>
      </c>
      <c r="W28" s="36">
        <f>SUM(Mon!V28,Tue!V28)</f>
        <v>6</v>
      </c>
      <c r="X28" s="165" t="str">
        <f>Mon!U28</f>
        <v>(ND)</v>
      </c>
      <c r="Y28" s="20">
        <f t="shared" si="3"/>
        <v>0</v>
      </c>
      <c r="Z28" s="21">
        <f t="shared" si="4"/>
        <v>1</v>
      </c>
      <c r="AA28" s="21">
        <f t="shared" si="0"/>
        <v>1</v>
      </c>
      <c r="AB28" s="22">
        <f t="shared" si="1"/>
        <v>1</v>
      </c>
      <c r="AC28" s="25" t="str">
        <f t="shared" si="18"/>
        <v xml:space="preserve"> </v>
      </c>
      <c r="AD28" s="26" t="str">
        <f t="shared" si="19"/>
        <v xml:space="preserve"> </v>
      </c>
      <c r="AE28" s="26" t="str">
        <f t="shared" si="20"/>
        <v xml:space="preserve"> </v>
      </c>
      <c r="AF28" s="27" t="str">
        <f t="shared" si="21"/>
        <v xml:space="preserve"> </v>
      </c>
      <c r="AG28" s="178" t="str">
        <f t="shared" si="9"/>
        <v xml:space="preserve"> </v>
      </c>
      <c r="AH28" s="177" t="str">
        <f t="shared" si="10"/>
        <v>OP (A)</v>
      </c>
      <c r="AI28" s="177" t="str">
        <f t="shared" si="11"/>
        <v>OP (C)</v>
      </c>
      <c r="AJ28" s="180" t="str">
        <f t="shared" si="12"/>
        <v>OP (L)</v>
      </c>
      <c r="AK28" s="178" t="str">
        <f t="shared" si="13"/>
        <v xml:space="preserve"> </v>
      </c>
      <c r="AL28" s="177" t="str">
        <f t="shared" si="14"/>
        <v xml:space="preserve"> </v>
      </c>
      <c r="AM28" s="177" t="str">
        <f t="shared" si="15"/>
        <v xml:space="preserve"> </v>
      </c>
      <c r="AN28" s="179" t="str">
        <f t="shared" si="16"/>
        <v xml:space="preserve"> </v>
      </c>
    </row>
    <row r="29" spans="1:40" ht="18.75" customHeight="1" thickBot="1" x14ac:dyDescent="0.4">
      <c r="A29" s="344"/>
      <c r="B29" s="19" t="str">
        <f>Mon!B29</f>
        <v>CP+OP</v>
      </c>
      <c r="C29" s="98" t="s">
        <v>76</v>
      </c>
      <c r="D29" s="98"/>
      <c r="E29" s="6" t="str">
        <f>_xlfn.XLOOKUP(F29, $Q$88:$Q$95, $R$88:$R$95, "Training")</f>
        <v>CA</v>
      </c>
      <c r="F29" s="5" t="s">
        <v>110</v>
      </c>
      <c r="G29" s="6" t="str">
        <f>_xlfn.XLOOKUP(H29, $Q$88:$Q$95, $R$88:$R$95, "Training")</f>
        <v>HR</v>
      </c>
      <c r="H29" s="5" t="s">
        <v>104</v>
      </c>
      <c r="I29" s="348"/>
      <c r="J29" s="349"/>
      <c r="K29" s="6" t="str">
        <f>_xlfn.XLOOKUP(L29, $Q$88:$Q$95, $R$88:$R$95, "Training")</f>
        <v>EVS</v>
      </c>
      <c r="L29" s="5" t="s">
        <v>160</v>
      </c>
      <c r="M29" s="6" t="str">
        <f>_xlfn.XLOOKUP(N29, $Q$88:$Q$95, $R$88:$R$95, "Training")</f>
        <v>OP</v>
      </c>
      <c r="N29" s="5" t="s">
        <v>109</v>
      </c>
      <c r="O29" s="205"/>
      <c r="Q29" s="78"/>
      <c r="U29" s="165" t="str">
        <f>Mon!U29</f>
        <v>(NG)</v>
      </c>
      <c r="V29" s="35">
        <f t="shared" si="2"/>
        <v>3</v>
      </c>
      <c r="W29" s="36">
        <f>SUM(Mon!V29,Tue!V29)</f>
        <v>6</v>
      </c>
      <c r="X29" s="165" t="str">
        <f>Mon!U29</f>
        <v>(NG)</v>
      </c>
      <c r="Y29" s="20">
        <f t="shared" si="3"/>
        <v>0</v>
      </c>
      <c r="Z29" s="21">
        <f t="shared" si="4"/>
        <v>1</v>
      </c>
      <c r="AA29" s="21">
        <f t="shared" si="0"/>
        <v>1</v>
      </c>
      <c r="AB29" s="22">
        <f t="shared" si="1"/>
        <v>1</v>
      </c>
      <c r="AC29" s="25" t="str">
        <f t="shared" si="18"/>
        <v xml:space="preserve"> </v>
      </c>
      <c r="AD29" s="26" t="str">
        <f t="shared" si="19"/>
        <v>MA (K)</v>
      </c>
      <c r="AE29" s="26" t="str">
        <f t="shared" si="20"/>
        <v>FMS (F)</v>
      </c>
      <c r="AF29" s="27" t="str">
        <f t="shared" si="21"/>
        <v>FMS (C)</v>
      </c>
      <c r="AG29" s="178" t="str">
        <f t="shared" si="9"/>
        <v xml:space="preserve"> </v>
      </c>
      <c r="AH29" s="177" t="str">
        <f t="shared" si="10"/>
        <v xml:space="preserve"> </v>
      </c>
      <c r="AI29" s="177" t="str">
        <f t="shared" si="11"/>
        <v xml:space="preserve"> </v>
      </c>
      <c r="AJ29" s="180" t="str">
        <f t="shared" si="12"/>
        <v xml:space="preserve"> </v>
      </c>
      <c r="AK29" s="178" t="str">
        <f t="shared" si="13"/>
        <v xml:space="preserve"> </v>
      </c>
      <c r="AL29" s="177" t="str">
        <f t="shared" si="14"/>
        <v xml:space="preserve"> </v>
      </c>
      <c r="AM29" s="177" t="str">
        <f t="shared" si="15"/>
        <v xml:space="preserve"> </v>
      </c>
      <c r="AN29" s="179" t="str">
        <f t="shared" si="16"/>
        <v xml:space="preserve"> </v>
      </c>
    </row>
    <row r="30" spans="1:40" ht="18.75" customHeight="1" thickBot="1" x14ac:dyDescent="0.4">
      <c r="A30" s="344"/>
      <c r="B30" s="19" t="str">
        <f>Mon!B30</f>
        <v>CP+OP</v>
      </c>
      <c r="C30" s="98" t="s">
        <v>79</v>
      </c>
      <c r="D30" s="98"/>
      <c r="E30" s="6" t="str">
        <f>_xlfn.XLOOKUP(F30, $S$88:$S$95, $T$88:$T$95, "Training")</f>
        <v>CA</v>
      </c>
      <c r="F30" s="5" t="s">
        <v>112</v>
      </c>
      <c r="G30" s="6" t="str">
        <f>_xlfn.XLOOKUP(H30, $S$88:$S$95, $T$88:$T$95, "Training")</f>
        <v>EVS</v>
      </c>
      <c r="H30" s="5" t="s">
        <v>54</v>
      </c>
      <c r="I30" s="348"/>
      <c r="J30" s="349"/>
      <c r="K30" s="6" t="str">
        <f>_xlfn.XLOOKUP(L30, $S$88:$S$95, $T$88:$T$95, "Training")</f>
        <v>HR</v>
      </c>
      <c r="L30" s="5" t="s">
        <v>61</v>
      </c>
      <c r="M30" s="6" t="str">
        <f>_xlfn.XLOOKUP(N30, $S$88:$S$95, $T$88:$T$95, "Training")</f>
        <v>MM</v>
      </c>
      <c r="N30" s="5" t="s">
        <v>74</v>
      </c>
      <c r="O30" s="205"/>
      <c r="Q30" s="78"/>
      <c r="U30" s="165" t="str">
        <f>Mon!U30</f>
        <v>(PM)</v>
      </c>
      <c r="V30" s="35">
        <f t="shared" si="2"/>
        <v>4</v>
      </c>
      <c r="W30" s="36">
        <f>SUM(Mon!V30,Tue!V30)</f>
        <v>6</v>
      </c>
      <c r="X30" s="165" t="str">
        <f>Mon!U30</f>
        <v>(PM)</v>
      </c>
      <c r="Y30" s="20">
        <f t="shared" si="3"/>
        <v>1</v>
      </c>
      <c r="Z30" s="21">
        <f t="shared" si="4"/>
        <v>1</v>
      </c>
      <c r="AA30" s="21">
        <f t="shared" si="0"/>
        <v>0</v>
      </c>
      <c r="AB30" s="22">
        <f t="shared" si="1"/>
        <v>2</v>
      </c>
      <c r="AC30" s="25" t="str">
        <f t="shared" si="18"/>
        <v xml:space="preserve"> </v>
      </c>
      <c r="AD30" s="26" t="str">
        <f t="shared" si="19"/>
        <v xml:space="preserve"> </v>
      </c>
      <c r="AE30" s="26" t="str">
        <f t="shared" si="20"/>
        <v xml:space="preserve"> </v>
      </c>
      <c r="AF30" s="27" t="str">
        <f t="shared" si="21"/>
        <v>MA (F)</v>
      </c>
      <c r="AG30" s="178" t="str">
        <f t="shared" si="9"/>
        <v xml:space="preserve"> </v>
      </c>
      <c r="AH30" s="177" t="str">
        <f t="shared" si="10"/>
        <v xml:space="preserve"> </v>
      </c>
      <c r="AI30" s="177" t="str">
        <f t="shared" si="11"/>
        <v xml:space="preserve"> </v>
      </c>
      <c r="AJ30" s="180" t="str">
        <f t="shared" si="12"/>
        <v xml:space="preserve"> </v>
      </c>
      <c r="AK30" s="178" t="str">
        <f t="shared" si="13"/>
        <v>QT (F)</v>
      </c>
      <c r="AL30" s="177" t="str">
        <f t="shared" si="14"/>
        <v>QT (I)</v>
      </c>
      <c r="AM30" s="177" t="str">
        <f t="shared" si="15"/>
        <v xml:space="preserve"> </v>
      </c>
      <c r="AN30" s="179" t="str">
        <f t="shared" si="16"/>
        <v>QT (E)</v>
      </c>
    </row>
    <row r="31" spans="1:40" ht="18.75" customHeight="1" thickBot="1" x14ac:dyDescent="0.4">
      <c r="A31" s="344"/>
      <c r="B31" s="19" t="str">
        <f>Mon!B31</f>
        <v>CM+SP</v>
      </c>
      <c r="C31" s="98" t="s">
        <v>81</v>
      </c>
      <c r="D31" s="98"/>
      <c r="E31" s="6" t="str">
        <f>_xlfn.XLOOKUP(F31, $U$88:$U$95, $V$88:$V$95, "Training")</f>
        <v>EVS</v>
      </c>
      <c r="F31" s="5" t="s">
        <v>122</v>
      </c>
      <c r="G31" s="6" t="str">
        <f>_xlfn.XLOOKUP(H31, $U$88:$U$95, $V$88:$V$95, "Training")</f>
        <v>HR</v>
      </c>
      <c r="H31" s="5" t="s">
        <v>61</v>
      </c>
      <c r="I31" s="348"/>
      <c r="J31" s="349"/>
      <c r="K31" s="6" t="str">
        <f>_xlfn.XLOOKUP(L31, $U$88:$U$95, $V$88:$V$95, "Training")</f>
        <v>CM</v>
      </c>
      <c r="L31" s="5" t="s">
        <v>46</v>
      </c>
      <c r="M31" s="6" t="str">
        <f>_xlfn.XLOOKUP(N31, $U$88:$U$95, $V$88:$V$95, "Training")</f>
        <v>CA</v>
      </c>
      <c r="N31" s="5" t="s">
        <v>106</v>
      </c>
      <c r="O31" s="205"/>
      <c r="Q31" s="78"/>
      <c r="U31" s="165" t="str">
        <f>Mon!U31</f>
        <v>(PR)</v>
      </c>
      <c r="V31" s="35">
        <f t="shared" si="2"/>
        <v>4</v>
      </c>
      <c r="W31" s="36">
        <f>SUM(Mon!V31,Tue!V31)</f>
        <v>8</v>
      </c>
      <c r="X31" s="165" t="str">
        <f>Mon!U31</f>
        <v>(PR)</v>
      </c>
      <c r="Y31" s="20">
        <f t="shared" si="3"/>
        <v>2</v>
      </c>
      <c r="Z31" s="21">
        <f t="shared" si="4"/>
        <v>1</v>
      </c>
      <c r="AA31" s="21">
        <f t="shared" si="0"/>
        <v>1</v>
      </c>
      <c r="AB31" s="22">
        <f t="shared" si="1"/>
        <v>0</v>
      </c>
      <c r="AC31" s="25" t="str">
        <f t="shared" si="18"/>
        <v xml:space="preserve"> </v>
      </c>
      <c r="AD31" s="26" t="str">
        <f t="shared" si="19"/>
        <v xml:space="preserve"> </v>
      </c>
      <c r="AE31" s="26" t="str">
        <f t="shared" si="20"/>
        <v xml:space="preserve"> </v>
      </c>
      <c r="AF31" s="27" t="str">
        <f t="shared" si="21"/>
        <v xml:space="preserve"> </v>
      </c>
      <c r="AG31" s="178" t="str">
        <f t="shared" si="9"/>
        <v xml:space="preserve"> </v>
      </c>
      <c r="AH31" s="177" t="str">
        <f t="shared" si="10"/>
        <v xml:space="preserve"> </v>
      </c>
      <c r="AI31" s="177" t="str">
        <f t="shared" si="11"/>
        <v xml:space="preserve"> </v>
      </c>
      <c r="AJ31" s="180" t="str">
        <f t="shared" si="12"/>
        <v xml:space="preserve"> </v>
      </c>
      <c r="AK31" s="178" t="str">
        <f t="shared" si="13"/>
        <v>AE (D)</v>
      </c>
      <c r="AL31" s="177" t="str">
        <f t="shared" si="14"/>
        <v>AE (C)</v>
      </c>
      <c r="AM31" s="177" t="str">
        <f t="shared" si="15"/>
        <v>GE (F)</v>
      </c>
      <c r="AN31" s="179" t="str">
        <f t="shared" si="16"/>
        <v xml:space="preserve"> </v>
      </c>
    </row>
    <row r="32" spans="1:40" ht="18.75" customHeight="1" thickBot="1" x14ac:dyDescent="0.4">
      <c r="A32" s="344"/>
      <c r="B32" s="19" t="str">
        <f>Mon!B32</f>
        <v>CM+SP+CP</v>
      </c>
      <c r="C32" s="98" t="s">
        <v>84</v>
      </c>
      <c r="D32" s="98"/>
      <c r="E32" s="6" t="str">
        <f>_xlfn.XLOOKUP(F32, $W$88:$W$95, $X$88:$X$95, "Training")</f>
        <v>HR</v>
      </c>
      <c r="F32" s="5" t="s">
        <v>61</v>
      </c>
      <c r="G32" s="6" t="str">
        <f>_xlfn.XLOOKUP(H32, $W$88:$W$95, $X$88:$X$95, "Training")</f>
        <v>CA</v>
      </c>
      <c r="H32" s="5" t="s">
        <v>60</v>
      </c>
      <c r="I32" s="348"/>
      <c r="J32" s="349"/>
      <c r="K32" s="6" t="str">
        <f>_xlfn.XLOOKUP(L32, $W$88:$W$95, $X$88:$X$95, "Training")</f>
        <v>CP</v>
      </c>
      <c r="L32" s="5" t="s">
        <v>82</v>
      </c>
      <c r="M32" s="6" t="str">
        <f>_xlfn.XLOOKUP(N32, $W$88:$W$95, $X$88:$X$95, "Training")</f>
        <v>OP</v>
      </c>
      <c r="N32" s="5" t="s">
        <v>119</v>
      </c>
      <c r="O32" s="205"/>
      <c r="Q32" s="78"/>
      <c r="U32" s="165" t="str">
        <f>Mon!U32</f>
        <v>(RG)</v>
      </c>
      <c r="V32" s="35">
        <f t="shared" si="2"/>
        <v>2</v>
      </c>
      <c r="W32" s="36">
        <f>SUM(Mon!V32,Tue!V32)</f>
        <v>5</v>
      </c>
      <c r="X32" s="165" t="str">
        <f>Mon!U32</f>
        <v>(RG)</v>
      </c>
      <c r="Y32" s="20">
        <f t="shared" si="3"/>
        <v>1</v>
      </c>
      <c r="Z32" s="21">
        <f t="shared" si="4"/>
        <v>0</v>
      </c>
      <c r="AA32" s="21">
        <f t="shared" si="0"/>
        <v>1</v>
      </c>
      <c r="AB32" s="22">
        <f t="shared" si="1"/>
        <v>0</v>
      </c>
      <c r="AC32" s="25" t="str">
        <f t="shared" si="18"/>
        <v xml:space="preserve"> </v>
      </c>
      <c r="AD32" s="26" t="str">
        <f t="shared" si="19"/>
        <v xml:space="preserve"> </v>
      </c>
      <c r="AE32" s="26" t="str">
        <f t="shared" si="20"/>
        <v>MA (L)</v>
      </c>
      <c r="AF32" s="27" t="str">
        <f t="shared" si="21"/>
        <v xml:space="preserve"> </v>
      </c>
      <c r="AG32" s="178" t="str">
        <f t="shared" si="9"/>
        <v>CA</v>
      </c>
      <c r="AH32" s="177" t="str">
        <f t="shared" si="10"/>
        <v xml:space="preserve"> </v>
      </c>
      <c r="AI32" s="177" t="str">
        <f t="shared" si="11"/>
        <v xml:space="preserve"> </v>
      </c>
      <c r="AJ32" s="180" t="str">
        <f t="shared" si="12"/>
        <v xml:space="preserve"> </v>
      </c>
      <c r="AK32" s="178" t="str">
        <f t="shared" si="13"/>
        <v xml:space="preserve"> </v>
      </c>
      <c r="AL32" s="177" t="str">
        <f t="shared" si="14"/>
        <v xml:space="preserve"> </v>
      </c>
      <c r="AM32" s="177" t="str">
        <f t="shared" si="15"/>
        <v xml:space="preserve"> </v>
      </c>
      <c r="AN32" s="179" t="str">
        <f t="shared" si="16"/>
        <v xml:space="preserve"> </v>
      </c>
    </row>
    <row r="33" spans="1:40" ht="18.75" customHeight="1" thickBot="1" x14ac:dyDescent="0.4">
      <c r="A33" s="344"/>
      <c r="B33" s="19" t="str">
        <f>Mon!B33</f>
        <v>CP+SP</v>
      </c>
      <c r="C33" s="98" t="s">
        <v>126</v>
      </c>
      <c r="D33" s="98"/>
      <c r="E33" s="6" t="str">
        <f>_xlfn.XLOOKUP(F33, $Y$88:$Y$95, $Z$88:$Z$95, "Training")</f>
        <v>CM</v>
      </c>
      <c r="F33" s="5" t="s">
        <v>104</v>
      </c>
      <c r="G33" s="6" t="str">
        <f>_xlfn.XLOOKUP(H33, $Y$88:$Y$95, $Z$88:$Z$95, "Training")</f>
        <v>HR</v>
      </c>
      <c r="H33" s="5" t="s">
        <v>118</v>
      </c>
      <c r="I33" s="348"/>
      <c r="J33" s="349"/>
      <c r="K33" s="6" t="str">
        <f>_xlfn.XLOOKUP(L33, $Y$88:$Y$95, $Z$88:$Z$95, "Training")</f>
        <v>SP</v>
      </c>
      <c r="L33" s="5" t="s">
        <v>113</v>
      </c>
      <c r="M33" s="6" t="str">
        <f>_xlfn.XLOOKUP(N33, $Y$88:$Y$95, $Z$88:$Z$95, "Training")</f>
        <v>CA</v>
      </c>
      <c r="N33" s="5" t="s">
        <v>112</v>
      </c>
      <c r="O33" s="205"/>
      <c r="U33" s="165" t="str">
        <f>Mon!U33</f>
        <v>(RP)</v>
      </c>
      <c r="V33" s="35">
        <f t="shared" si="2"/>
        <v>1</v>
      </c>
      <c r="W33" s="36">
        <f>SUM(Mon!V33,Tue!V33)</f>
        <v>2</v>
      </c>
      <c r="X33" s="165" t="str">
        <f>Mon!U33</f>
        <v>(RP)</v>
      </c>
      <c r="Y33" s="20">
        <f t="shared" si="3"/>
        <v>1</v>
      </c>
      <c r="Z33" s="21">
        <f t="shared" si="4"/>
        <v>0</v>
      </c>
      <c r="AA33" s="21">
        <f t="shared" si="0"/>
        <v>0</v>
      </c>
      <c r="AB33" s="22">
        <f t="shared" si="1"/>
        <v>0</v>
      </c>
      <c r="AC33" s="25" t="str">
        <f t="shared" si="18"/>
        <v xml:space="preserve"> </v>
      </c>
      <c r="AD33" s="26" t="str">
        <f t="shared" si="19"/>
        <v xml:space="preserve"> </v>
      </c>
      <c r="AE33" s="26" t="str">
        <f t="shared" si="20"/>
        <v xml:space="preserve"> </v>
      </c>
      <c r="AF33" s="27" t="str">
        <f t="shared" si="21"/>
        <v xml:space="preserve"> </v>
      </c>
      <c r="AG33" s="178" t="str">
        <f t="shared" si="9"/>
        <v xml:space="preserve"> </v>
      </c>
      <c r="AH33" s="177" t="str">
        <f t="shared" si="10"/>
        <v xml:space="preserve"> </v>
      </c>
      <c r="AI33" s="177" t="str">
        <f t="shared" si="11"/>
        <v xml:space="preserve"> </v>
      </c>
      <c r="AJ33" s="180" t="str">
        <f t="shared" si="12"/>
        <v xml:space="preserve"> </v>
      </c>
      <c r="AK33" s="178" t="str">
        <f t="shared" si="13"/>
        <v>SAN (N)</v>
      </c>
      <c r="AL33" s="177" t="str">
        <f t="shared" si="14"/>
        <v xml:space="preserve"> </v>
      </c>
      <c r="AM33" s="177" t="str">
        <f t="shared" si="15"/>
        <v xml:space="preserve"> </v>
      </c>
      <c r="AN33" s="179" t="str">
        <f t="shared" si="16"/>
        <v xml:space="preserve"> </v>
      </c>
    </row>
    <row r="34" spans="1:40" ht="18.75" customHeight="1" thickBot="1" x14ac:dyDescent="0.4">
      <c r="A34" s="344"/>
      <c r="B34" s="19" t="str">
        <f>Mon!B34</f>
        <v>CP+SP</v>
      </c>
      <c r="C34" s="98" t="s">
        <v>128</v>
      </c>
      <c r="D34" s="98"/>
      <c r="E34" s="6" t="str">
        <f>_xlfn.XLOOKUP(F34, $AA$88:$AA$95, $AB$88:$AB$95, "Training")</f>
        <v>HR</v>
      </c>
      <c r="F34" s="5" t="s">
        <v>75</v>
      </c>
      <c r="G34" s="6" t="str">
        <f>_xlfn.XLOOKUP(H34, $AA$88:$AA$95, $AB$88:$AB$95, "Training")</f>
        <v>EVS</v>
      </c>
      <c r="H34" s="5" t="s">
        <v>105</v>
      </c>
      <c r="I34" s="348"/>
      <c r="J34" s="349"/>
      <c r="K34" s="6" t="str">
        <f>_xlfn.XLOOKUP(L34, $AA$88:$AA$95, $AB$88:$AB$95, "Training")</f>
        <v>CA</v>
      </c>
      <c r="L34" s="5" t="s">
        <v>106</v>
      </c>
      <c r="M34" s="6" t="str">
        <f>_xlfn.XLOOKUP(N34, $AA$88:$AA$95, $AB$88:$AB$95, "Training")</f>
        <v>ED</v>
      </c>
      <c r="N34" s="5" t="s">
        <v>103</v>
      </c>
      <c r="O34" s="124"/>
      <c r="U34" s="165" t="str">
        <f>Mon!U34</f>
        <v>(RT)</v>
      </c>
      <c r="V34" s="35">
        <f t="shared" si="2"/>
        <v>3</v>
      </c>
      <c r="W34" s="36">
        <f>SUM(Mon!V34,Tue!V34)</f>
        <v>5</v>
      </c>
      <c r="X34" s="165" t="str">
        <f>Mon!U34</f>
        <v>(RT)</v>
      </c>
      <c r="Y34" s="20">
        <f t="shared" si="3"/>
        <v>1</v>
      </c>
      <c r="Z34" s="21">
        <f t="shared" si="4"/>
        <v>1</v>
      </c>
      <c r="AA34" s="21">
        <f t="shared" si="0"/>
        <v>0</v>
      </c>
      <c r="AB34" s="22">
        <f t="shared" si="1"/>
        <v>1</v>
      </c>
      <c r="AC34" s="25" t="str">
        <f t="shared" si="18"/>
        <v xml:space="preserve"> </v>
      </c>
      <c r="AD34" s="26" t="str">
        <f t="shared" si="19"/>
        <v xml:space="preserve"> </v>
      </c>
      <c r="AE34" s="26" t="str">
        <f t="shared" si="20"/>
        <v xml:space="preserve"> </v>
      </c>
      <c r="AF34" s="27" t="str">
        <f t="shared" si="21"/>
        <v>CHRM (L)</v>
      </c>
      <c r="AG34" s="178" t="str">
        <f t="shared" si="9"/>
        <v>HR (H)</v>
      </c>
      <c r="AH34" s="177" t="str">
        <f t="shared" si="10"/>
        <v>HR (M)</v>
      </c>
      <c r="AI34" s="177" t="str">
        <f t="shared" si="11"/>
        <v xml:space="preserve"> </v>
      </c>
      <c r="AJ34" s="180" t="str">
        <f t="shared" si="12"/>
        <v xml:space="preserve"> </v>
      </c>
      <c r="AK34" s="178" t="str">
        <f t="shared" si="13"/>
        <v xml:space="preserve"> </v>
      </c>
      <c r="AL34" s="177" t="str">
        <f t="shared" si="14"/>
        <v xml:space="preserve"> </v>
      </c>
      <c r="AM34" s="177" t="str">
        <f t="shared" si="15"/>
        <v xml:space="preserve"> </v>
      </c>
      <c r="AN34" s="179" t="str">
        <f t="shared" si="16"/>
        <v xml:space="preserve"> </v>
      </c>
    </row>
    <row r="35" spans="1:40" ht="18.75" customHeight="1" thickBot="1" x14ac:dyDescent="0.4">
      <c r="A35" s="344"/>
      <c r="B35" s="99" t="str">
        <f>Mon!B35</f>
        <v>BAJ</v>
      </c>
      <c r="C35" s="162" t="s">
        <v>41</v>
      </c>
      <c r="D35" s="162"/>
      <c r="E35" s="6" t="s">
        <v>132</v>
      </c>
      <c r="F35" s="5" t="s">
        <v>133</v>
      </c>
      <c r="G35" s="6" t="s">
        <v>129</v>
      </c>
      <c r="H35" s="5" t="s">
        <v>100</v>
      </c>
      <c r="I35" s="348"/>
      <c r="J35" s="349"/>
      <c r="K35" s="6" t="s">
        <v>130</v>
      </c>
      <c r="L35" s="5" t="s">
        <v>131</v>
      </c>
      <c r="M35" s="6" t="s">
        <v>134</v>
      </c>
      <c r="N35" s="5" t="s">
        <v>98</v>
      </c>
      <c r="O35" s="124"/>
      <c r="U35" s="165" t="str">
        <f>Mon!U35</f>
        <v>(SA)</v>
      </c>
      <c r="V35" s="35">
        <f t="shared" si="2"/>
        <v>3</v>
      </c>
      <c r="W35" s="36">
        <f>SUM(Mon!V35,Tue!V35)</f>
        <v>8</v>
      </c>
      <c r="X35" s="165" t="str">
        <f>Mon!U35</f>
        <v>(SA)</v>
      </c>
      <c r="Y35" s="20">
        <f t="shared" si="3"/>
        <v>2</v>
      </c>
      <c r="Z35" s="21">
        <f t="shared" si="4"/>
        <v>0</v>
      </c>
      <c r="AA35" s="21">
        <f t="shared" si="0"/>
        <v>1</v>
      </c>
      <c r="AB35" s="22">
        <f t="shared" si="1"/>
        <v>0</v>
      </c>
      <c r="AC35" s="25" t="str">
        <f t="shared" si="18"/>
        <v xml:space="preserve"> </v>
      </c>
      <c r="AD35" s="26" t="str">
        <f t="shared" si="19"/>
        <v xml:space="preserve"> </v>
      </c>
      <c r="AE35" s="26" t="str">
        <f t="shared" si="20"/>
        <v xml:space="preserve"> </v>
      </c>
      <c r="AF35" s="27" t="str">
        <f t="shared" si="21"/>
        <v xml:space="preserve"> </v>
      </c>
      <c r="AG35" s="178" t="str">
        <f t="shared" si="9"/>
        <v xml:space="preserve"> </v>
      </c>
      <c r="AH35" s="177" t="str">
        <f t="shared" si="10"/>
        <v xml:space="preserve"> </v>
      </c>
      <c r="AI35" s="177" t="str">
        <f t="shared" si="11"/>
        <v xml:space="preserve"> </v>
      </c>
      <c r="AJ35" s="180" t="str">
        <f t="shared" si="12"/>
        <v xml:space="preserve"> </v>
      </c>
      <c r="AK35" s="178" t="str">
        <f t="shared" si="13"/>
        <v>AE (B)</v>
      </c>
      <c r="AL35" s="177" t="str">
        <f t="shared" si="14"/>
        <v xml:space="preserve"> </v>
      </c>
      <c r="AM35" s="177" t="str">
        <f t="shared" si="15"/>
        <v>GE (M)</v>
      </c>
      <c r="AN35" s="179" t="str">
        <f t="shared" si="16"/>
        <v xml:space="preserve"> </v>
      </c>
    </row>
    <row r="36" spans="1:40" ht="18.75" customHeight="1" thickBot="1" x14ac:dyDescent="0.4">
      <c r="A36" s="345"/>
      <c r="B36" s="99" t="str">
        <f>Mon!B36</f>
        <v>BAJ</v>
      </c>
      <c r="C36" s="162" t="s">
        <v>49</v>
      </c>
      <c r="D36" s="162"/>
      <c r="E36" s="6" t="s">
        <v>132</v>
      </c>
      <c r="F36" s="5" t="s">
        <v>123</v>
      </c>
      <c r="G36" s="6" t="s">
        <v>130</v>
      </c>
      <c r="H36" s="5" t="s">
        <v>131</v>
      </c>
      <c r="I36" s="350"/>
      <c r="J36" s="351"/>
      <c r="K36" s="6" t="s">
        <v>135</v>
      </c>
      <c r="L36" s="5" t="s">
        <v>89</v>
      </c>
      <c r="M36" s="6" t="s">
        <v>129</v>
      </c>
      <c r="N36" s="5" t="s">
        <v>94</v>
      </c>
      <c r="O36" s="124"/>
      <c r="U36" s="165" t="str">
        <f>Mon!U36</f>
        <v>(SAK)</v>
      </c>
      <c r="V36" s="35">
        <f t="shared" si="2"/>
        <v>3</v>
      </c>
      <c r="W36" s="36">
        <f>SUM(Mon!V36,Tue!V36)</f>
        <v>6</v>
      </c>
      <c r="X36" s="165" t="str">
        <f>Mon!U36</f>
        <v>(SAK)</v>
      </c>
      <c r="Y36" s="20">
        <f t="shared" si="3"/>
        <v>1</v>
      </c>
      <c r="Z36" s="21">
        <f t="shared" si="4"/>
        <v>0</v>
      </c>
      <c r="AA36" s="21">
        <f t="shared" si="0"/>
        <v>1</v>
      </c>
      <c r="AB36" s="22">
        <f t="shared" si="1"/>
        <v>1</v>
      </c>
      <c r="AC36" s="25" t="str">
        <f t="shared" si="18"/>
        <v xml:space="preserve"> </v>
      </c>
      <c r="AD36" s="26" t="str">
        <f t="shared" si="19"/>
        <v xml:space="preserve"> </v>
      </c>
      <c r="AE36" s="26" t="str">
        <f t="shared" si="20"/>
        <v xml:space="preserve"> </v>
      </c>
      <c r="AF36" s="27" t="str">
        <f t="shared" si="21"/>
        <v xml:space="preserve"> </v>
      </c>
      <c r="AG36" s="178" t="str">
        <f t="shared" si="9"/>
        <v>MM (D)</v>
      </c>
      <c r="AH36" s="177" t="str">
        <f t="shared" si="10"/>
        <v xml:space="preserve"> </v>
      </c>
      <c r="AI36" s="177" t="str">
        <f t="shared" si="11"/>
        <v>CM (F)</v>
      </c>
      <c r="AJ36" s="180" t="str">
        <f t="shared" si="12"/>
        <v>CM (E)</v>
      </c>
      <c r="AK36" s="178" t="str">
        <f t="shared" si="13"/>
        <v xml:space="preserve"> </v>
      </c>
      <c r="AL36" s="177" t="str">
        <f t="shared" si="14"/>
        <v xml:space="preserve"> </v>
      </c>
      <c r="AM36" s="177" t="str">
        <f t="shared" si="15"/>
        <v xml:space="preserve"> </v>
      </c>
      <c r="AN36" s="179" t="str">
        <f t="shared" si="16"/>
        <v xml:space="preserve"> </v>
      </c>
    </row>
    <row r="37" spans="1:40" ht="18.75" customHeight="1" thickBot="1" x14ac:dyDescent="0.4">
      <c r="A37" s="192" t="s">
        <v>26</v>
      </c>
      <c r="B37" s="299"/>
      <c r="C37" s="94" t="s">
        <v>27</v>
      </c>
      <c r="D37" s="95" t="s">
        <v>136</v>
      </c>
      <c r="E37" s="352" t="s">
        <v>137</v>
      </c>
      <c r="F37" s="353"/>
      <c r="G37" s="354" t="s">
        <v>138</v>
      </c>
      <c r="H37" s="353"/>
      <c r="I37" s="354" t="s">
        <v>139</v>
      </c>
      <c r="J37" s="353"/>
      <c r="K37" s="354" t="s">
        <v>140</v>
      </c>
      <c r="L37" s="353"/>
      <c r="M37" s="354" t="s">
        <v>141</v>
      </c>
      <c r="N37" s="358"/>
      <c r="O37" s="124"/>
      <c r="U37" s="165" t="str">
        <f>Mon!U37</f>
        <v>(SB)</v>
      </c>
      <c r="V37" s="35">
        <f t="shared" si="2"/>
        <v>3</v>
      </c>
      <c r="W37" s="36">
        <f>SUM(Mon!V37,Tue!V37)</f>
        <v>6</v>
      </c>
      <c r="X37" s="165" t="str">
        <f>Mon!U37</f>
        <v>(SB)</v>
      </c>
      <c r="Y37" s="20">
        <f t="shared" si="3"/>
        <v>1</v>
      </c>
      <c r="Z37" s="21">
        <f t="shared" si="4"/>
        <v>0</v>
      </c>
      <c r="AA37" s="21">
        <f t="shared" si="0"/>
        <v>1</v>
      </c>
      <c r="AB37" s="22">
        <f t="shared" si="1"/>
        <v>1</v>
      </c>
      <c r="AC37" s="25" t="str">
        <f t="shared" si="18"/>
        <v xml:space="preserve"> </v>
      </c>
      <c r="AD37" s="26" t="str">
        <f t="shared" si="19"/>
        <v xml:space="preserve"> </v>
      </c>
      <c r="AE37" s="26" t="str">
        <f t="shared" si="20"/>
        <v xml:space="preserve"> </v>
      </c>
      <c r="AF37" s="27" t="str">
        <f t="shared" si="21"/>
        <v xml:space="preserve"> </v>
      </c>
      <c r="AG37" s="178" t="str">
        <f t="shared" si="9"/>
        <v>OP (B)</v>
      </c>
      <c r="AH37" s="177" t="str">
        <f t="shared" si="10"/>
        <v xml:space="preserve"> </v>
      </c>
      <c r="AI37" s="177" t="str">
        <f t="shared" si="11"/>
        <v>OP (G)</v>
      </c>
      <c r="AJ37" s="180" t="str">
        <f t="shared" si="12"/>
        <v>OP (I)</v>
      </c>
      <c r="AK37" s="178" t="str">
        <f t="shared" si="13"/>
        <v xml:space="preserve"> </v>
      </c>
      <c r="AL37" s="177" t="str">
        <f t="shared" si="14"/>
        <v xml:space="preserve"> </v>
      </c>
      <c r="AM37" s="177" t="str">
        <f t="shared" si="15"/>
        <v xml:space="preserve"> </v>
      </c>
      <c r="AN37" s="179" t="str">
        <f t="shared" si="16"/>
        <v xml:space="preserve"> </v>
      </c>
    </row>
    <row r="38" spans="1:40" ht="19.5" customHeight="1" thickBot="1" x14ac:dyDescent="0.4">
      <c r="A38" s="332">
        <v>1</v>
      </c>
      <c r="B38" s="100" t="str">
        <f>Mon!B38</f>
        <v>AE</v>
      </c>
      <c r="C38" s="100" t="s">
        <v>41</v>
      </c>
      <c r="D38" s="91">
        <v>308</v>
      </c>
      <c r="E38" s="191" t="str">
        <f>_xlfn.XLOOKUP(F38, $A$74:$A$83, $B$74:$B$83, "Training")</f>
        <v>FA</v>
      </c>
      <c r="F38" s="96" t="s">
        <v>115</v>
      </c>
      <c r="G38" s="191" t="str">
        <f>_xlfn.XLOOKUP(H38, $A$74:$A$83, $B$74:$B$83, "Training")</f>
        <v>QT</v>
      </c>
      <c r="H38" s="51" t="s">
        <v>148</v>
      </c>
      <c r="I38" s="335" t="s">
        <v>143</v>
      </c>
      <c r="J38" s="336"/>
      <c r="K38" s="191" t="str">
        <f>_xlfn.XLOOKUP(L38, $A$74:$A$83, $B$74:$B$83, "Training")</f>
        <v>AE</v>
      </c>
      <c r="L38" s="96" t="s">
        <v>144</v>
      </c>
      <c r="M38" s="191" t="str">
        <f>_xlfn.XLOOKUP(N38, $A$74:$A$83, $B$74:$B$83, "Training")</f>
        <v>BT</v>
      </c>
      <c r="N38" s="96" t="s">
        <v>56</v>
      </c>
      <c r="O38" s="124"/>
      <c r="U38" s="165" t="str">
        <f>Mon!U38</f>
        <v>(SC)</v>
      </c>
      <c r="V38" s="35">
        <f t="shared" si="2"/>
        <v>3</v>
      </c>
      <c r="W38" s="36">
        <f>SUM(Mon!V38,Tue!V38)</f>
        <v>6</v>
      </c>
      <c r="X38" s="165" t="str">
        <f>Mon!U38</f>
        <v>(SC)</v>
      </c>
      <c r="Y38" s="20">
        <f t="shared" si="3"/>
        <v>0</v>
      </c>
      <c r="Z38" s="21">
        <f t="shared" si="4"/>
        <v>1</v>
      </c>
      <c r="AA38" s="21">
        <f t="shared" si="0"/>
        <v>1</v>
      </c>
      <c r="AB38" s="22">
        <f t="shared" si="1"/>
        <v>1</v>
      </c>
      <c r="AC38" s="25" t="str">
        <f t="shared" si="18"/>
        <v xml:space="preserve"> </v>
      </c>
      <c r="AD38" s="26" t="str">
        <f t="shared" si="19"/>
        <v xml:space="preserve"> </v>
      </c>
      <c r="AE38" s="26" t="str">
        <f t="shared" si="20"/>
        <v xml:space="preserve"> </v>
      </c>
      <c r="AF38" s="27" t="str">
        <f t="shared" si="21"/>
        <v xml:space="preserve"> </v>
      </c>
      <c r="AG38" s="178" t="str">
        <f t="shared" si="9"/>
        <v xml:space="preserve"> </v>
      </c>
      <c r="AH38" s="177" t="str">
        <f t="shared" si="10"/>
        <v xml:space="preserve"> </v>
      </c>
      <c r="AI38" s="177" t="str">
        <f t="shared" si="11"/>
        <v xml:space="preserve"> </v>
      </c>
      <c r="AJ38" s="180" t="str">
        <f t="shared" si="12"/>
        <v xml:space="preserve"> </v>
      </c>
      <c r="AK38" s="178" t="str">
        <f t="shared" si="13"/>
        <v xml:space="preserve"> </v>
      </c>
      <c r="AL38" s="177" t="str">
        <f t="shared" si="14"/>
        <v>GE (G)</v>
      </c>
      <c r="AM38" s="177" t="str">
        <f t="shared" si="15"/>
        <v>AE (A)</v>
      </c>
      <c r="AN38" s="179" t="str">
        <f t="shared" si="16"/>
        <v>GE (D)</v>
      </c>
    </row>
    <row r="39" spans="1:40" ht="19.5" customHeight="1" thickBot="1" x14ac:dyDescent="0.4">
      <c r="A39" s="333"/>
      <c r="B39" s="19" t="str">
        <f>Mon!B39</f>
        <v>AE</v>
      </c>
      <c r="C39" s="19" t="s">
        <v>49</v>
      </c>
      <c r="D39" s="76">
        <v>304</v>
      </c>
      <c r="E39" s="49" t="str">
        <f>_xlfn.XLOOKUP(F39, $C$74:$C$83, $D$74:$D$83, "Training")</f>
        <v>AE</v>
      </c>
      <c r="F39" s="50" t="s">
        <v>133</v>
      </c>
      <c r="G39" s="49" t="str">
        <f>_xlfn.XLOOKUP(H39, $C$74:$C$83, $D$74:$D$83, "Training")</f>
        <v>QT</v>
      </c>
      <c r="H39" s="50" t="s">
        <v>71</v>
      </c>
      <c r="I39" s="337"/>
      <c r="J39" s="338"/>
      <c r="K39" s="49" t="str">
        <f>_xlfn.XLOOKUP(L39, $C$74:$C$83, $D$74:$D$83, "Training")</f>
        <v>BM</v>
      </c>
      <c r="L39" s="50" t="s">
        <v>146</v>
      </c>
      <c r="M39" s="49" t="str">
        <f>_xlfn.XLOOKUP(N39, $C$74:$C$83, $D$74:$D$83, "Training")</f>
        <v>FA</v>
      </c>
      <c r="N39" s="50" t="s">
        <v>145</v>
      </c>
      <c r="O39" s="124"/>
      <c r="U39" s="165" t="str">
        <f>Mon!U39</f>
        <v>(SE)</v>
      </c>
      <c r="V39" s="35">
        <f t="shared" si="2"/>
        <v>4</v>
      </c>
      <c r="W39" s="36">
        <f>SUM(Mon!V39,Tue!V39)</f>
        <v>8</v>
      </c>
      <c r="X39" s="165" t="str">
        <f>Mon!U39</f>
        <v>(SE)</v>
      </c>
      <c r="Y39" s="20">
        <f t="shared" si="3"/>
        <v>1</v>
      </c>
      <c r="Z39" s="21">
        <f t="shared" si="4"/>
        <v>1</v>
      </c>
      <c r="AA39" s="21">
        <f t="shared" si="0"/>
        <v>1</v>
      </c>
      <c r="AB39" s="22">
        <f t="shared" si="1"/>
        <v>1</v>
      </c>
      <c r="AC39" s="25" t="str">
        <f t="shared" si="18"/>
        <v xml:space="preserve"> </v>
      </c>
      <c r="AD39" s="26" t="str">
        <f t="shared" si="19"/>
        <v xml:space="preserve"> </v>
      </c>
      <c r="AE39" s="26" t="str">
        <f t="shared" si="20"/>
        <v xml:space="preserve"> </v>
      </c>
      <c r="AF39" s="27" t="str">
        <f t="shared" si="21"/>
        <v xml:space="preserve"> </v>
      </c>
      <c r="AG39" s="178" t="str">
        <f t="shared" si="9"/>
        <v xml:space="preserve"> </v>
      </c>
      <c r="AH39" s="177" t="str">
        <f t="shared" si="10"/>
        <v xml:space="preserve"> </v>
      </c>
      <c r="AI39" s="177" t="str">
        <f t="shared" si="11"/>
        <v xml:space="preserve"> </v>
      </c>
      <c r="AJ39" s="180" t="str">
        <f t="shared" si="12"/>
        <v xml:space="preserve"> </v>
      </c>
      <c r="AK39" s="178" t="str">
        <f t="shared" si="13"/>
        <v>BM (J)</v>
      </c>
      <c r="AL39" s="177" t="str">
        <f t="shared" si="14"/>
        <v>BM (F)</v>
      </c>
      <c r="AM39" s="177" t="str">
        <f t="shared" si="15"/>
        <v>BM (B)</v>
      </c>
      <c r="AN39" s="179" t="str">
        <f t="shared" si="16"/>
        <v>BT (L)</v>
      </c>
    </row>
    <row r="40" spans="1:40" ht="19.5" customHeight="1" thickBot="1" x14ac:dyDescent="0.4">
      <c r="A40" s="333"/>
      <c r="B40" s="19" t="str">
        <f>Mon!B40</f>
        <v>AE</v>
      </c>
      <c r="C40" s="19" t="s">
        <v>55</v>
      </c>
      <c r="D40" s="76">
        <v>204</v>
      </c>
      <c r="E40" s="48" t="str">
        <f>_xlfn.XLOOKUP(F40, $E$74:$E$83, $F$74:$F$83, "Training")</f>
        <v>QT</v>
      </c>
      <c r="F40" s="51" t="s">
        <v>71</v>
      </c>
      <c r="G40" s="48" t="str">
        <f>_xlfn.XLOOKUP(H40, $E$74:$E$83, $F$74:$F$83, "Training")</f>
        <v>AE</v>
      </c>
      <c r="H40" s="51" t="s">
        <v>123</v>
      </c>
      <c r="I40" s="337"/>
      <c r="J40" s="338"/>
      <c r="K40" s="48" t="str">
        <f>_xlfn.XLOOKUP(L40, $E$74:$E$83, $F$74:$F$83, "Training")</f>
        <v>BT</v>
      </c>
      <c r="L40" s="51" t="s">
        <v>56</v>
      </c>
      <c r="M40" s="48" t="str">
        <f>_xlfn.XLOOKUP(N40, $E$74:$E$83, $F$74:$F$83, "Training")</f>
        <v>FA</v>
      </c>
      <c r="N40" s="51" t="s">
        <v>115</v>
      </c>
      <c r="O40" s="124"/>
      <c r="U40" s="165" t="str">
        <f>Mon!U40</f>
        <v>(SN)</v>
      </c>
      <c r="V40" s="35">
        <f t="shared" si="2"/>
        <v>3</v>
      </c>
      <c r="W40" s="36">
        <f>SUM(Mon!V40,Tue!V40)</f>
        <v>6</v>
      </c>
      <c r="X40" s="165" t="str">
        <f>Mon!U40</f>
        <v>(SN)</v>
      </c>
      <c r="Y40" s="20">
        <f t="shared" si="3"/>
        <v>1</v>
      </c>
      <c r="Z40" s="21">
        <f t="shared" si="4"/>
        <v>0</v>
      </c>
      <c r="AA40" s="21">
        <f t="shared" si="0"/>
        <v>1</v>
      </c>
      <c r="AB40" s="22">
        <f t="shared" si="1"/>
        <v>1</v>
      </c>
      <c r="AC40" s="25" t="str">
        <f t="shared" si="18"/>
        <v xml:space="preserve"> </v>
      </c>
      <c r="AD40" s="26" t="str">
        <f t="shared" si="19"/>
        <v xml:space="preserve"> </v>
      </c>
      <c r="AE40" s="26" t="str">
        <f t="shared" si="20"/>
        <v xml:space="preserve"> </v>
      </c>
      <c r="AF40" s="27" t="str">
        <f t="shared" si="21"/>
        <v xml:space="preserve"> </v>
      </c>
      <c r="AG40" s="178" t="str">
        <f t="shared" si="9"/>
        <v xml:space="preserve"> </v>
      </c>
      <c r="AH40" s="177" t="str">
        <f t="shared" si="10"/>
        <v xml:space="preserve"> </v>
      </c>
      <c r="AI40" s="177" t="str">
        <f t="shared" si="11"/>
        <v xml:space="preserve"> </v>
      </c>
      <c r="AJ40" s="180" t="str">
        <f t="shared" si="12"/>
        <v xml:space="preserve"> </v>
      </c>
      <c r="AK40" s="178" t="str">
        <f t="shared" si="13"/>
        <v>AE (H)</v>
      </c>
      <c r="AL40" s="177" t="str">
        <f t="shared" si="14"/>
        <v xml:space="preserve"> </v>
      </c>
      <c r="AM40" s="177" t="str">
        <f t="shared" si="15"/>
        <v>GE (J)</v>
      </c>
      <c r="AN40" s="179" t="str">
        <f t="shared" si="16"/>
        <v>GE (K)</v>
      </c>
    </row>
    <row r="41" spans="1:40" ht="19.5" customHeight="1" thickBot="1" x14ac:dyDescent="0.4">
      <c r="A41" s="333"/>
      <c r="B41" s="19" t="str">
        <f>Mon!B41</f>
        <v>AE</v>
      </c>
      <c r="C41" s="19" t="s">
        <v>37</v>
      </c>
      <c r="D41" s="76">
        <v>306</v>
      </c>
      <c r="E41" s="49" t="str">
        <f>_xlfn.XLOOKUP(F41, $G$74:$G$83, $H$74:$H$83, "Training")</f>
        <v>AE</v>
      </c>
      <c r="F41" s="50" t="s">
        <v>123</v>
      </c>
      <c r="G41" s="49" t="str">
        <f>_xlfn.XLOOKUP(H41, $G$74:$G$83, $H$74:$H$83, "Training")</f>
        <v>BT</v>
      </c>
      <c r="H41" s="50" t="s">
        <v>95</v>
      </c>
      <c r="I41" s="337"/>
      <c r="J41" s="338"/>
      <c r="K41" s="49" t="str">
        <f>_xlfn.XLOOKUP(L41, $G$74:$G$83, $H$74:$H$83, "Training")</f>
        <v>FA</v>
      </c>
      <c r="L41" s="50" t="s">
        <v>150</v>
      </c>
      <c r="M41" s="49" t="str">
        <f>_xlfn.XLOOKUP(N41, $G$74:$G$83, $H$74:$H$83, "Training")</f>
        <v>GE</v>
      </c>
      <c r="N41" s="50" t="s">
        <v>144</v>
      </c>
      <c r="O41" s="124"/>
      <c r="U41" s="165" t="str">
        <f>Mon!U41</f>
        <v>(SP)</v>
      </c>
      <c r="V41" s="35">
        <f t="shared" si="2"/>
        <v>3</v>
      </c>
      <c r="W41" s="36">
        <f>SUM(Mon!V41,Tue!V41)</f>
        <v>7</v>
      </c>
      <c r="X41" s="165" t="str">
        <f>Mon!U41</f>
        <v>(SP)</v>
      </c>
      <c r="Y41" s="20">
        <f t="shared" si="3"/>
        <v>0</v>
      </c>
      <c r="Z41" s="21">
        <f t="shared" si="4"/>
        <v>1</v>
      </c>
      <c r="AA41" s="21">
        <f t="shared" si="0"/>
        <v>1</v>
      </c>
      <c r="AB41" s="22">
        <f t="shared" si="1"/>
        <v>1</v>
      </c>
      <c r="AC41" s="25" t="str">
        <f t="shared" si="18"/>
        <v xml:space="preserve"> </v>
      </c>
      <c r="AD41" s="26" t="str">
        <f t="shared" si="19"/>
        <v>PR (F)</v>
      </c>
      <c r="AE41" s="26" t="str">
        <f t="shared" si="20"/>
        <v xml:space="preserve"> </v>
      </c>
      <c r="AF41" s="27" t="str">
        <f t="shared" si="21"/>
        <v xml:space="preserve"> </v>
      </c>
      <c r="AG41" s="178" t="str">
        <f t="shared" si="9"/>
        <v xml:space="preserve"> </v>
      </c>
      <c r="AH41" s="177" t="str">
        <f t="shared" si="10"/>
        <v xml:space="preserve"> </v>
      </c>
      <c r="AI41" s="177" t="str">
        <f t="shared" si="11"/>
        <v>CP (L)</v>
      </c>
      <c r="AJ41" s="180" t="str">
        <f t="shared" si="12"/>
        <v>CP (G)</v>
      </c>
      <c r="AK41" s="178" t="str">
        <f t="shared" si="13"/>
        <v xml:space="preserve"> </v>
      </c>
      <c r="AL41" s="177" t="str">
        <f t="shared" si="14"/>
        <v xml:space="preserve"> </v>
      </c>
      <c r="AM41" s="177" t="str">
        <f t="shared" si="15"/>
        <v xml:space="preserve"> </v>
      </c>
      <c r="AN41" s="179" t="str">
        <f t="shared" si="16"/>
        <v xml:space="preserve"> </v>
      </c>
    </row>
    <row r="42" spans="1:40" ht="19.5" customHeight="1" thickBot="1" x14ac:dyDescent="0.4">
      <c r="A42" s="333"/>
      <c r="B42" s="19" t="str">
        <f>Mon!B42</f>
        <v>AE</v>
      </c>
      <c r="C42" s="19" t="s">
        <v>38</v>
      </c>
      <c r="D42" s="76">
        <v>206</v>
      </c>
      <c r="E42" s="48" t="str">
        <f>_xlfn.XLOOKUP(F42, $I$74:$I$83, $J$74:$J$83, "Training")</f>
        <v>BT</v>
      </c>
      <c r="F42" s="51" t="s">
        <v>95</v>
      </c>
      <c r="G42" s="48" t="str">
        <f>_xlfn.XLOOKUP(H42, $I$74:$I$83, $J$74:$J$83, "Training")</f>
        <v>FA</v>
      </c>
      <c r="H42" s="51" t="s">
        <v>182</v>
      </c>
      <c r="I42" s="337"/>
      <c r="J42" s="338"/>
      <c r="K42" s="48" t="str">
        <f>_xlfn.XLOOKUP(L42, $I$74:$I$83, $J$74:$J$83, "Training")</f>
        <v>GE</v>
      </c>
      <c r="L42" s="51" t="s">
        <v>77</v>
      </c>
      <c r="M42" s="48" t="str">
        <f>_xlfn.XLOOKUP(N42, $I$74:$I$83, $J$74:$J$83, "Training")</f>
        <v>QT</v>
      </c>
      <c r="N42" s="51" t="s">
        <v>120</v>
      </c>
      <c r="O42" s="124"/>
      <c r="U42" s="165" t="str">
        <f>Mon!U42</f>
        <v>(SR)</v>
      </c>
      <c r="V42" s="35">
        <f t="shared" si="2"/>
        <v>3</v>
      </c>
      <c r="W42" s="36">
        <f>SUM(Mon!V42,Tue!V42)</f>
        <v>6</v>
      </c>
      <c r="X42" s="165" t="str">
        <f>Mon!U42</f>
        <v>(SR)</v>
      </c>
      <c r="Y42" s="20">
        <f t="shared" si="3"/>
        <v>0</v>
      </c>
      <c r="Z42" s="21">
        <f t="shared" si="4"/>
        <v>1</v>
      </c>
      <c r="AA42" s="21">
        <f t="shared" si="0"/>
        <v>1</v>
      </c>
      <c r="AB42" s="22">
        <f t="shared" si="1"/>
        <v>1</v>
      </c>
      <c r="AC42" s="25" t="str">
        <f t="shared" si="18"/>
        <v xml:space="preserve"> </v>
      </c>
      <c r="AD42" s="26" t="str">
        <f t="shared" si="19"/>
        <v>ECOM (D)</v>
      </c>
      <c r="AE42" s="26" t="str">
        <f t="shared" si="20"/>
        <v>ECOM (G)</v>
      </c>
      <c r="AF42" s="27" t="str">
        <f t="shared" si="21"/>
        <v>ECOM (B)</v>
      </c>
      <c r="AG42" s="178" t="str">
        <f t="shared" si="9"/>
        <v xml:space="preserve"> </v>
      </c>
      <c r="AH42" s="177" t="str">
        <f t="shared" si="10"/>
        <v xml:space="preserve"> </v>
      </c>
      <c r="AI42" s="177" t="str">
        <f t="shared" si="11"/>
        <v xml:space="preserve"> </v>
      </c>
      <c r="AJ42" s="180" t="str">
        <f t="shared" si="12"/>
        <v xml:space="preserve"> </v>
      </c>
      <c r="AK42" s="178" t="str">
        <f t="shared" si="13"/>
        <v xml:space="preserve"> </v>
      </c>
      <c r="AL42" s="177" t="str">
        <f t="shared" si="14"/>
        <v xml:space="preserve"> </v>
      </c>
      <c r="AM42" s="177" t="str">
        <f t="shared" si="15"/>
        <v xml:space="preserve"> </v>
      </c>
      <c r="AN42" s="179" t="str">
        <f t="shared" si="16"/>
        <v xml:space="preserve"> </v>
      </c>
    </row>
    <row r="43" spans="1:40" ht="19.5" customHeight="1" thickBot="1" x14ac:dyDescent="0.4">
      <c r="A43" s="333"/>
      <c r="B43" s="19" t="str">
        <f>Mon!B43</f>
        <v>AE</v>
      </c>
      <c r="C43" s="19" t="s">
        <v>65</v>
      </c>
      <c r="D43" s="76">
        <v>207</v>
      </c>
      <c r="E43" s="48" t="str">
        <f>_xlfn.XLOOKUP(F43, $K$74:$K$83, $L$74:$L$83, "Training")</f>
        <v>QT</v>
      </c>
      <c r="F43" s="51" t="s">
        <v>120</v>
      </c>
      <c r="G43" s="48" t="str">
        <f>_xlfn.XLOOKUP(H43, $K$74:$K$83, $L$74:$L$83, "Training")</f>
        <v>BM</v>
      </c>
      <c r="H43" s="51" t="s">
        <v>146</v>
      </c>
      <c r="I43" s="337"/>
      <c r="J43" s="338"/>
      <c r="K43" s="48" t="str">
        <f>_xlfn.XLOOKUP(L43, $K$74:$K$83, $L$74:$L$83, "Training")</f>
        <v>GE</v>
      </c>
      <c r="L43" s="51" t="s">
        <v>123</v>
      </c>
      <c r="M43" s="48" t="str">
        <f>_xlfn.XLOOKUP(N43, $K$74:$K$83, $L$74:$L$83, "Training")</f>
        <v>FA</v>
      </c>
      <c r="N43" s="51" t="s">
        <v>151</v>
      </c>
      <c r="O43" s="125"/>
      <c r="U43" s="165" t="str">
        <f>Mon!U43</f>
        <v>(SRN)</v>
      </c>
      <c r="V43" s="35">
        <f t="shared" si="2"/>
        <v>3</v>
      </c>
      <c r="W43" s="36">
        <f>SUM(Mon!V43,Tue!V43)</f>
        <v>7</v>
      </c>
      <c r="X43" s="165" t="str">
        <f>Mon!U43</f>
        <v>(SRN)</v>
      </c>
      <c r="Y43" s="20">
        <f t="shared" si="3"/>
        <v>1</v>
      </c>
      <c r="Z43" s="21">
        <f t="shared" si="4"/>
        <v>1</v>
      </c>
      <c r="AA43" s="21">
        <f t="shared" si="0"/>
        <v>1</v>
      </c>
      <c r="AB43" s="22">
        <f t="shared" si="1"/>
        <v>0</v>
      </c>
      <c r="AC43" s="25" t="str">
        <f t="shared" si="18"/>
        <v>IT (D)</v>
      </c>
      <c r="AD43" s="26" t="str">
        <f t="shared" si="19"/>
        <v>IT (A)</v>
      </c>
      <c r="AE43" s="26" t="str">
        <f t="shared" si="20"/>
        <v>IT (H)</v>
      </c>
      <c r="AF43" s="27" t="str">
        <f t="shared" si="21"/>
        <v xml:space="preserve"> </v>
      </c>
      <c r="AG43" s="178" t="str">
        <f t="shared" si="9"/>
        <v xml:space="preserve"> </v>
      </c>
      <c r="AH43" s="177" t="str">
        <f t="shared" si="10"/>
        <v xml:space="preserve"> </v>
      </c>
      <c r="AI43" s="177" t="str">
        <f t="shared" si="11"/>
        <v xml:space="preserve"> </v>
      </c>
      <c r="AJ43" s="180" t="str">
        <f t="shared" si="12"/>
        <v xml:space="preserve"> </v>
      </c>
      <c r="AK43" s="178" t="str">
        <f t="shared" si="13"/>
        <v xml:space="preserve"> </v>
      </c>
      <c r="AL43" s="177" t="str">
        <f t="shared" si="14"/>
        <v xml:space="preserve"> </v>
      </c>
      <c r="AM43" s="177" t="str">
        <f t="shared" si="15"/>
        <v xml:space="preserve"> </v>
      </c>
      <c r="AN43" s="179" t="str">
        <f t="shared" si="16"/>
        <v xml:space="preserve"> </v>
      </c>
    </row>
    <row r="44" spans="1:40" ht="19.5" customHeight="1" thickBot="1" x14ac:dyDescent="0.4">
      <c r="A44" s="333"/>
      <c r="B44" s="19" t="str">
        <f>Mon!B44</f>
        <v>AE</v>
      </c>
      <c r="C44" s="19" t="s">
        <v>69</v>
      </c>
      <c r="D44" s="76">
        <v>202</v>
      </c>
      <c r="E44" s="48" t="str">
        <f>_xlfn.XLOOKUP(F44, $M$74:$M$83, $N$74:$N$83, "Training")</f>
        <v>FA</v>
      </c>
      <c r="F44" s="51" t="s">
        <v>145</v>
      </c>
      <c r="G44" s="48" t="str">
        <f>_xlfn.XLOOKUP(H44, $M$74:$M$83, $N$74:$N$83, "Training")</f>
        <v>GE</v>
      </c>
      <c r="H44" s="51" t="s">
        <v>144</v>
      </c>
      <c r="I44" s="337"/>
      <c r="J44" s="338"/>
      <c r="K44" s="48" t="str">
        <f>_xlfn.XLOOKUP(L44, $M$74:$M$83, $N$74:$N$83, "Training")</f>
        <v>BT</v>
      </c>
      <c r="L44" s="51" t="s">
        <v>34</v>
      </c>
      <c r="M44" s="48" t="str">
        <f>_xlfn.XLOOKUP(N44, $M$74:$M$83, $N$74:$N$83, "Training")</f>
        <v>QT</v>
      </c>
      <c r="N44" s="51" t="s">
        <v>71</v>
      </c>
      <c r="O44" s="122"/>
      <c r="U44" s="165" t="str">
        <f>Mon!U44</f>
        <v>(SRS)</v>
      </c>
      <c r="V44" s="35">
        <f t="shared" si="2"/>
        <v>3</v>
      </c>
      <c r="W44" s="36">
        <f>SUM(Mon!V44,Tue!V44)</f>
        <v>6</v>
      </c>
      <c r="X44" s="165" t="str">
        <f>Mon!U44</f>
        <v>(SRS)</v>
      </c>
      <c r="Y44" s="20">
        <f t="shared" si="3"/>
        <v>1</v>
      </c>
      <c r="Z44" s="21">
        <f t="shared" si="4"/>
        <v>1</v>
      </c>
      <c r="AA44" s="21">
        <f t="shared" si="0"/>
        <v>0</v>
      </c>
      <c r="AB44" s="22">
        <f t="shared" si="1"/>
        <v>1</v>
      </c>
      <c r="AC44" s="25" t="str">
        <f t="shared" si="18"/>
        <v>CB (K)</v>
      </c>
      <c r="AD44" s="26" t="str">
        <f t="shared" si="19"/>
        <v xml:space="preserve"> </v>
      </c>
      <c r="AE44" s="26" t="str">
        <f t="shared" si="20"/>
        <v xml:space="preserve"> </v>
      </c>
      <c r="AF44" s="27" t="str">
        <f t="shared" si="21"/>
        <v xml:space="preserve"> </v>
      </c>
      <c r="AG44" s="178" t="str">
        <f t="shared" si="9"/>
        <v xml:space="preserve"> </v>
      </c>
      <c r="AH44" s="177" t="str">
        <f t="shared" si="10"/>
        <v>MM (B)</v>
      </c>
      <c r="AI44" s="177" t="str">
        <f t="shared" si="11"/>
        <v xml:space="preserve"> </v>
      </c>
      <c r="AJ44" s="180" t="str">
        <f t="shared" si="12"/>
        <v>MM (J)</v>
      </c>
      <c r="AK44" s="178" t="str">
        <f t="shared" si="13"/>
        <v xml:space="preserve"> </v>
      </c>
      <c r="AL44" s="177" t="str">
        <f t="shared" si="14"/>
        <v xml:space="preserve"> </v>
      </c>
      <c r="AM44" s="177" t="str">
        <f t="shared" si="15"/>
        <v xml:space="preserve"> </v>
      </c>
      <c r="AN44" s="179" t="str">
        <f t="shared" si="16"/>
        <v xml:space="preserve"> </v>
      </c>
    </row>
    <row r="45" spans="1:40" ht="19.5" customHeight="1" thickBot="1" x14ac:dyDescent="0.4">
      <c r="A45" s="333"/>
      <c r="B45" s="19" t="str">
        <f>Mon!B45</f>
        <v>AE</v>
      </c>
      <c r="C45" s="19" t="s">
        <v>72</v>
      </c>
      <c r="D45" s="76">
        <v>205</v>
      </c>
      <c r="E45" s="48" t="str">
        <f>_xlfn.XLOOKUP(F45, $O$74:$O$83, $P$74:$P$83, "Training")</f>
        <v>AE</v>
      </c>
      <c r="F45" s="51" t="s">
        <v>147</v>
      </c>
      <c r="G45" s="48" t="str">
        <f>_xlfn.XLOOKUP(H45, $O$74:$O$83, $P$74:$P$83, "Training")</f>
        <v>FA</v>
      </c>
      <c r="H45" s="51" t="s">
        <v>115</v>
      </c>
      <c r="I45" s="337"/>
      <c r="J45" s="338"/>
      <c r="K45" s="48" t="str">
        <f>_xlfn.XLOOKUP(L45, $O$74:$O$83, $P$74:$P$83, "Training")</f>
        <v>BM</v>
      </c>
      <c r="L45" s="51" t="s">
        <v>149</v>
      </c>
      <c r="M45" s="48" t="str">
        <f>_xlfn.XLOOKUP(N45, $O$74:$O$83, $P$74:$P$83, "Training")</f>
        <v>QT</v>
      </c>
      <c r="N45" s="51" t="s">
        <v>148</v>
      </c>
      <c r="O45" s="66"/>
      <c r="U45" s="165" t="str">
        <f>Mon!U45</f>
        <v>(SUH)</v>
      </c>
      <c r="V45" s="35">
        <f t="shared" si="2"/>
        <v>3</v>
      </c>
      <c r="W45" s="36">
        <f>SUM(Mon!V45,Tue!V45)</f>
        <v>7</v>
      </c>
      <c r="X45" s="165" t="str">
        <f>Mon!U45</f>
        <v>(SUH)</v>
      </c>
      <c r="Y45" s="20">
        <f t="shared" si="3"/>
        <v>1</v>
      </c>
      <c r="Z45" s="21">
        <f t="shared" si="4"/>
        <v>1</v>
      </c>
      <c r="AA45" s="21">
        <f t="shared" si="0"/>
        <v>1</v>
      </c>
      <c r="AB45" s="22">
        <f t="shared" si="1"/>
        <v>0</v>
      </c>
      <c r="AC45" s="25" t="str">
        <f t="shared" si="18"/>
        <v xml:space="preserve"> </v>
      </c>
      <c r="AD45" s="26" t="str">
        <f t="shared" si="19"/>
        <v xml:space="preserve"> </v>
      </c>
      <c r="AE45" s="26" t="str">
        <f t="shared" si="20"/>
        <v xml:space="preserve"> </v>
      </c>
      <c r="AF45" s="27" t="str">
        <f t="shared" si="21"/>
        <v xml:space="preserve"> </v>
      </c>
      <c r="AG45" s="178" t="str">
        <f t="shared" si="9"/>
        <v>CM (M)</v>
      </c>
      <c r="AH45" s="177" t="str">
        <f t="shared" si="10"/>
        <v>HR (I)</v>
      </c>
      <c r="AI45" s="177" t="str">
        <f t="shared" si="11"/>
        <v>HR (E)</v>
      </c>
      <c r="AJ45" s="180" t="str">
        <f t="shared" si="12"/>
        <v xml:space="preserve"> </v>
      </c>
      <c r="AK45" s="178" t="str">
        <f t="shared" si="13"/>
        <v xml:space="preserve"> </v>
      </c>
      <c r="AL45" s="177" t="str">
        <f t="shared" si="14"/>
        <v xml:space="preserve"> </v>
      </c>
      <c r="AM45" s="177" t="str">
        <f t="shared" si="15"/>
        <v xml:space="preserve"> </v>
      </c>
      <c r="AN45" s="179" t="str">
        <f t="shared" si="16"/>
        <v xml:space="preserve"> </v>
      </c>
    </row>
    <row r="46" spans="1:40" ht="19.5" customHeight="1" thickBot="1" x14ac:dyDescent="0.4">
      <c r="A46" s="333"/>
      <c r="B46" s="19" t="str">
        <f>Mon!B46</f>
        <v>HIN</v>
      </c>
      <c r="C46" s="19" t="s">
        <v>76</v>
      </c>
      <c r="D46" s="76">
        <v>203</v>
      </c>
      <c r="E46" s="48" t="str">
        <f>_xlfn.XLOOKUP(F46, $Q$74:$Q$83, $R$74:$R$83, "Training")</f>
        <v>GE</v>
      </c>
      <c r="F46" s="51" t="s">
        <v>77</v>
      </c>
      <c r="G46" s="48" t="str">
        <f>_xlfn.XLOOKUP(H46, $Q$74:$Q$83, $R$74:$R$83, "Training")</f>
        <v>QT</v>
      </c>
      <c r="H46" s="51" t="s">
        <v>120</v>
      </c>
      <c r="I46" s="337"/>
      <c r="J46" s="338"/>
      <c r="K46" s="48" t="str">
        <f>_xlfn.XLOOKUP(L46, $Q$74:$Q$83, $R$74:$R$83, "Training")</f>
        <v>BT</v>
      </c>
      <c r="L46" s="51" t="s">
        <v>95</v>
      </c>
      <c r="M46" s="48" t="str">
        <f>_xlfn.XLOOKUP(N46, $Q$74:$Q$83, $R$74:$R$83, "Training")</f>
        <v>HIN</v>
      </c>
      <c r="N46" s="51" t="s">
        <v>153</v>
      </c>
      <c r="O46" s="66"/>
      <c r="U46" s="165" t="str">
        <f>Mon!U46</f>
        <v>(SUN)</v>
      </c>
      <c r="V46" s="35">
        <f t="shared" si="2"/>
        <v>2</v>
      </c>
      <c r="W46" s="36">
        <f>SUM(Mon!V46,Tue!V46)</f>
        <v>5</v>
      </c>
      <c r="X46" s="165" t="str">
        <f>Mon!U46</f>
        <v>(SUN)</v>
      </c>
      <c r="Y46" s="20">
        <f t="shared" si="3"/>
        <v>1</v>
      </c>
      <c r="Z46" s="21">
        <f t="shared" si="4"/>
        <v>0</v>
      </c>
      <c r="AA46" s="21">
        <f t="shared" si="0"/>
        <v>1</v>
      </c>
      <c r="AB46" s="22">
        <f t="shared" si="1"/>
        <v>0</v>
      </c>
      <c r="AC46" s="25" t="str">
        <f t="shared" si="18"/>
        <v>IB (H)</v>
      </c>
      <c r="AD46" s="26" t="str">
        <f t="shared" si="19"/>
        <v xml:space="preserve"> </v>
      </c>
      <c r="AE46" s="26" t="str">
        <f t="shared" si="20"/>
        <v>FMS (D)</v>
      </c>
      <c r="AF46" s="27" t="str">
        <f t="shared" si="21"/>
        <v xml:space="preserve"> </v>
      </c>
      <c r="AG46" s="178" t="str">
        <f t="shared" si="9"/>
        <v xml:space="preserve"> </v>
      </c>
      <c r="AH46" s="177" t="str">
        <f t="shared" si="10"/>
        <v xml:space="preserve"> </v>
      </c>
      <c r="AI46" s="177" t="str">
        <f t="shared" si="11"/>
        <v xml:space="preserve"> </v>
      </c>
      <c r="AJ46" s="180" t="str">
        <f t="shared" si="12"/>
        <v xml:space="preserve"> </v>
      </c>
      <c r="AK46" s="178" t="str">
        <f t="shared" si="13"/>
        <v xml:space="preserve"> </v>
      </c>
      <c r="AL46" s="177" t="str">
        <f t="shared" si="14"/>
        <v xml:space="preserve"> </v>
      </c>
      <c r="AM46" s="177" t="str">
        <f t="shared" si="15"/>
        <v xml:space="preserve"> </v>
      </c>
      <c r="AN46" s="179" t="str">
        <f t="shared" si="16"/>
        <v xml:space="preserve"> </v>
      </c>
    </row>
    <row r="47" spans="1:40" ht="19.5" customHeight="1" thickBot="1" x14ac:dyDescent="0.4">
      <c r="A47" s="333"/>
      <c r="B47" s="19" t="str">
        <f>Mon!B47</f>
        <v>HIN</v>
      </c>
      <c r="C47" s="19" t="s">
        <v>79</v>
      </c>
      <c r="D47" s="76">
        <v>201</v>
      </c>
      <c r="E47" s="48" t="str">
        <f>_xlfn.XLOOKUP(F47, $S$74:$S$83, $T$74:$T$83, "Training")</f>
        <v>BM</v>
      </c>
      <c r="F47" s="51" t="s">
        <v>146</v>
      </c>
      <c r="G47" s="48" t="str">
        <f>_xlfn.XLOOKUP(H47, $S$74:$S$83, $T$74:$T$83, "Training")</f>
        <v>FA</v>
      </c>
      <c r="H47" s="51" t="s">
        <v>110</v>
      </c>
      <c r="I47" s="337"/>
      <c r="J47" s="338"/>
      <c r="K47" s="48" t="str">
        <f>_xlfn.XLOOKUP(L47, $S$74:$S$83, $T$74:$T$83, "Training")</f>
        <v>GE</v>
      </c>
      <c r="L47" s="51" t="s">
        <v>147</v>
      </c>
      <c r="M47" s="48" t="str">
        <f>_xlfn.XLOOKUP(N47, $S$74:$S$83, $T$74:$T$83, "Training")</f>
        <v>QT</v>
      </c>
      <c r="N47" s="51" t="s">
        <v>75</v>
      </c>
      <c r="O47" s="66"/>
      <c r="U47" s="165" t="str">
        <f>Mon!U47</f>
        <v>(SUP)</v>
      </c>
      <c r="V47" s="35">
        <f t="shared" si="2"/>
        <v>3</v>
      </c>
      <c r="W47" s="36">
        <f>SUM(Mon!V47,Tue!V47)</f>
        <v>6</v>
      </c>
      <c r="X47" s="165" t="str">
        <f>Mon!U47</f>
        <v>(SUP)</v>
      </c>
      <c r="Y47" s="20">
        <f t="shared" si="3"/>
        <v>0</v>
      </c>
      <c r="Z47" s="21">
        <f t="shared" si="4"/>
        <v>1</v>
      </c>
      <c r="AA47" s="21">
        <f t="shared" si="0"/>
        <v>1</v>
      </c>
      <c r="AB47" s="22">
        <f t="shared" si="1"/>
        <v>1</v>
      </c>
      <c r="AC47" s="25" t="str">
        <f t="shared" si="18"/>
        <v xml:space="preserve"> </v>
      </c>
      <c r="AD47" s="26" t="str">
        <f t="shared" si="19"/>
        <v>AA (E)</v>
      </c>
      <c r="AE47" s="26" t="str">
        <f t="shared" si="20"/>
        <v>IT (C)</v>
      </c>
      <c r="AF47" s="27" t="str">
        <f t="shared" si="21"/>
        <v>AA (A)</v>
      </c>
      <c r="AG47" s="178" t="str">
        <f t="shared" si="9"/>
        <v xml:space="preserve"> </v>
      </c>
      <c r="AH47" s="177" t="str">
        <f t="shared" si="10"/>
        <v xml:space="preserve"> </v>
      </c>
      <c r="AI47" s="177" t="str">
        <f t="shared" si="11"/>
        <v xml:space="preserve"> </v>
      </c>
      <c r="AJ47" s="180" t="str">
        <f t="shared" si="12"/>
        <v xml:space="preserve"> </v>
      </c>
      <c r="AK47" s="178" t="str">
        <f t="shared" si="13"/>
        <v xml:space="preserve"> </v>
      </c>
      <c r="AL47" s="177" t="str">
        <f t="shared" si="14"/>
        <v xml:space="preserve"> </v>
      </c>
      <c r="AM47" s="177" t="str">
        <f t="shared" si="15"/>
        <v xml:space="preserve"> </v>
      </c>
      <c r="AN47" s="179" t="str">
        <f t="shared" si="16"/>
        <v xml:space="preserve"> </v>
      </c>
    </row>
    <row r="48" spans="1:40" ht="19.5" customHeight="1" thickBot="1" x14ac:dyDescent="0.4">
      <c r="A48" s="333"/>
      <c r="B48" s="19" t="str">
        <f>Mon!B48</f>
        <v>HIN</v>
      </c>
      <c r="C48" s="19" t="s">
        <v>81</v>
      </c>
      <c r="D48" s="76">
        <v>301</v>
      </c>
      <c r="E48" s="48" t="str">
        <f>_xlfn.XLOOKUP(F48, $U$74:$U$83, $V$74:$V$83, "Training")</f>
        <v>BM</v>
      </c>
      <c r="F48" s="51" t="s">
        <v>54</v>
      </c>
      <c r="G48" s="48" t="str">
        <f>_xlfn.XLOOKUP(H48, $U$74:$U$83, $V$74:$V$83, "Training")</f>
        <v>HIN</v>
      </c>
      <c r="H48" s="51" t="s">
        <v>153</v>
      </c>
      <c r="I48" s="337"/>
      <c r="J48" s="338"/>
      <c r="K48" s="48" t="str">
        <f>_xlfn.XLOOKUP(L48, $U$74:$U$83, $V$74:$V$83, "Training")</f>
        <v>QT</v>
      </c>
      <c r="L48" s="51" t="s">
        <v>75</v>
      </c>
      <c r="M48" s="48" t="str">
        <f>_xlfn.XLOOKUP(N48, $U$74:$U$83, $V$74:$V$83, "Training")</f>
        <v>GE</v>
      </c>
      <c r="N48" s="51" t="s">
        <v>147</v>
      </c>
      <c r="O48" s="66"/>
      <c r="U48" s="165" t="str">
        <f>Mon!U48</f>
        <v>(SV)</v>
      </c>
      <c r="V48" s="35">
        <f t="shared" si="2"/>
        <v>2</v>
      </c>
      <c r="W48" s="36">
        <f>SUM(Mon!V48,Tue!V48)</f>
        <v>4</v>
      </c>
      <c r="X48" s="165" t="str">
        <f>Mon!U48</f>
        <v>(SV)</v>
      </c>
      <c r="Y48" s="20">
        <f t="shared" si="3"/>
        <v>0</v>
      </c>
      <c r="Z48" s="21">
        <f t="shared" si="4"/>
        <v>1</v>
      </c>
      <c r="AA48" s="21">
        <f t="shared" si="0"/>
        <v>0</v>
      </c>
      <c r="AB48" s="22">
        <f t="shared" si="1"/>
        <v>1</v>
      </c>
      <c r="AC48" s="25" t="str">
        <f t="shared" si="18"/>
        <v xml:space="preserve"> </v>
      </c>
      <c r="AD48" s="26" t="str">
        <f t="shared" si="19"/>
        <v xml:space="preserve"> </v>
      </c>
      <c r="AE48" s="26" t="str">
        <f t="shared" si="20"/>
        <v xml:space="preserve"> </v>
      </c>
      <c r="AF48" s="27" t="str">
        <f t="shared" si="21"/>
        <v xml:space="preserve"> </v>
      </c>
      <c r="AG48" s="178" t="str">
        <f t="shared" si="9"/>
        <v xml:space="preserve"> </v>
      </c>
      <c r="AH48" s="177" t="str">
        <f t="shared" si="10"/>
        <v xml:space="preserve"> </v>
      </c>
      <c r="AI48" s="177" t="str">
        <f t="shared" si="11"/>
        <v xml:space="preserve"> </v>
      </c>
      <c r="AJ48" s="180" t="str">
        <f t="shared" si="12"/>
        <v xml:space="preserve"> </v>
      </c>
      <c r="AK48" s="178" t="str">
        <f t="shared" si="13"/>
        <v xml:space="preserve"> </v>
      </c>
      <c r="AL48" s="177" t="str">
        <f t="shared" si="14"/>
        <v>HIN (K)</v>
      </c>
      <c r="AM48" s="177" t="str">
        <f t="shared" si="15"/>
        <v xml:space="preserve"> </v>
      </c>
      <c r="AN48" s="179" t="str">
        <f t="shared" si="16"/>
        <v>HIN (I)</v>
      </c>
    </row>
    <row r="49" spans="1:40" ht="15.75" customHeight="1" thickBot="1" x14ac:dyDescent="0.4">
      <c r="A49" s="333"/>
      <c r="B49" s="19" t="s">
        <v>152</v>
      </c>
      <c r="C49" s="19" t="s">
        <v>84</v>
      </c>
      <c r="D49" s="91">
        <v>307</v>
      </c>
      <c r="E49" s="48" t="str">
        <f>_xlfn.XLOOKUP(F49, $W$74:$W$83, $X$74:$X$83, "Training")</f>
        <v>BM</v>
      </c>
      <c r="F49" s="51" t="s">
        <v>149</v>
      </c>
      <c r="G49" s="48" t="str">
        <f>_xlfn.XLOOKUP(H49, $W$74:$W$83, $X$74:$X$83, "Training")</f>
        <v>FA</v>
      </c>
      <c r="H49" s="51" t="s">
        <v>145</v>
      </c>
      <c r="I49" s="337"/>
      <c r="J49" s="338"/>
      <c r="K49" s="48" t="str">
        <f>_xlfn.XLOOKUP(L49, $W$74:$W$83, $X$74:$X$83, "Training")</f>
        <v>QT</v>
      </c>
      <c r="L49" s="51" t="s">
        <v>71</v>
      </c>
      <c r="M49" s="48" t="str">
        <f>_xlfn.XLOOKUP(N49, $W$74:$W$83, $X$74:$X$83, "Training")</f>
        <v>BT</v>
      </c>
      <c r="N49" s="51" t="s">
        <v>146</v>
      </c>
      <c r="O49" s="66"/>
      <c r="U49" s="165" t="str">
        <f>Mon!U49</f>
        <v>(SW)</v>
      </c>
      <c r="V49" s="35">
        <f t="shared" si="2"/>
        <v>3</v>
      </c>
      <c r="W49" s="36">
        <f>SUM(Mon!V49,Tue!V49)</f>
        <v>7</v>
      </c>
      <c r="X49" s="165" t="str">
        <f>Mon!U49</f>
        <v>(SW)</v>
      </c>
      <c r="Y49" s="20">
        <f t="shared" si="3"/>
        <v>1</v>
      </c>
      <c r="Z49" s="21">
        <f t="shared" si="4"/>
        <v>1</v>
      </c>
      <c r="AA49" s="21">
        <f t="shared" si="0"/>
        <v>0</v>
      </c>
      <c r="AB49" s="22">
        <f t="shared" si="1"/>
        <v>1</v>
      </c>
      <c r="AC49" s="25" t="str">
        <f t="shared" si="18"/>
        <v xml:space="preserve"> </v>
      </c>
      <c r="AD49" s="26" t="str">
        <f t="shared" si="19"/>
        <v xml:space="preserve"> </v>
      </c>
      <c r="AE49" s="26" t="str">
        <f t="shared" si="20"/>
        <v xml:space="preserve"> </v>
      </c>
      <c r="AF49" s="27" t="str">
        <f t="shared" si="21"/>
        <v xml:space="preserve"> </v>
      </c>
      <c r="AG49" s="178" t="str">
        <f t="shared" si="9"/>
        <v>CA (J)</v>
      </c>
      <c r="AH49" s="177" t="str">
        <f t="shared" si="10"/>
        <v>CA (H)</v>
      </c>
      <c r="AI49" s="177" t="str">
        <f t="shared" si="11"/>
        <v xml:space="preserve"> </v>
      </c>
      <c r="AJ49" s="180" t="str">
        <f t="shared" si="12"/>
        <v>CA (M)</v>
      </c>
      <c r="AK49" s="178" t="str">
        <f t="shared" si="13"/>
        <v xml:space="preserve"> </v>
      </c>
      <c r="AL49" s="177" t="str">
        <f t="shared" si="14"/>
        <v xml:space="preserve"> </v>
      </c>
      <c r="AM49" s="177" t="str">
        <f t="shared" si="15"/>
        <v xml:space="preserve"> </v>
      </c>
      <c r="AN49" s="179" t="str">
        <f t="shared" si="16"/>
        <v xml:space="preserve"> </v>
      </c>
    </row>
    <row r="50" spans="1:40" ht="15.75" customHeight="1" thickBot="1" x14ac:dyDescent="0.4">
      <c r="A50" s="333"/>
      <c r="B50" s="19" t="s">
        <v>154</v>
      </c>
      <c r="C50" s="19" t="s">
        <v>126</v>
      </c>
      <c r="D50" s="91"/>
      <c r="E50" s="83" t="str">
        <f>_xlfn.XLOOKUP(F50, $Y$74:$Y$83, $Z$74:$Z$83, "Training")</f>
        <v>QT</v>
      </c>
      <c r="F50" s="187" t="s">
        <v>151</v>
      </c>
      <c r="G50" s="83" t="str">
        <f>_xlfn.XLOOKUP(H50, $Y$74:$Y$83, $Z$74:$Z$83, "Training")</f>
        <v>KAN</v>
      </c>
      <c r="H50" s="188" t="s">
        <v>85</v>
      </c>
      <c r="I50" s="337"/>
      <c r="J50" s="338"/>
      <c r="K50" s="83" t="str">
        <f>_xlfn.XLOOKUP(L50, $Y$74:$Y$83, $Z$74:$Z$83, "Training")</f>
        <v>GE</v>
      </c>
      <c r="L50" s="187" t="s">
        <v>133</v>
      </c>
      <c r="M50" s="83" t="str">
        <f>_xlfn.XLOOKUP(N50, $Y$74:$Y$83, $Z$74:$Z$83, "Training")</f>
        <v>BM</v>
      </c>
      <c r="N50" s="187" t="s">
        <v>149</v>
      </c>
      <c r="O50" s="66"/>
      <c r="U50" s="165" t="str">
        <f>Mon!U50</f>
        <v>(TK)</v>
      </c>
      <c r="V50" s="35">
        <f t="shared" si="2"/>
        <v>3</v>
      </c>
      <c r="W50" s="36">
        <f>SUM(Mon!V50,Tue!V50)</f>
        <v>5</v>
      </c>
      <c r="X50" s="165" t="str">
        <f>Mon!U50</f>
        <v>(TK)</v>
      </c>
      <c r="Y50" s="20">
        <f t="shared" si="3"/>
        <v>0</v>
      </c>
      <c r="Z50" s="21">
        <f t="shared" si="4"/>
        <v>1</v>
      </c>
      <c r="AA50" s="21">
        <f t="shared" si="0"/>
        <v>1</v>
      </c>
      <c r="AB50" s="22">
        <f t="shared" si="1"/>
        <v>1</v>
      </c>
      <c r="AC50" s="25" t="str">
        <f t="shared" si="18"/>
        <v xml:space="preserve"> </v>
      </c>
      <c r="AD50" s="26" t="str">
        <f t="shared" si="19"/>
        <v>MA (B)</v>
      </c>
      <c r="AE50" s="26" t="str">
        <f t="shared" si="20"/>
        <v xml:space="preserve"> </v>
      </c>
      <c r="AF50" s="27" t="str">
        <f t="shared" si="21"/>
        <v xml:space="preserve"> </v>
      </c>
      <c r="AG50" s="178" t="str">
        <f t="shared" si="9"/>
        <v xml:space="preserve"> </v>
      </c>
      <c r="AH50" s="177" t="str">
        <f t="shared" si="10"/>
        <v xml:space="preserve"> </v>
      </c>
      <c r="AI50" s="177" t="str">
        <f t="shared" si="11"/>
        <v>CA (N)</v>
      </c>
      <c r="AJ50" s="180" t="str">
        <f t="shared" si="12"/>
        <v>CA (K)</v>
      </c>
      <c r="AK50" s="178" t="str">
        <f t="shared" si="13"/>
        <v xml:space="preserve"> </v>
      </c>
      <c r="AL50" s="177" t="str">
        <f t="shared" si="14"/>
        <v xml:space="preserve"> </v>
      </c>
      <c r="AM50" s="177" t="str">
        <f t="shared" si="15"/>
        <v xml:space="preserve"> </v>
      </c>
      <c r="AN50" s="179" t="str">
        <f t="shared" si="16"/>
        <v xml:space="preserve"> </v>
      </c>
    </row>
    <row r="51" spans="1:40" ht="15.75" customHeight="1" thickBot="1" x14ac:dyDescent="0.4">
      <c r="A51" s="333"/>
      <c r="B51" s="161" t="s">
        <v>155</v>
      </c>
      <c r="C51" s="98" t="s">
        <v>128</v>
      </c>
      <c r="D51" s="201"/>
      <c r="E51" s="49" t="str">
        <f>_xlfn.XLOOKUP(F51, $AA$74:$AA$83, $AB$74:$AB$83, "Training")</f>
        <v>SAN</v>
      </c>
      <c r="F51" s="203" t="s">
        <v>127</v>
      </c>
      <c r="G51" s="49" t="str">
        <f>_xlfn.XLOOKUP(H51, $AA$74:$AA$83, $AB$74:$AB$83, "Training")</f>
        <v>BM</v>
      </c>
      <c r="H51" s="50" t="s">
        <v>54</v>
      </c>
      <c r="I51" s="337"/>
      <c r="J51" s="338"/>
      <c r="K51" s="49" t="str">
        <f>_xlfn.XLOOKUP(L51, $AA$74:$AA$83, $AB$74:$AB$83, "Training")</f>
        <v>FA</v>
      </c>
      <c r="L51" s="203" t="s">
        <v>115</v>
      </c>
      <c r="M51" s="49" t="str">
        <f>_xlfn.XLOOKUP(N51, $AA$74:$AA$83, $AB$74:$AB$83, "Training")</f>
        <v>BT</v>
      </c>
      <c r="N51" s="203" t="s">
        <v>95</v>
      </c>
      <c r="O51" s="66"/>
      <c r="U51" s="165" t="str">
        <f>Mon!U51</f>
        <v>(UK)</v>
      </c>
      <c r="V51" s="35">
        <f t="shared" si="2"/>
        <v>2</v>
      </c>
      <c r="W51" s="36">
        <f>SUM(Mon!V51,Tue!V51)</f>
        <v>4</v>
      </c>
      <c r="X51" s="165" t="str">
        <f>Mon!U51</f>
        <v>(UK)</v>
      </c>
      <c r="Y51" s="20">
        <f t="shared" si="3"/>
        <v>1</v>
      </c>
      <c r="Z51" s="21">
        <f t="shared" si="4"/>
        <v>0</v>
      </c>
      <c r="AA51" s="21">
        <f t="shared" si="0"/>
        <v>1</v>
      </c>
      <c r="AB51" s="22">
        <f t="shared" si="1"/>
        <v>0</v>
      </c>
      <c r="AC51" s="25" t="str">
        <f t="shared" si="18"/>
        <v>IT (G)</v>
      </c>
      <c r="AD51" s="26" t="str">
        <f t="shared" si="19"/>
        <v xml:space="preserve"> </v>
      </c>
      <c r="AE51" s="26" t="str">
        <f t="shared" si="20"/>
        <v>IT (B)</v>
      </c>
      <c r="AF51" s="27" t="str">
        <f t="shared" si="21"/>
        <v xml:space="preserve"> </v>
      </c>
      <c r="AG51" s="178" t="str">
        <f t="shared" si="9"/>
        <v xml:space="preserve"> </v>
      </c>
      <c r="AH51" s="177" t="str">
        <f t="shared" si="10"/>
        <v xml:space="preserve"> </v>
      </c>
      <c r="AI51" s="177" t="str">
        <f t="shared" si="11"/>
        <v xml:space="preserve"> </v>
      </c>
      <c r="AJ51" s="180" t="str">
        <f t="shared" si="12"/>
        <v xml:space="preserve"> </v>
      </c>
      <c r="AK51" s="178" t="str">
        <f t="shared" si="13"/>
        <v xml:space="preserve"> </v>
      </c>
      <c r="AL51" s="177" t="str">
        <f t="shared" si="14"/>
        <v xml:space="preserve"> </v>
      </c>
      <c r="AM51" s="177" t="str">
        <f t="shared" si="15"/>
        <v xml:space="preserve"> </v>
      </c>
      <c r="AN51" s="179" t="str">
        <f t="shared" si="16"/>
        <v xml:space="preserve"> </v>
      </c>
    </row>
    <row r="52" spans="1:40" ht="15.75" customHeight="1" thickBot="1" x14ac:dyDescent="0.4">
      <c r="A52" s="333"/>
      <c r="B52" s="19" t="s">
        <v>87</v>
      </c>
      <c r="C52" s="98" t="s">
        <v>41</v>
      </c>
      <c r="D52" s="201">
        <v>401</v>
      </c>
      <c r="E52" s="48" t="s">
        <v>156</v>
      </c>
      <c r="F52" s="51"/>
      <c r="G52" s="48" t="s">
        <v>157</v>
      </c>
      <c r="H52" s="51" t="s">
        <v>98</v>
      </c>
      <c r="I52" s="337"/>
      <c r="J52" s="338"/>
      <c r="K52" s="48" t="s">
        <v>177</v>
      </c>
      <c r="L52" s="51" t="s">
        <v>94</v>
      </c>
      <c r="M52" s="48" t="s">
        <v>158</v>
      </c>
      <c r="N52" s="51" t="s">
        <v>77</v>
      </c>
      <c r="O52" s="66"/>
      <c r="U52" s="165" t="str">
        <f>Mon!U52</f>
        <v>(VA)</v>
      </c>
      <c r="V52" s="35">
        <f t="shared" si="2"/>
        <v>4</v>
      </c>
      <c r="W52" s="36">
        <f>SUM(Mon!V52,Tue!V52)</f>
        <v>7</v>
      </c>
      <c r="X52" s="165" t="str">
        <f>Mon!U52</f>
        <v>(VA)</v>
      </c>
      <c r="Y52" s="20">
        <f t="shared" si="3"/>
        <v>1</v>
      </c>
      <c r="Z52" s="23">
        <f t="shared" si="4"/>
        <v>2</v>
      </c>
      <c r="AA52" s="23">
        <f t="shared" si="0"/>
        <v>0</v>
      </c>
      <c r="AB52" s="24">
        <f t="shared" si="1"/>
        <v>1</v>
      </c>
      <c r="AC52" s="25" t="str">
        <f t="shared" si="18"/>
        <v xml:space="preserve"> </v>
      </c>
      <c r="AD52" s="26" t="str">
        <f t="shared" si="19"/>
        <v xml:space="preserve"> </v>
      </c>
      <c r="AE52" s="26" t="str">
        <f t="shared" si="20"/>
        <v xml:space="preserve"> </v>
      </c>
      <c r="AF52" s="27" t="str">
        <f t="shared" si="21"/>
        <v xml:space="preserve"> </v>
      </c>
      <c r="AG52" s="178" t="str">
        <f t="shared" si="9"/>
        <v>CA (I)</v>
      </c>
      <c r="AH52" s="177" t="str">
        <f t="shared" si="10"/>
        <v>CA (C)</v>
      </c>
      <c r="AI52" s="177" t="str">
        <f t="shared" si="11"/>
        <v xml:space="preserve"> </v>
      </c>
      <c r="AJ52" s="180" t="str">
        <f t="shared" si="12"/>
        <v>CA (F)</v>
      </c>
      <c r="AK52" s="178" t="str">
        <f t="shared" si="13"/>
        <v xml:space="preserve"> </v>
      </c>
      <c r="AL52" s="177" t="str">
        <f t="shared" si="14"/>
        <v>FA (J)</v>
      </c>
      <c r="AM52" s="177" t="str">
        <f t="shared" si="15"/>
        <v xml:space="preserve"> </v>
      </c>
      <c r="AN52" s="179" t="str">
        <f t="shared" si="16"/>
        <v xml:space="preserve"> </v>
      </c>
    </row>
    <row r="53" spans="1:40" ht="15.75" customHeight="1" thickBot="1" x14ac:dyDescent="0.4">
      <c r="A53" s="334"/>
      <c r="B53" s="19" t="s">
        <v>87</v>
      </c>
      <c r="C53" s="98" t="s">
        <v>49</v>
      </c>
      <c r="D53" s="201">
        <v>402</v>
      </c>
      <c r="E53" s="48" t="s">
        <v>156</v>
      </c>
      <c r="F53" s="51"/>
      <c r="G53" s="48" t="s">
        <v>158</v>
      </c>
      <c r="H53" s="51" t="s">
        <v>77</v>
      </c>
      <c r="I53" s="339"/>
      <c r="J53" s="340"/>
      <c r="K53" s="48" t="s">
        <v>159</v>
      </c>
      <c r="L53" s="51" t="s">
        <v>131</v>
      </c>
      <c r="M53" s="48" t="s">
        <v>157</v>
      </c>
      <c r="N53" s="51" t="s">
        <v>98</v>
      </c>
      <c r="O53" s="66"/>
      <c r="U53" s="165" t="str">
        <f>Mon!U53</f>
        <v>(VAR)</v>
      </c>
      <c r="V53" s="35">
        <f t="shared" si="2"/>
        <v>3</v>
      </c>
      <c r="W53" s="36">
        <f>SUM(Mon!V53,Tue!V53)</f>
        <v>6</v>
      </c>
      <c r="X53" s="165" t="str">
        <f>Mon!U53</f>
        <v>(VAR)</v>
      </c>
      <c r="Y53" s="20"/>
      <c r="Z53" s="21"/>
      <c r="AA53" s="21"/>
      <c r="AB53" s="22"/>
      <c r="AC53" s="25" t="str">
        <f t="shared" si="18"/>
        <v xml:space="preserve"> </v>
      </c>
      <c r="AD53" s="26" t="str">
        <f t="shared" si="19"/>
        <v xml:space="preserve"> </v>
      </c>
      <c r="AE53" s="26" t="str">
        <f t="shared" si="20"/>
        <v>IF (A)</v>
      </c>
      <c r="AF53" s="27" t="str">
        <f t="shared" si="21"/>
        <v>IF (D)</v>
      </c>
      <c r="AG53" s="178" t="str">
        <f t="shared" si="9"/>
        <v>MM (G)</v>
      </c>
      <c r="AH53" s="177" t="str">
        <f t="shared" si="10"/>
        <v xml:space="preserve"> </v>
      </c>
      <c r="AI53" s="177" t="str">
        <f t="shared" si="11"/>
        <v xml:space="preserve"> </v>
      </c>
      <c r="AJ53" s="180" t="str">
        <f t="shared" si="12"/>
        <v xml:space="preserve"> </v>
      </c>
      <c r="AK53" s="178" t="str">
        <f t="shared" si="13"/>
        <v xml:space="preserve"> </v>
      </c>
      <c r="AL53" s="177" t="str">
        <f t="shared" si="14"/>
        <v xml:space="preserve"> </v>
      </c>
      <c r="AM53" s="177" t="str">
        <f t="shared" si="15"/>
        <v xml:space="preserve"> </v>
      </c>
      <c r="AN53" s="179" t="str">
        <f t="shared" si="16"/>
        <v xml:space="preserve"> </v>
      </c>
    </row>
    <row r="54" spans="1:40" ht="15" thickBot="1" x14ac:dyDescent="0.4">
      <c r="U54" s="165" t="str">
        <f>Mon!U54</f>
        <v>(VIN)</v>
      </c>
      <c r="V54" s="35">
        <f t="shared" si="2"/>
        <v>3</v>
      </c>
      <c r="W54" s="36">
        <f>SUM(Mon!V54,Tue!V54)</f>
        <v>6</v>
      </c>
      <c r="X54" s="165" t="str">
        <f>Mon!U54</f>
        <v>(VIN)</v>
      </c>
      <c r="Y54" s="20"/>
      <c r="Z54" s="21"/>
      <c r="AA54" s="21"/>
      <c r="AB54" s="22"/>
      <c r="AC54" s="25" t="str">
        <f t="shared" si="18"/>
        <v xml:space="preserve"> </v>
      </c>
      <c r="AD54" s="26" t="str">
        <f t="shared" si="19"/>
        <v xml:space="preserve"> </v>
      </c>
      <c r="AE54" s="26" t="str">
        <f t="shared" si="20"/>
        <v xml:space="preserve"> </v>
      </c>
      <c r="AF54" s="27" t="str">
        <f t="shared" si="21"/>
        <v xml:space="preserve"> </v>
      </c>
      <c r="AG54" s="178" t="str">
        <f t="shared" si="9"/>
        <v xml:space="preserve"> </v>
      </c>
      <c r="AH54" s="177" t="str">
        <f t="shared" si="10"/>
        <v xml:space="preserve"> </v>
      </c>
      <c r="AI54" s="177" t="str">
        <f t="shared" si="11"/>
        <v xml:space="preserve"> </v>
      </c>
      <c r="AJ54" s="180" t="str">
        <f t="shared" si="12"/>
        <v xml:space="preserve"> </v>
      </c>
      <c r="AK54" s="178" t="str">
        <f t="shared" si="13"/>
        <v>FA (G)</v>
      </c>
      <c r="AL54" s="177" t="str">
        <f t="shared" si="14"/>
        <v>FA (L)</v>
      </c>
      <c r="AM54" s="177" t="str">
        <f t="shared" si="15"/>
        <v xml:space="preserve"> </v>
      </c>
      <c r="AN54" s="179" t="str">
        <f t="shared" si="16"/>
        <v>FA (B)</v>
      </c>
    </row>
    <row r="55" spans="1:40" ht="15" thickBot="1" x14ac:dyDescent="0.4">
      <c r="U55" s="165" t="str">
        <f>Mon!U55</f>
        <v>(VRL)</v>
      </c>
      <c r="V55" s="35">
        <f t="shared" si="2"/>
        <v>3</v>
      </c>
      <c r="W55" s="36">
        <f>SUM(Mon!V55,Tue!V55)</f>
        <v>6</v>
      </c>
      <c r="X55" s="165" t="str">
        <f>Mon!U55</f>
        <v>(VRL)</v>
      </c>
      <c r="Y55" s="20"/>
      <c r="Z55" s="21"/>
      <c r="AA55" s="21"/>
      <c r="AB55" s="22"/>
      <c r="AC55" s="25" t="str">
        <f t="shared" si="18"/>
        <v xml:space="preserve"> </v>
      </c>
      <c r="AD55" s="26" t="str">
        <f t="shared" si="19"/>
        <v>RM (H)</v>
      </c>
      <c r="AE55" s="26" t="str">
        <f t="shared" si="20"/>
        <v xml:space="preserve"> </v>
      </c>
      <c r="AF55" s="27" t="str">
        <f t="shared" si="21"/>
        <v xml:space="preserve"> </v>
      </c>
      <c r="AG55" s="178" t="str">
        <f t="shared" si="9"/>
        <v xml:space="preserve"> </v>
      </c>
      <c r="AH55" s="177" t="str">
        <f t="shared" si="10"/>
        <v xml:space="preserve"> </v>
      </c>
      <c r="AI55" s="177" t="str">
        <f t="shared" si="11"/>
        <v xml:space="preserve"> </v>
      </c>
      <c r="AJ55" s="180" t="str">
        <f t="shared" si="12"/>
        <v xml:space="preserve"> </v>
      </c>
      <c r="AK55" s="178" t="str">
        <f t="shared" si="13"/>
        <v xml:space="preserve"> </v>
      </c>
      <c r="AL55" s="177" t="str">
        <f t="shared" si="14"/>
        <v>QT (A)</v>
      </c>
      <c r="AM55" s="177" t="str">
        <f t="shared" si="15"/>
        <v xml:space="preserve"> </v>
      </c>
      <c r="AN55" s="179" t="str">
        <f t="shared" si="16"/>
        <v>QT (H)</v>
      </c>
    </row>
    <row r="56" spans="1:40" ht="15" thickBot="1" x14ac:dyDescent="0.4">
      <c r="U56" s="165" t="str">
        <f>Mon!U56</f>
        <v>(YL)</v>
      </c>
      <c r="V56" s="35">
        <f t="shared" si="2"/>
        <v>3</v>
      </c>
      <c r="W56" s="36">
        <f>SUM(Mon!V56,Tue!V56)</f>
        <v>6</v>
      </c>
      <c r="X56" s="165" t="str">
        <f>Mon!U56</f>
        <v>(YL)</v>
      </c>
      <c r="Y56" s="20"/>
      <c r="Z56" s="21"/>
      <c r="AA56" s="21"/>
      <c r="AB56" s="22"/>
      <c r="AC56" s="25" t="str">
        <f t="shared" si="18"/>
        <v>IB (F)</v>
      </c>
      <c r="AD56" s="26" t="str">
        <f t="shared" si="19"/>
        <v xml:space="preserve"> </v>
      </c>
      <c r="AE56" s="26" t="str">
        <f t="shared" si="20"/>
        <v xml:space="preserve"> </v>
      </c>
      <c r="AF56" s="27" t="str">
        <f t="shared" si="21"/>
        <v xml:space="preserve"> </v>
      </c>
      <c r="AG56" s="178" t="str">
        <f t="shared" si="9"/>
        <v xml:space="preserve"> </v>
      </c>
      <c r="AH56" s="177" t="str">
        <f t="shared" si="10"/>
        <v xml:space="preserve"> </v>
      </c>
      <c r="AI56" s="177" t="str">
        <f t="shared" si="11"/>
        <v>ED (A)</v>
      </c>
      <c r="AJ56" s="180" t="str">
        <f t="shared" si="12"/>
        <v>ED (N)</v>
      </c>
      <c r="AK56" s="178" t="str">
        <f t="shared" si="13"/>
        <v xml:space="preserve"> </v>
      </c>
      <c r="AL56" s="177" t="str">
        <f t="shared" si="14"/>
        <v xml:space="preserve"> </v>
      </c>
      <c r="AM56" s="177" t="str">
        <f t="shared" si="15"/>
        <v xml:space="preserve"> </v>
      </c>
      <c r="AN56" s="179" t="str">
        <f t="shared" si="16"/>
        <v xml:space="preserve"> </v>
      </c>
    </row>
    <row r="57" spans="1:40" ht="15" thickBot="1" x14ac:dyDescent="0.4">
      <c r="U57" s="165" t="str">
        <f>Mon!U57</f>
        <v>(RR)</v>
      </c>
      <c r="V57" s="35">
        <f t="shared" si="2"/>
        <v>3</v>
      </c>
      <c r="W57" s="36">
        <f>SUM(Mon!V57,Tue!V57)</f>
        <v>7</v>
      </c>
      <c r="X57" s="165" t="str">
        <f>Mon!U57</f>
        <v>(RR)</v>
      </c>
      <c r="Y57" s="171"/>
      <c r="Z57" s="23"/>
      <c r="AA57" s="23"/>
      <c r="AB57" s="24"/>
      <c r="AC57" s="25" t="str">
        <f t="shared" si="18"/>
        <v xml:space="preserve"> </v>
      </c>
      <c r="AD57" s="26" t="str">
        <f t="shared" si="19"/>
        <v xml:space="preserve"> </v>
      </c>
      <c r="AE57" s="26" t="str">
        <f t="shared" si="20"/>
        <v xml:space="preserve"> </v>
      </c>
      <c r="AF57" s="27" t="str">
        <f t="shared" si="21"/>
        <v xml:space="preserve"> </v>
      </c>
      <c r="AG57" s="178" t="str">
        <f t="shared" si="9"/>
        <v>EVS (E)</v>
      </c>
      <c r="AH57" s="177" t="str">
        <f t="shared" si="10"/>
        <v>ED (G)</v>
      </c>
      <c r="AI57" s="177" t="str">
        <f t="shared" si="11"/>
        <v xml:space="preserve"> </v>
      </c>
      <c r="AJ57" s="180" t="str">
        <f t="shared" si="12"/>
        <v>ED (D)</v>
      </c>
      <c r="AK57" s="178" t="str">
        <f t="shared" si="13"/>
        <v xml:space="preserve"> </v>
      </c>
      <c r="AL57" s="177" t="str">
        <f t="shared" si="14"/>
        <v xml:space="preserve"> </v>
      </c>
      <c r="AM57" s="177" t="str">
        <f t="shared" si="15"/>
        <v xml:space="preserve"> </v>
      </c>
      <c r="AN57" s="179" t="str">
        <f t="shared" si="16"/>
        <v xml:space="preserve"> </v>
      </c>
    </row>
    <row r="58" spans="1:40" ht="15" thickBot="1" x14ac:dyDescent="0.4">
      <c r="U58" s="165" t="str">
        <f>Mon!U58</f>
        <v>(DRP)</v>
      </c>
      <c r="V58" s="35">
        <f t="shared" si="2"/>
        <v>3</v>
      </c>
      <c r="W58" s="36">
        <f>SUM(Mon!V58,Tue!V58)</f>
        <v>7</v>
      </c>
      <c r="X58" s="165" t="str">
        <f>Mon!U58</f>
        <v>(DRP)</v>
      </c>
      <c r="Y58" s="105">
        <f>SUM((COUNTIF($E$5:$F$55,$U58)),IF($T58&lt;&gt;0,(COUNTIF($E$5:$F$55,$T58))),IF($S58&lt;&gt;0,(COUNTIF($E$5:$F$55,$S58))))</f>
        <v>1</v>
      </c>
      <c r="Z58" s="23">
        <f>SUM(COUNTIF($G$5:$J$55,$U58),IF($T58&lt;&gt;0,(COUNTIF($G$5:$J$55,$T58))),IF($S58&lt;&gt;0,(COUNTIF($G$5:$J$55,$S58))))</f>
        <v>0</v>
      </c>
      <c r="AA58" s="23">
        <f>SUM(COUNTIF($K$5:$L$55,$U58),IF($T58&lt;&gt;0,(COUNTIF($K$5:$L$55,$T58))),IF($S58&lt;&gt;0,(COUNTIF($K$5:$L$55,$S58))))</f>
        <v>1</v>
      </c>
      <c r="AB58" s="24">
        <f>SUM(COUNTIF($M$5:$N$55,$U58),IF($T58&lt;&gt;0,(COUNTIF($M$5:$N$55,$T58))),IF($S58&lt;&gt;0,(COUNTIF($M$5:$N$55,$S58))))</f>
        <v>1</v>
      </c>
      <c r="AC58" s="25" t="str">
        <f t="shared" si="18"/>
        <v xml:space="preserve"> </v>
      </c>
      <c r="AD58" s="26" t="str">
        <f t="shared" si="19"/>
        <v xml:space="preserve"> </v>
      </c>
      <c r="AE58" s="26" t="str">
        <f t="shared" si="20"/>
        <v xml:space="preserve"> </v>
      </c>
      <c r="AF58" s="27" t="str">
        <f t="shared" si="21"/>
        <v xml:space="preserve"> </v>
      </c>
      <c r="AG58" s="178" t="str">
        <f t="shared" si="9"/>
        <v xml:space="preserve"> </v>
      </c>
      <c r="AH58" s="177" t="str">
        <f t="shared" si="10"/>
        <v xml:space="preserve"> </v>
      </c>
      <c r="AI58" s="177" t="str">
        <f t="shared" si="11"/>
        <v xml:space="preserve"> </v>
      </c>
      <c r="AJ58" s="180" t="str">
        <f t="shared" si="12"/>
        <v xml:space="preserve"> </v>
      </c>
      <c r="AK58" s="178" t="str">
        <f t="shared" si="13"/>
        <v>BM (L)</v>
      </c>
      <c r="AL58" s="177" t="str">
        <f t="shared" si="14"/>
        <v xml:space="preserve"> </v>
      </c>
      <c r="AM58" s="177" t="str">
        <f t="shared" si="15"/>
        <v>BM (H)</v>
      </c>
      <c r="AN58" s="179" t="str">
        <f t="shared" si="16"/>
        <v>BM (M)</v>
      </c>
    </row>
    <row r="59" spans="1:40" ht="15" thickBot="1" x14ac:dyDescent="0.4">
      <c r="U59" s="165" t="str">
        <f>Mon!U59</f>
        <v>(NEW)</v>
      </c>
      <c r="V59" s="35">
        <f t="shared" ref="V59" si="23">SUM(COUNTIF($E$5:$N$55,U59),IF(T59&lt;&gt;0,COUNTIF($E$5:$N$55,T59),0),IF(S59&lt;&gt;0,COUNTIF($E$5:$N$55,S59),0))</f>
        <v>2</v>
      </c>
      <c r="W59" s="36">
        <f>SUM(Mon!V59,Tue!V59)</f>
        <v>3</v>
      </c>
      <c r="Y59" s="105">
        <f>SUM((COUNTIF($E$5:$F$55,$U59)),IF($T59&lt;&gt;0,(COUNTIF($E$5:$F$55,$T59))),IF($S59&lt;&gt;0,(COUNTIF($E$5:$F$55,$S59))))</f>
        <v>1</v>
      </c>
      <c r="Z59" s="23">
        <f>SUM(COUNTIF($G$5:$J$55,$U59),IF($T59&lt;&gt;0,(COUNTIF($G$5:$J$55,$T59))),IF($S59&lt;&gt;0,(COUNTIF($G$5:$J$55,$S59))))</f>
        <v>0</v>
      </c>
      <c r="AA59" s="23">
        <f>SUM(COUNTIF($K$5:$L$55,$U59),IF($T59&lt;&gt;0,(COUNTIF($K$5:$L$55,$T59))),IF($S59&lt;&gt;0,(COUNTIF($K$5:$L$55,$S59))))</f>
        <v>1</v>
      </c>
      <c r="AB59" s="24">
        <f>SUM(COUNTIF($M$5:$N$55,$U59),IF($T59&lt;&gt;0,(COUNTIF($M$5:$N$55,$T59))),IF($S59&lt;&gt;0,(COUNTIF($M$5:$N$55,$S59))))</f>
        <v>0</v>
      </c>
      <c r="AC59" s="25" t="str">
        <f t="shared" si="18"/>
        <v xml:space="preserve"> </v>
      </c>
      <c r="AD59" s="26" t="str">
        <f t="shared" si="19"/>
        <v xml:space="preserve"> </v>
      </c>
      <c r="AE59" s="26" t="str">
        <f t="shared" si="20"/>
        <v xml:space="preserve"> </v>
      </c>
      <c r="AF59" s="27" t="str">
        <f t="shared" si="21"/>
        <v xml:space="preserve"> </v>
      </c>
      <c r="AG59" s="178" t="str">
        <f t="shared" si="9"/>
        <v xml:space="preserve">EVS </v>
      </c>
      <c r="AH59" s="177" t="str">
        <f t="shared" si="10"/>
        <v xml:space="preserve"> </v>
      </c>
      <c r="AI59" s="177" t="str">
        <f t="shared" si="11"/>
        <v>EVS (I)</v>
      </c>
      <c r="AJ59" s="180" t="str">
        <f t="shared" si="12"/>
        <v xml:space="preserve"> </v>
      </c>
      <c r="AK59" s="178" t="str">
        <f t="shared" si="13"/>
        <v xml:space="preserve"> </v>
      </c>
      <c r="AL59" s="177" t="str">
        <f t="shared" si="14"/>
        <v xml:space="preserve"> </v>
      </c>
      <c r="AM59" s="177" t="str">
        <f t="shared" si="15"/>
        <v xml:space="preserve"> </v>
      </c>
      <c r="AN59" s="179" t="str">
        <f t="shared" si="16"/>
        <v xml:space="preserve"> </v>
      </c>
    </row>
    <row r="60" spans="1:40" ht="15" thickBot="1" x14ac:dyDescent="0.4">
      <c r="U60" s="165">
        <f>Mon!U60</f>
        <v>0</v>
      </c>
      <c r="V60" s="35">
        <f t="shared" ref="V60:V62" si="24">SUM(COUNTIF($E$5:$N$55,U60),IF(T60&lt;&gt;0,COUNTIF($E$5:$N$55,T60),0),IF(S60&lt;&gt;0,COUNTIF($E$5:$N$55,S60),0))</f>
        <v>0</v>
      </c>
      <c r="W60" s="36">
        <f>SUM(Mon!V60,Tue!V60)</f>
        <v>0</v>
      </c>
      <c r="Y60" s="105">
        <f t="shared" ref="Y60:Y62" si="25">SUM((COUNTIF($E$5:$F$55,$U60)),IF($T60&lt;&gt;0,(COUNTIF($E$5:$F$55,$T60))),IF($S60&lt;&gt;0,(COUNTIF($E$5:$F$55,$S60))))</f>
        <v>0</v>
      </c>
      <c r="Z60" s="23">
        <f t="shared" ref="Z60:Z62" si="26">SUM(COUNTIF($G$5:$J$55,$U60),IF($T60&lt;&gt;0,(COUNTIF($G$5:$J$55,$T60))),IF($S60&lt;&gt;0,(COUNTIF($G$5:$J$55,$S60))))</f>
        <v>0</v>
      </c>
      <c r="AA60" s="23">
        <f t="shared" ref="AA60:AA62" si="27">SUM(COUNTIF($K$5:$L$55,$U60),IF($T60&lt;&gt;0,(COUNTIF($K$5:$L$55,$T60))),IF($S60&lt;&gt;0,(COUNTIF($K$5:$L$55,$S60))))</f>
        <v>0</v>
      </c>
      <c r="AB60" s="24">
        <f t="shared" ref="AB60:AB62" si="28">SUM(COUNTIF($M$5:$N$55,$U60),IF($T60&lt;&gt;0,(COUNTIF($M$5:$N$55,$T60))),IF($S60&lt;&gt;0,(COUNTIF($M$5:$N$55,$S60))))</f>
        <v>0</v>
      </c>
      <c r="AC60" s="25" t="str">
        <f t="shared" si="18"/>
        <v xml:space="preserve"> </v>
      </c>
      <c r="AD60" s="26" t="str">
        <f t="shared" si="19"/>
        <v xml:space="preserve"> </v>
      </c>
      <c r="AE60" s="26" t="str">
        <f t="shared" si="20"/>
        <v xml:space="preserve"> </v>
      </c>
      <c r="AF60" s="27" t="str">
        <f t="shared" si="21"/>
        <v xml:space="preserve"> </v>
      </c>
      <c r="AG60" s="102" t="str">
        <f t="shared" ref="AG60:AG62" si="29">CONCATENATE(IF($X60=$F$21,$E$21,IF($X60=$F$22,$E$22,IF($X60=$F$23,$E$23,IF($X60=$F$24,$E$24,IF($X60=$F$25,$E$25,IF($X60=$F$26,$E$26,IF($X60=$F$27,$E$27,IF($X60=$F$28,$E$28,IF($X60=$F$29,$E$29,IF($X60=$F$30,$E$30,IF($X60=$F$31,$E$31,IF($X60=$F$32,$E$32,IF($X60=$F$33,$E$33,"")))))))))))))&amp;" "&amp;(IF($X60=$F$21,"(A)",IF($X60=$F$22,"(B)",IF($X60=$F$23,"(C)",IF($X60=$F$24,"(D)",IF($X60=$F$25,"(E)",IF($X60=$F$26,"(F)",IF($X60=$F$27,"(G)",IF($X60=$F$28,"(H)",IF($X60=$F$29,"(I)",IF($X60=$F$30,"(J)",IF($X60=$F$31,"(K)",IF($X60=$F$32,"(L)",IF($X60=$F$33,"(M)","")))))))))))))))</f>
        <v xml:space="preserve"> </v>
      </c>
      <c r="AH60" s="103" t="str">
        <f t="shared" ref="AH60:AH62" si="30">CONCATENATE(IF($X60=$H$21,$G$21,IF($X60=$H$22,$G$22,IF($X60=$H$23,$G$23,IF($X60=$H$24,$G$24,IF($X60=$H$25,$G$25,IF($X60=$H$26,$G$26,IF($X60=$H$27,$G$27,IF($X60=$H$28,$G$28,IF($X60=$H$29,$G$29,IF($X60=$H$30,$G$30,IF($X60=$H$31,$G$31,IF($X60=$H$32,$G$32,IF($X60=$H$33,$G$33,"")))))))))))))&amp;" "&amp;(IF($X60=$H$21,"(A)",IF($X60=$H$22,"(B)",IF($X60=$H$23,"(C)",IF($X60=$H$24,"(D)",IF($X60=$H$25,"(E)",IF($X60=$H$26,"(F)",IF($X60=$H$27,"(G)",IF($X60=$H$28,"(H)",IF($X60=$H$29,"(I)",IF($X60=$H$30,"(J)",IF($X60=$H$31,"(K)",IF($X60=$H$32,"(L)",IF($X60=$H$33,"(M)","")))))))))))))))</f>
        <v xml:space="preserve"> </v>
      </c>
      <c r="AI60" s="103" t="str">
        <f t="shared" ref="AI60:AI62" si="31">CONCATENATE(IF($X60=$L$21,$K$21,IF($X60=$L$22,$K$22,IF($X60=$L$23,$K$23,IF($X60=$L$24,$K$24,IF($X60=$L$25,$K$25,IF($X60=$L$26,$K$26,IF($X60=$L$27,$K$27,IF($X60=$L$28,$K$28,IF($X60=$L$29,$K$29,IF($X60=$L$30,$K$30,IF($X60=$L$31,$K$31,IF($X60=$L$32,$K$32,IF($X60=$L$33,$K$33,"")))))))))))))&amp;" "&amp;IF($X60=$L$21,"(A)",IF($X60=$L$22,"(B)",IF($X60=$L$23,"(C)",IF($X60=$L$24,"(D)",IF($X60=$L$25,"(E)",IF($X60=$L$26,"(F)",IF($X60=$L$27,"(G)",IF($X60=$L$28,"(H)",IF($X60=$L$29,"(I)",IF($X60=$L$30,"(J)",IF($X60=$L$31,"(K)",IF($X60=$L$32,"(L)",IF($X60=$L$33,"(M)",""))))))))))))))</f>
        <v xml:space="preserve"> </v>
      </c>
      <c r="AJ60" s="104" t="str">
        <f t="shared" ref="AJ60:AJ62" si="32">CONCATENATE(IF($X60=$N$21,$M$21,IF($X60=$N$22,$M$22,IF($X60=$N$23,$M$23,IF($X60=$N$24,$M$24,IF($X60=$N$25,$M$25,IF($X60=$N$26,$M$26,IF($X60=$N$27,$M$27,IF($X60=$N$28,$M$28,IF($X60=$N$29,$M$29,IF($X60=$N$30,$M$30,IF($X60=$N$31,$M$31,IF($X60=$N$32,$M$32,IF($X60=$N$33,$M$33,"")))))))))))))&amp;" "&amp;(IF($X60=$N$21,"(A)",IF($X60=$N$22,"(B)",IF($X60=$N$23,"(C)",IF($X60=$N$24,"(D)",IF($X60=$N$25,"(E)",IF($X60=$N$26,"(F)",IF($X60=$N$27,"(G)",IF($X60=$N$28,"(H)",IF($X60=$N$29,"(I)",IF($X60=$N$30,"(J)",IF($X60=$N$31,"(K)",IF($X60=$N$32,"(L)",IF($X60=$N$33,"(M)","")))))))))))))))</f>
        <v xml:space="preserve"> </v>
      </c>
      <c r="AK60" s="25" t="str">
        <f t="shared" ref="AK60:AK62" si="33">CONCATENATE(IF($U60=$F$37,$E$37,IF($U60=$F$38,$E$38,IF($U60=$F$39,$E$39,IF($U60=$F$40,$E$40,IF($U60=$F$41,$E$41,IF($U60=$F$42,$E$42,IF($U60=$F$43,$E$43,IF($U60=$F$44,$E$44,IF($U60=$F$45,$E$45,IF($U60=$F$46,$E$46,IF($U60=$F$47,$E$47,IF($U60=$F$48,$E$48,IF($U60=$F$49,$E$49,"")))))))))))))&amp;" "&amp;IF($U60=$F$37,"(A)",IF($U60=$F$38,"(B)",IF($U60=$F$39,"(C)",IF($U60=$F$40,"(D)",IF($U60=$F$41,"(E)",IF($U60=$F$42,"(F)",IF($U60=$F$43,"(G)",IF($U60=$F$44,"(H)",IF($U60=$F$45,"(I)",IF($U60=$F$46,"(J)",IF($U60=$F$47,"(K)",IF($U60=$F$48,"(L)",IF($U60=$F$49,"(M)",""))))))))))))))</f>
        <v>11:45-12:35 (A)</v>
      </c>
      <c r="AL60" s="26" t="str">
        <f t="shared" ref="AL60:AL62" si="34">CONCATENATE(IF($U60=$H$37,$G$37,IF($U60=$H$38,$G$38,IF($U60=$H$39,$G$39,IF($U60=$H$40,$G$40,IF($U60=$H$41,$G$41,IF($U60=$H$42,$G$42,IF($U60=$H$43,$G$43,IF($U60=$H$44,$G$44,IF($U60=$H$45,$G$45,IF($U60=$H$46,$G$46,IF($U60=$H$47,$G$47,IF($U60=$H$48,$G$48,IF($U60=$H$49,$G$49,"")))))))))))))&amp;" "&amp;IF($U60=$H$37,"(A)",IF($U60=$H$38,"(B)",IF($U60=$H$39,"(C)",IF($U60=$H$40,"(D)",IF($U60=$H$41,"(E)",IF($U60=$H$42,"(F)",IF($U60=$H$43,"(G)",IF($U60=$H$44,"(H)",IF($U60=$H$45,"(I)",IF($U60=$H$46,"(J)",IF($U60=$H$47,"(K)",IF($U60=$H$48,"(L)",IF($U60=$H$49,"(M)",""))))))))))))))</f>
        <v>12:35-1:25 (A)</v>
      </c>
      <c r="AM60" s="26" t="str">
        <f t="shared" ref="AM60:AM62" si="35">CONCATENATE(IF($U60=$L$37,$K$37,IF($U60=$L$38,$K$38,IF($U60=$L$39,$K$39,IF($U60=$L$40,$K$40,IF($U60=$L$41,$K$41,IF($U60=$L$42,$K$42,IF($U60=$L$43,$K$43,IF($U60=$L$44,$K$44,IF($U60=$L$45,$K$45,IF($U60=$L$46,$K$46,IF($U60=$L$47,$K$47,IF($U60=$L$48,$K$48,IF($U60=$L$49,$K$49,"")))))))))))))&amp;" "&amp;IF($U60=$L$37,"(A)",IF($U60=$L$38,"(B)",IF($U60=$L$39,"(C)",IF($U60=$L$40,"(D)",IF($U60=$L$41,"(E)",IF($U60=$L$42,"(F)",IF($U60=$L$43,"(G)",IF($U60=$L$44,"(H)",IF($U60=$L$45,"(I)",IF($U60=$L$46,"(J)",IF($U60=$L$47,"(K)",IF($U60=$L$48,"(L)",IF($U60=$L$49,"(M)",""))))))))))))))</f>
        <v>2:05-2:55 (A)</v>
      </c>
      <c r="AN60" s="27" t="str">
        <f t="shared" ref="AN60:AN62" si="36">CONCATENATE(IF($U60=$N$37,$M$37,IF($U60=$N$38,$M$38,IF($U60=$N$39,$M$39,IF($U60=$N$40,$M$40,IF($U60=$N$41,$M$41,IF($U60=$N$42,$M$42,IF($U60=$N$43,$M$43,IF($U60=$N$44,$M$44,IF($U60=$N$45,$M$45,IF($U60=$N$46,$M$46,IF($U60=$N$47,$M$47,IF($U60=$N$48,$M$48,IF($U60=$N$49,$M$49,"")))))))))))))&amp;" "&amp;IF($U60=$N$37,"(A)",IF($U60=$N$38,"(B)",IF($U60=$N$39,"(C)",IF($U60=$N$40,"(D)",IF($U60=$N$41,"(E)",IF($U60=$N$42,"(F)",IF($U60=$N$43,"(G)",IF($U60=$N$44,"(H)",IF($U60=$N$45,"(I)",IF($U60=$N$46,"(J)",IF($U60=$N$47,"(K)",IF($U60=$N$48,"(L)",IF($U60=$N$49,"(M)",""))))))))))))))</f>
        <v>2:55-3:45 (A)</v>
      </c>
    </row>
    <row r="61" spans="1:40" ht="15" thickBot="1" x14ac:dyDescent="0.4">
      <c r="U61" s="165">
        <f>Mon!U61</f>
        <v>0</v>
      </c>
      <c r="V61" s="35">
        <f t="shared" si="24"/>
        <v>0</v>
      </c>
      <c r="W61" s="36">
        <f>SUM(Mon!V61,Tue!V61)</f>
        <v>0</v>
      </c>
      <c r="Y61" s="105">
        <f t="shared" si="25"/>
        <v>0</v>
      </c>
      <c r="Z61" s="23">
        <f t="shared" si="26"/>
        <v>0</v>
      </c>
      <c r="AA61" s="23">
        <f t="shared" si="27"/>
        <v>0</v>
      </c>
      <c r="AB61" s="24">
        <f t="shared" si="28"/>
        <v>0</v>
      </c>
      <c r="AC61" s="25" t="str">
        <f t="shared" si="18"/>
        <v xml:space="preserve"> </v>
      </c>
      <c r="AD61" s="26" t="str">
        <f t="shared" si="19"/>
        <v xml:space="preserve"> </v>
      </c>
      <c r="AE61" s="26" t="str">
        <f t="shared" si="20"/>
        <v xml:space="preserve"> </v>
      </c>
      <c r="AF61" s="27" t="str">
        <f t="shared" si="21"/>
        <v xml:space="preserve"> </v>
      </c>
      <c r="AG61" s="102" t="str">
        <f t="shared" si="29"/>
        <v xml:space="preserve"> </v>
      </c>
      <c r="AH61" s="103" t="str">
        <f t="shared" si="30"/>
        <v xml:space="preserve"> </v>
      </c>
      <c r="AI61" s="103" t="str">
        <f t="shared" si="31"/>
        <v xml:space="preserve"> </v>
      </c>
      <c r="AJ61" s="104" t="str">
        <f t="shared" si="32"/>
        <v xml:space="preserve"> </v>
      </c>
      <c r="AK61" s="25" t="str">
        <f t="shared" si="33"/>
        <v>11:45-12:35 (A)</v>
      </c>
      <c r="AL61" s="26" t="str">
        <f t="shared" si="34"/>
        <v>12:35-1:25 (A)</v>
      </c>
      <c r="AM61" s="26" t="str">
        <f t="shared" si="35"/>
        <v>2:05-2:55 (A)</v>
      </c>
      <c r="AN61" s="27" t="str">
        <f t="shared" si="36"/>
        <v>2:55-3:45 (A)</v>
      </c>
    </row>
    <row r="62" spans="1:40" x14ac:dyDescent="0.35">
      <c r="U62" s="165">
        <f>Mon!U62</f>
        <v>0</v>
      </c>
      <c r="V62" s="35">
        <f t="shared" si="24"/>
        <v>0</v>
      </c>
      <c r="W62" s="36">
        <f>SUM(Mon!V62,Tue!V62)</f>
        <v>0</v>
      </c>
      <c r="Y62" s="105">
        <f t="shared" si="25"/>
        <v>0</v>
      </c>
      <c r="Z62" s="23">
        <f t="shared" si="26"/>
        <v>0</v>
      </c>
      <c r="AA62" s="23">
        <f t="shared" si="27"/>
        <v>0</v>
      </c>
      <c r="AB62" s="24">
        <f t="shared" si="28"/>
        <v>0</v>
      </c>
      <c r="AC62" s="25" t="str">
        <f t="shared" si="18"/>
        <v xml:space="preserve"> </v>
      </c>
      <c r="AD62" s="26" t="str">
        <f t="shared" si="19"/>
        <v xml:space="preserve"> </v>
      </c>
      <c r="AE62" s="26" t="str">
        <f t="shared" si="20"/>
        <v xml:space="preserve"> </v>
      </c>
      <c r="AF62" s="27" t="str">
        <f t="shared" si="21"/>
        <v xml:space="preserve"> </v>
      </c>
      <c r="AG62" s="102" t="str">
        <f t="shared" si="29"/>
        <v xml:space="preserve"> </v>
      </c>
      <c r="AH62" s="103" t="str">
        <f t="shared" si="30"/>
        <v xml:space="preserve"> </v>
      </c>
      <c r="AI62" s="103" t="str">
        <f t="shared" si="31"/>
        <v xml:space="preserve"> </v>
      </c>
      <c r="AJ62" s="104" t="str">
        <f t="shared" si="32"/>
        <v xml:space="preserve"> </v>
      </c>
      <c r="AK62" s="25" t="str">
        <f t="shared" si="33"/>
        <v>11:45-12:35 (A)</v>
      </c>
      <c r="AL62" s="26" t="str">
        <f t="shared" si="34"/>
        <v>12:35-1:25 (A)</v>
      </c>
      <c r="AM62" s="26" t="str">
        <f t="shared" si="35"/>
        <v>2:05-2:55 (A)</v>
      </c>
      <c r="AN62" s="27" t="str">
        <f t="shared" si="36"/>
        <v>2:55-3:45 (A)</v>
      </c>
    </row>
    <row r="71" spans="1:30" x14ac:dyDescent="0.35">
      <c r="A71" s="361" t="s">
        <v>4</v>
      </c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3"/>
      <c r="AC71" s="323" t="s">
        <v>87</v>
      </c>
      <c r="AD71" s="324"/>
    </row>
    <row r="72" spans="1:30" x14ac:dyDescent="0.35">
      <c r="A72" s="341" t="s">
        <v>161</v>
      </c>
      <c r="B72" s="342"/>
      <c r="C72" s="341" t="s">
        <v>162</v>
      </c>
      <c r="D72" s="342"/>
      <c r="E72" s="341" t="s">
        <v>163</v>
      </c>
      <c r="F72" s="342"/>
      <c r="G72" s="341" t="s">
        <v>164</v>
      </c>
      <c r="H72" s="342"/>
      <c r="I72" s="341" t="s">
        <v>165</v>
      </c>
      <c r="J72" s="342"/>
      <c r="K72" s="341" t="s">
        <v>166</v>
      </c>
      <c r="L72" s="342"/>
      <c r="M72" s="341" t="s">
        <v>167</v>
      </c>
      <c r="N72" s="342"/>
      <c r="O72" s="341" t="s">
        <v>168</v>
      </c>
      <c r="P72" s="342"/>
      <c r="Q72" s="341" t="s">
        <v>169</v>
      </c>
      <c r="R72" s="342"/>
      <c r="S72" s="341" t="s">
        <v>170</v>
      </c>
      <c r="T72" s="342"/>
      <c r="U72" s="341" t="s">
        <v>171</v>
      </c>
      <c r="V72" s="342"/>
      <c r="W72" s="341" t="s">
        <v>172</v>
      </c>
      <c r="X72" s="342"/>
      <c r="Y72" s="341" t="s">
        <v>173</v>
      </c>
      <c r="Z72" s="342"/>
      <c r="AA72" s="341" t="s">
        <v>174</v>
      </c>
      <c r="AB72" s="342"/>
      <c r="AC72" s="318" t="s">
        <v>175</v>
      </c>
      <c r="AD72" s="172" t="s">
        <v>176</v>
      </c>
    </row>
    <row r="73" spans="1:30" x14ac:dyDescent="0.35">
      <c r="A73" s="166" t="s">
        <v>175</v>
      </c>
      <c r="B73" s="167" t="s">
        <v>176</v>
      </c>
      <c r="C73" s="166" t="s">
        <v>175</v>
      </c>
      <c r="D73" s="167" t="s">
        <v>176</v>
      </c>
      <c r="E73" s="166" t="s">
        <v>175</v>
      </c>
      <c r="F73" s="167" t="s">
        <v>176</v>
      </c>
      <c r="G73" s="166" t="s">
        <v>175</v>
      </c>
      <c r="H73" s="167" t="s">
        <v>176</v>
      </c>
      <c r="I73" s="166" t="s">
        <v>175</v>
      </c>
      <c r="J73" s="167" t="s">
        <v>176</v>
      </c>
      <c r="K73" s="166" t="s">
        <v>175</v>
      </c>
      <c r="L73" s="167" t="s">
        <v>176</v>
      </c>
      <c r="M73" s="166" t="s">
        <v>175</v>
      </c>
      <c r="N73" s="167" t="s">
        <v>176</v>
      </c>
      <c r="O73" s="166" t="s">
        <v>175</v>
      </c>
      <c r="P73" s="167" t="s">
        <v>176</v>
      </c>
      <c r="Q73" s="166" t="s">
        <v>175</v>
      </c>
      <c r="R73" s="167" t="s">
        <v>176</v>
      </c>
      <c r="S73" s="166" t="s">
        <v>175</v>
      </c>
      <c r="T73" s="167" t="s">
        <v>176</v>
      </c>
      <c r="U73" s="166" t="s">
        <v>175</v>
      </c>
      <c r="V73" s="172" t="s">
        <v>176</v>
      </c>
      <c r="W73" s="166" t="s">
        <v>175</v>
      </c>
      <c r="X73" s="167" t="s">
        <v>176</v>
      </c>
      <c r="Y73" s="166" t="s">
        <v>175</v>
      </c>
      <c r="Z73" s="167" t="s">
        <v>176</v>
      </c>
      <c r="AA73" s="166" t="s">
        <v>175</v>
      </c>
      <c r="AB73" s="167" t="s">
        <v>176</v>
      </c>
      <c r="AC73" s="315" t="s">
        <v>98</v>
      </c>
      <c r="AD73" s="315" t="s">
        <v>157</v>
      </c>
    </row>
    <row r="74" spans="1:30" x14ac:dyDescent="0.35">
      <c r="A74" s="174" t="str">
        <f>Mon!A74</f>
        <v>(SC)</v>
      </c>
      <c r="B74" s="170" t="str">
        <f>Mon!B74</f>
        <v>AE</v>
      </c>
      <c r="C74" s="174" t="str">
        <f>Mon!C74</f>
        <v>(SA)</v>
      </c>
      <c r="D74" s="170" t="str">
        <f>Mon!D74</f>
        <v>AE</v>
      </c>
      <c r="E74" s="169" t="str">
        <f>Mon!E74</f>
        <v>(PR)</v>
      </c>
      <c r="F74" s="170" t="str">
        <f>Mon!F74</f>
        <v>AE</v>
      </c>
      <c r="G74" s="174" t="str">
        <f>Mon!G74</f>
        <v>(PR)</v>
      </c>
      <c r="H74" s="170" t="str">
        <f>Mon!H74</f>
        <v>AE</v>
      </c>
      <c r="I74" s="169" t="str">
        <f>Mon!I74</f>
        <v>(SC)</v>
      </c>
      <c r="J74" s="170" t="str">
        <f>Mon!J74</f>
        <v>AE</v>
      </c>
      <c r="K74" s="174" t="str">
        <f>Mon!K74</f>
        <v>(SC)</v>
      </c>
      <c r="L74" s="170" t="str">
        <f>Mon!L74</f>
        <v>AE</v>
      </c>
      <c r="M74" s="174" t="str">
        <f>Mon!M74</f>
        <v>(SN)</v>
      </c>
      <c r="N74" s="170" t="str">
        <f>Mon!N74</f>
        <v>AE</v>
      </c>
      <c r="O74" s="169" t="str">
        <f>Mon!O74</f>
        <v>(SN)</v>
      </c>
      <c r="P74" s="170" t="str">
        <f>Mon!P74</f>
        <v>AE</v>
      </c>
      <c r="Q74" s="174" t="str">
        <f>Mon!Q74</f>
        <v>(SV)</v>
      </c>
      <c r="R74" s="170" t="str">
        <f>Mon!R74</f>
        <v>HIN</v>
      </c>
      <c r="S74" s="169" t="str">
        <f>Mon!S74</f>
        <v>(SV)</v>
      </c>
      <c r="T74" s="89" t="str">
        <f>Mon!T74</f>
        <v>HIN</v>
      </c>
      <c r="U74" s="183" t="str">
        <f>Mon!U74</f>
        <v>(SV)</v>
      </c>
      <c r="V74" s="89" t="str">
        <f>Mon!V74</f>
        <v>HIN</v>
      </c>
      <c r="W74" s="184" t="str">
        <f>Mon!W74</f>
        <v>(SV)</v>
      </c>
      <c r="X74" s="170" t="str">
        <f>Mon!X74</f>
        <v>HIN</v>
      </c>
      <c r="Y74" s="8" t="str">
        <f>Mon!Y74</f>
        <v>(HEM)</v>
      </c>
      <c r="Z74" s="170" t="str">
        <f>Mon!Z74</f>
        <v>KAN</v>
      </c>
      <c r="AA74" s="8" t="str">
        <f>Mon!AA74</f>
        <v>(RP)</v>
      </c>
      <c r="AB74" s="170" t="str">
        <f>Mon!AB74</f>
        <v>SAN</v>
      </c>
      <c r="AC74" s="315" t="s">
        <v>131</v>
      </c>
      <c r="AD74" s="315" t="s">
        <v>159</v>
      </c>
    </row>
    <row r="75" spans="1:30" x14ac:dyDescent="0.35">
      <c r="A75" s="169" t="str">
        <f>Mon!A75</f>
        <v>(SA)</v>
      </c>
      <c r="B75" s="170" t="str">
        <f>Mon!B75</f>
        <v>GE</v>
      </c>
      <c r="C75" s="169" t="str">
        <f>Mon!C75</f>
        <v>(PR)</v>
      </c>
      <c r="D75" s="170" t="str">
        <f>Mon!D75</f>
        <v>GE</v>
      </c>
      <c r="E75" s="169" t="str">
        <f>Mon!E75</f>
        <v>(SN)</v>
      </c>
      <c r="F75" s="170" t="str">
        <f>Mon!F75</f>
        <v>GE</v>
      </c>
      <c r="G75" s="169" t="str">
        <f>Mon!G75</f>
        <v>(SC)</v>
      </c>
      <c r="H75" s="170" t="str">
        <f>Mon!H75</f>
        <v>GE</v>
      </c>
      <c r="I75" s="174" t="str">
        <f>Mon!I75</f>
        <v>(CG)</v>
      </c>
      <c r="J75" s="170" t="str">
        <f>Mon!J75</f>
        <v>GE</v>
      </c>
      <c r="K75" s="169" t="str">
        <f>Mon!K75</f>
        <v>(PR)</v>
      </c>
      <c r="L75" s="170" t="str">
        <f>Mon!L75</f>
        <v>GE</v>
      </c>
      <c r="M75" s="169" t="str">
        <f>Mon!M75</f>
        <v>(SC)</v>
      </c>
      <c r="N75" s="170" t="str">
        <f>Mon!N75</f>
        <v>GE</v>
      </c>
      <c r="O75" s="169" t="str">
        <f>Mon!O75</f>
        <v>(SA)</v>
      </c>
      <c r="P75" s="170" t="str">
        <f>Mon!P75</f>
        <v>GE</v>
      </c>
      <c r="Q75" s="169" t="str">
        <f>Mon!Q75</f>
        <v>(CG)</v>
      </c>
      <c r="R75" s="170" t="str">
        <f>Mon!R75</f>
        <v>GE</v>
      </c>
      <c r="S75" s="169" t="str">
        <f>Mon!S75</f>
        <v>(SN)</v>
      </c>
      <c r="T75" s="170" t="str">
        <f>Mon!T75</f>
        <v>GE</v>
      </c>
      <c r="U75" s="169" t="str">
        <f>Mon!U75</f>
        <v>(SN)</v>
      </c>
      <c r="V75" s="88" t="str">
        <f>Mon!V75</f>
        <v>GE</v>
      </c>
      <c r="W75" s="185" t="str">
        <f>Mon!W75</f>
        <v>(PR)</v>
      </c>
      <c r="X75" s="170" t="str">
        <f>Mon!X75</f>
        <v>GE</v>
      </c>
      <c r="Y75" s="8" t="str">
        <f>Mon!Y75</f>
        <v>(SA)</v>
      </c>
      <c r="Z75" s="170" t="str">
        <f>Mon!Z75</f>
        <v>GE</v>
      </c>
      <c r="AA75" s="8" t="str">
        <f>Mon!AA75</f>
        <v>(SA)</v>
      </c>
      <c r="AB75" s="170" t="str">
        <f>Mon!AB75</f>
        <v>GE</v>
      </c>
      <c r="AC75" s="315" t="s">
        <v>94</v>
      </c>
      <c r="AD75" s="315" t="s">
        <v>177</v>
      </c>
    </row>
    <row r="76" spans="1:30" x14ac:dyDescent="0.35">
      <c r="A76" s="169" t="str">
        <f>Mon!A76</f>
        <v>(AW)</v>
      </c>
      <c r="B76" s="170" t="str">
        <f>Mon!B76</f>
        <v>BT</v>
      </c>
      <c r="C76" s="169" t="str">
        <f>Mon!C76</f>
        <v>(YL)</v>
      </c>
      <c r="D76" s="170" t="str">
        <f>Mon!D76</f>
        <v>BT</v>
      </c>
      <c r="E76" s="169" t="str">
        <f>Mon!E76</f>
        <v>(AW)</v>
      </c>
      <c r="F76" s="170" t="str">
        <f>Mon!F76</f>
        <v>BT</v>
      </c>
      <c r="G76" s="169" t="str">
        <f>Mon!G76</f>
        <v>(JAY)</v>
      </c>
      <c r="H76" s="170" t="str">
        <f>Mon!H76</f>
        <v>BT</v>
      </c>
      <c r="I76" s="169" t="str">
        <f>Mon!I76</f>
        <v>(JAY)</v>
      </c>
      <c r="J76" s="170" t="str">
        <f>Mon!J76</f>
        <v>BT</v>
      </c>
      <c r="K76" s="169" t="str">
        <f>Mon!K76</f>
        <v>(JAY)</v>
      </c>
      <c r="L76" s="170" t="str">
        <f>Mon!L76</f>
        <v>BT</v>
      </c>
      <c r="M76" s="169" t="str">
        <f>Mon!M76</f>
        <v>(AB)</v>
      </c>
      <c r="N76" s="170" t="str">
        <f>Mon!N76</f>
        <v>BT</v>
      </c>
      <c r="O76" s="169" t="str">
        <f>Mon!O76</f>
        <v>(AW)</v>
      </c>
      <c r="P76" s="170" t="str">
        <f>Mon!P76</f>
        <v>BT</v>
      </c>
      <c r="Q76" s="169" t="str">
        <f>Mon!Q76</f>
        <v>(JAY)</v>
      </c>
      <c r="R76" s="170" t="str">
        <f>Mon!R76</f>
        <v>BT</v>
      </c>
      <c r="S76" s="169" t="str">
        <f>Mon!S76</f>
        <v>(AB)</v>
      </c>
      <c r="T76" s="170" t="str">
        <f>Mon!T76</f>
        <v>BT</v>
      </c>
      <c r="U76" s="169" t="str">
        <f>Mon!U76</f>
        <v>(AW)</v>
      </c>
      <c r="V76" s="170" t="str">
        <f>Mon!V76</f>
        <v>BT</v>
      </c>
      <c r="W76" s="185" t="str">
        <f>Mon!W76</f>
        <v>(SE)</v>
      </c>
      <c r="X76" s="170" t="str">
        <f>Mon!X76</f>
        <v>BT</v>
      </c>
      <c r="Y76" s="8" t="str">
        <f>Mon!Y76</f>
        <v>(SE)</v>
      </c>
      <c r="Z76" s="170" t="str">
        <f>Mon!Z76</f>
        <v>BT</v>
      </c>
      <c r="AA76" s="8" t="str">
        <f>Mon!AA76</f>
        <v>(JAY)</v>
      </c>
      <c r="AB76" s="170" t="str">
        <f>Mon!AB76</f>
        <v>BT</v>
      </c>
      <c r="AC76" s="315" t="s">
        <v>77</v>
      </c>
      <c r="AD76" s="315" t="s">
        <v>179</v>
      </c>
    </row>
    <row r="77" spans="1:30" x14ac:dyDescent="0.35">
      <c r="A77" s="169" t="str">
        <f>Mon!A77</f>
        <v>(AS)</v>
      </c>
      <c r="B77" s="170" t="str">
        <f>Mon!B77</f>
        <v>BM</v>
      </c>
      <c r="C77" s="169" t="str">
        <f>Mon!C77</f>
        <v>(SE)</v>
      </c>
      <c r="D77" s="170" t="str">
        <f>Mon!D77</f>
        <v>BM</v>
      </c>
      <c r="E77" s="169" t="str">
        <f>Mon!E77</f>
        <v>(JAY)</v>
      </c>
      <c r="F77" s="170" t="str">
        <f>Mon!F77</f>
        <v>BM</v>
      </c>
      <c r="G77" s="169" t="str">
        <f>Mon!G77</f>
        <v>(DRP)</v>
      </c>
      <c r="H77" s="170" t="str">
        <f>Mon!H77</f>
        <v>BM</v>
      </c>
      <c r="I77" s="169" t="str">
        <f>Mon!I77</f>
        <v>(SE)</v>
      </c>
      <c r="J77" s="170" t="str">
        <f>Mon!J77</f>
        <v>BM</v>
      </c>
      <c r="K77" s="169" t="str">
        <f>Mon!K77</f>
        <v>(SE)</v>
      </c>
      <c r="L77" s="170" t="str">
        <f>Mon!L77</f>
        <v>BM</v>
      </c>
      <c r="M77" s="169" t="str">
        <f>Mon!M77</f>
        <v>(AG)</v>
      </c>
      <c r="N77" s="170" t="str">
        <f>Mon!N77</f>
        <v>BM</v>
      </c>
      <c r="O77" s="174" t="str">
        <f>Mon!O77</f>
        <v>(DRP)</v>
      </c>
      <c r="P77" s="170" t="str">
        <f>Mon!P77</f>
        <v>BM</v>
      </c>
      <c r="Q77" s="174" t="str">
        <f>Mon!Q77</f>
        <v>(DRP)</v>
      </c>
      <c r="R77" s="170" t="str">
        <f>Mon!R77</f>
        <v>BM</v>
      </c>
      <c r="S77" s="169" t="str">
        <f>Mon!S77</f>
        <v>(SE)</v>
      </c>
      <c r="T77" s="170" t="str">
        <f>Mon!T77</f>
        <v>BM</v>
      </c>
      <c r="U77" s="169" t="str">
        <f>Mon!U77</f>
        <v>(AG)</v>
      </c>
      <c r="V77" s="170" t="str">
        <f>Mon!V77</f>
        <v>BM</v>
      </c>
      <c r="W77" s="169" t="str">
        <f>Mon!W77</f>
        <v>(DRP)</v>
      </c>
      <c r="X77" s="170" t="str">
        <f>Mon!X77</f>
        <v>BM</v>
      </c>
      <c r="Y77" s="8" t="str">
        <f>Mon!Y77</f>
        <v>(DRP)</v>
      </c>
      <c r="Z77" s="170" t="str">
        <f>Mon!Z77</f>
        <v>BM</v>
      </c>
      <c r="AA77" s="8" t="str">
        <f>Mon!AA77</f>
        <v>(AG)</v>
      </c>
      <c r="AB77" s="170" t="str">
        <f>Mon!AB77</f>
        <v>BM</v>
      </c>
      <c r="AC77" s="315" t="s">
        <v>153</v>
      </c>
      <c r="AD77" s="315" t="s">
        <v>158</v>
      </c>
    </row>
    <row r="78" spans="1:30" x14ac:dyDescent="0.35">
      <c r="A78" s="169" t="str">
        <f>Mon!A78</f>
        <v>(MK)</v>
      </c>
      <c r="B78" s="170" t="str">
        <f>Mon!B78</f>
        <v>FA</v>
      </c>
      <c r="C78" s="169" t="str">
        <f>Mon!C78</f>
        <v>(VIN)</v>
      </c>
      <c r="D78" s="170" t="str">
        <f>Mon!D78</f>
        <v>FA</v>
      </c>
      <c r="E78" s="169" t="str">
        <f>Mon!E78</f>
        <v>(MK)</v>
      </c>
      <c r="F78" s="170" t="str">
        <f>Mon!F78</f>
        <v>FA</v>
      </c>
      <c r="G78" s="169" t="str">
        <f>Mon!G78</f>
        <v>Y</v>
      </c>
      <c r="H78" s="170" t="str">
        <f>Mon!H78</f>
        <v>FA</v>
      </c>
      <c r="I78" s="169" t="str">
        <f>Mon!I78</f>
        <v>x</v>
      </c>
      <c r="J78" s="170" t="str">
        <f>Mon!J78</f>
        <v>FA</v>
      </c>
      <c r="K78" s="169" t="str">
        <f>Mon!K78</f>
        <v>X</v>
      </c>
      <c r="L78" s="170" t="str">
        <f>Mon!L78</f>
        <v>FA</v>
      </c>
      <c r="M78" s="169" t="str">
        <f>Mon!M78</f>
        <v>(VIN)</v>
      </c>
      <c r="N78" s="170" t="str">
        <f>Mon!N78</f>
        <v>FA</v>
      </c>
      <c r="O78" s="169" t="str">
        <f>Mon!O78</f>
        <v>(MK)</v>
      </c>
      <c r="P78" s="170" t="str">
        <f>Mon!P78</f>
        <v>FA</v>
      </c>
      <c r="Q78" s="169" t="str">
        <f>Mon!Q78</f>
        <v>(VIN)</v>
      </c>
      <c r="R78" s="170" t="str">
        <f>Mon!R78</f>
        <v>FA</v>
      </c>
      <c r="S78" s="169" t="str">
        <f>Mon!S78</f>
        <v>(VA)</v>
      </c>
      <c r="T78" s="170" t="str">
        <f>Mon!T78</f>
        <v>FA</v>
      </c>
      <c r="U78" s="169" t="str">
        <f>Mon!U78</f>
        <v>(VA)</v>
      </c>
      <c r="V78" s="170" t="str">
        <f>Mon!V78</f>
        <v>FA</v>
      </c>
      <c r="W78" s="169" t="str">
        <f>Mon!W78</f>
        <v>(VIN)</v>
      </c>
      <c r="X78" s="170" t="str">
        <f>Mon!X78</f>
        <v>FA</v>
      </c>
      <c r="Y78" s="165" t="str">
        <f>Mon!Y78</f>
        <v>(VIN)</v>
      </c>
      <c r="Z78" s="170" t="str">
        <f>Mon!Z78</f>
        <v>FA</v>
      </c>
      <c r="AA78" s="165" t="str">
        <f>Mon!AA78</f>
        <v>(MK)</v>
      </c>
      <c r="AB78" s="170" t="str">
        <f>Mon!AB78</f>
        <v>FA</v>
      </c>
      <c r="AC78" s="315" t="s">
        <v>127</v>
      </c>
      <c r="AD78" s="315" t="s">
        <v>156</v>
      </c>
    </row>
    <row r="79" spans="1:30" x14ac:dyDescent="0.35">
      <c r="A79" s="169" t="str">
        <f>Mon!A79</f>
        <v>(VRL)</v>
      </c>
      <c r="B79" s="170" t="str">
        <f>Mon!B79</f>
        <v>QT</v>
      </c>
      <c r="C79" s="169" t="str">
        <f>Mon!C79</f>
        <v>(BB)</v>
      </c>
      <c r="D79" s="170" t="str">
        <f>Mon!D79</f>
        <v>QT</v>
      </c>
      <c r="E79" s="169" t="str">
        <f>Mon!E79</f>
        <v>(BB)</v>
      </c>
      <c r="F79" s="170" t="str">
        <f>Mon!F79</f>
        <v>QT</v>
      </c>
      <c r="G79" s="169" t="str">
        <f>Mon!G79</f>
        <v>(VRL)</v>
      </c>
      <c r="H79" s="170" t="str">
        <f>Mon!H79</f>
        <v>QT</v>
      </c>
      <c r="I79" s="169" t="str">
        <f>Mon!I79</f>
        <v>(PM)</v>
      </c>
      <c r="J79" s="170" t="str">
        <f>Mon!J79</f>
        <v>QT</v>
      </c>
      <c r="K79" s="169" t="str">
        <f>Mon!K79</f>
        <v>(PM)</v>
      </c>
      <c r="L79" s="170" t="str">
        <f>Mon!L79</f>
        <v>QT</v>
      </c>
      <c r="M79" s="169" t="str">
        <f>Mon!M79</f>
        <v>(BB)</v>
      </c>
      <c r="N79" s="170" t="str">
        <f>Mon!N79</f>
        <v>QT</v>
      </c>
      <c r="O79" s="169" t="str">
        <f>Mon!O79</f>
        <v>(VRL)</v>
      </c>
      <c r="P79" s="170" t="str">
        <f>Mon!P79</f>
        <v>QT</v>
      </c>
      <c r="Q79" s="169" t="str">
        <f>Mon!Q79</f>
        <v>(PM)</v>
      </c>
      <c r="R79" s="170" t="str">
        <f>Mon!R79</f>
        <v>QT</v>
      </c>
      <c r="S79" s="169" t="str">
        <f>Mon!S79</f>
        <v>(BD)</v>
      </c>
      <c r="T79" s="170" t="str">
        <f>Mon!T79</f>
        <v>QT</v>
      </c>
      <c r="U79" s="169" t="str">
        <f>Mon!U79</f>
        <v>(BD)</v>
      </c>
      <c r="V79" s="170" t="str">
        <f>Mon!V79</f>
        <v>QT</v>
      </c>
      <c r="W79" s="169" t="s">
        <v>71</v>
      </c>
      <c r="X79" s="170" t="str">
        <f>Mon!X79</f>
        <v>QT</v>
      </c>
      <c r="Y79" s="165" t="s">
        <v>151</v>
      </c>
      <c r="Z79" s="170" t="str">
        <f>Mon!Z79</f>
        <v>QT</v>
      </c>
      <c r="AA79" s="165" t="str">
        <f>Mon!AA79</f>
        <v>X</v>
      </c>
      <c r="AB79" s="170" t="str">
        <f>Mon!AB79</f>
        <v>QT</v>
      </c>
      <c r="AC79" s="315" t="s">
        <v>144</v>
      </c>
      <c r="AD79" s="315"/>
    </row>
    <row r="80" spans="1:30" x14ac:dyDescent="0.35">
      <c r="A80" s="169"/>
      <c r="B80" s="170"/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0"/>
      <c r="O80" s="169"/>
      <c r="P80" s="170"/>
      <c r="Q80" s="169"/>
      <c r="R80" s="170"/>
      <c r="S80" s="169"/>
      <c r="T80" s="170"/>
      <c r="U80" s="169"/>
      <c r="V80" s="170"/>
      <c r="W80" s="169"/>
      <c r="X80" s="170"/>
      <c r="Y80" s="165"/>
      <c r="Z80" s="170"/>
      <c r="AA80" s="165"/>
      <c r="AB80" s="170"/>
      <c r="AC80" s="315" t="s">
        <v>85</v>
      </c>
      <c r="AD80" s="315"/>
    </row>
    <row r="81" spans="1:30" x14ac:dyDescent="0.35">
      <c r="A81" s="169"/>
      <c r="B81" s="170"/>
      <c r="C81" s="169"/>
      <c r="D81" s="170"/>
      <c r="E81" s="169"/>
      <c r="F81" s="170"/>
      <c r="G81" s="169"/>
      <c r="H81" s="170"/>
      <c r="I81" s="169"/>
      <c r="J81" s="170"/>
      <c r="K81" s="169"/>
      <c r="L81" s="170"/>
      <c r="M81" s="169"/>
      <c r="N81" s="170"/>
      <c r="O81" s="169"/>
      <c r="P81" s="170"/>
      <c r="Q81" s="169"/>
      <c r="R81" s="170"/>
      <c r="S81" s="169"/>
      <c r="T81" s="170"/>
      <c r="U81" s="169"/>
      <c r="V81" s="170"/>
      <c r="W81" s="169"/>
      <c r="X81" s="170"/>
      <c r="Y81" s="165"/>
      <c r="Z81" s="170"/>
      <c r="AA81" s="165"/>
      <c r="AB81" s="170"/>
      <c r="AC81" s="315"/>
      <c r="AD81" s="315"/>
    </row>
    <row r="82" spans="1:30" x14ac:dyDescent="0.35">
      <c r="A82" s="169"/>
      <c r="B82" s="170"/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0"/>
      <c r="O82" s="169"/>
      <c r="P82" s="170"/>
      <c r="Q82" s="169"/>
      <c r="R82" s="170"/>
      <c r="S82" s="169"/>
      <c r="T82" s="170"/>
      <c r="U82" s="169"/>
      <c r="V82" s="170"/>
      <c r="W82" s="169"/>
      <c r="X82" s="170"/>
      <c r="Y82" s="165"/>
      <c r="Z82" s="170"/>
      <c r="AA82" s="165"/>
      <c r="AB82" s="170"/>
      <c r="AC82" s="315"/>
      <c r="AD82" s="315"/>
    </row>
    <row r="83" spans="1:30" x14ac:dyDescent="0.35">
      <c r="A83" s="30"/>
      <c r="B83" s="31"/>
      <c r="C83" s="30"/>
      <c r="D83" s="31"/>
      <c r="E83" s="30"/>
      <c r="F83" s="31"/>
      <c r="G83" s="30"/>
      <c r="H83" s="31"/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0"/>
      <c r="V83" s="31"/>
      <c r="W83" s="30"/>
      <c r="X83" s="31"/>
      <c r="Y83" s="30"/>
      <c r="Z83" s="31"/>
      <c r="AA83" s="30"/>
      <c r="AB83" s="31"/>
      <c r="AC83" s="315"/>
      <c r="AD83" s="315"/>
    </row>
    <row r="85" spans="1:30" x14ac:dyDescent="0.35">
      <c r="A85" s="376" t="s">
        <v>3</v>
      </c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8"/>
      <c r="AC85" s="359" t="s">
        <v>184</v>
      </c>
      <c r="AD85" s="360"/>
    </row>
    <row r="86" spans="1:30" x14ac:dyDescent="0.35">
      <c r="A86" s="341" t="s">
        <v>161</v>
      </c>
      <c r="B86" s="342"/>
      <c r="C86" s="341" t="s">
        <v>162</v>
      </c>
      <c r="D86" s="342"/>
      <c r="E86" s="341" t="s">
        <v>163</v>
      </c>
      <c r="F86" s="342"/>
      <c r="G86" s="341" t="s">
        <v>164</v>
      </c>
      <c r="H86" s="342"/>
      <c r="I86" s="341" t="s">
        <v>165</v>
      </c>
      <c r="J86" s="342"/>
      <c r="K86" s="341" t="s">
        <v>166</v>
      </c>
      <c r="L86" s="342"/>
      <c r="M86" s="341" t="s">
        <v>167</v>
      </c>
      <c r="N86" s="342"/>
      <c r="O86" s="341" t="s">
        <v>168</v>
      </c>
      <c r="P86" s="342"/>
      <c r="Q86" s="341" t="s">
        <v>169</v>
      </c>
      <c r="R86" s="342"/>
      <c r="S86" s="341" t="s">
        <v>170</v>
      </c>
      <c r="T86" s="342"/>
      <c r="U86" s="341" t="s">
        <v>171</v>
      </c>
      <c r="V86" s="342"/>
      <c r="W86" s="341" t="s">
        <v>172</v>
      </c>
      <c r="X86" s="342"/>
      <c r="Y86" s="341" t="s">
        <v>173</v>
      </c>
      <c r="Z86" s="342"/>
      <c r="AA86" s="341" t="s">
        <v>174</v>
      </c>
      <c r="AB86" s="342"/>
      <c r="AC86" s="321" t="s">
        <v>113</v>
      </c>
      <c r="AD86" s="319"/>
    </row>
    <row r="87" spans="1:30" x14ac:dyDescent="0.35">
      <c r="A87" s="166" t="s">
        <v>175</v>
      </c>
      <c r="B87" s="167" t="s">
        <v>176</v>
      </c>
      <c r="C87" s="166" t="s">
        <v>175</v>
      </c>
      <c r="D87" s="167" t="s">
        <v>176</v>
      </c>
      <c r="E87" s="166" t="s">
        <v>175</v>
      </c>
      <c r="F87" s="167" t="s">
        <v>176</v>
      </c>
      <c r="G87" s="166" t="s">
        <v>175</v>
      </c>
      <c r="H87" s="167" t="s">
        <v>176</v>
      </c>
      <c r="I87" s="166" t="s">
        <v>175</v>
      </c>
      <c r="J87" s="167" t="s">
        <v>176</v>
      </c>
      <c r="K87" s="166" t="s">
        <v>175</v>
      </c>
      <c r="L87" s="167" t="s">
        <v>176</v>
      </c>
      <c r="M87" s="166" t="s">
        <v>175</v>
      </c>
      <c r="N87" s="167" t="s">
        <v>176</v>
      </c>
      <c r="O87" s="166" t="s">
        <v>175</v>
      </c>
      <c r="P87" s="167" t="s">
        <v>176</v>
      </c>
      <c r="Q87" s="166" t="s">
        <v>175</v>
      </c>
      <c r="R87" s="167" t="s">
        <v>176</v>
      </c>
      <c r="S87" s="166" t="s">
        <v>175</v>
      </c>
      <c r="T87" s="167" t="s">
        <v>176</v>
      </c>
      <c r="U87" s="166" t="s">
        <v>175</v>
      </c>
      <c r="V87" s="167" t="s">
        <v>176</v>
      </c>
      <c r="W87" s="166" t="s">
        <v>175</v>
      </c>
      <c r="X87" s="167" t="s">
        <v>176</v>
      </c>
      <c r="Y87" s="166" t="s">
        <v>175</v>
      </c>
      <c r="Z87" s="167" t="s">
        <v>176</v>
      </c>
      <c r="AA87" s="166" t="s">
        <v>175</v>
      </c>
      <c r="AB87" s="167" t="s">
        <v>176</v>
      </c>
      <c r="AC87" s="322" t="s">
        <v>98</v>
      </c>
      <c r="AD87" s="315" t="s">
        <v>129</v>
      </c>
    </row>
    <row r="88" spans="1:30" x14ac:dyDescent="0.35">
      <c r="A88" s="169" t="str">
        <f>Mon!A88</f>
        <v>(KM)</v>
      </c>
      <c r="B88" s="170" t="str">
        <f>Mon!B88</f>
        <v>MM</v>
      </c>
      <c r="C88" s="169" t="str">
        <f>Mon!C88</f>
        <v>(SRS)</v>
      </c>
      <c r="D88" s="170" t="str">
        <f>Mon!D88</f>
        <v>MM</v>
      </c>
      <c r="E88" s="169" t="str">
        <f>Mon!E88</f>
        <v>(SB)</v>
      </c>
      <c r="F88" s="170" t="str">
        <f>Mon!F88</f>
        <v>MM</v>
      </c>
      <c r="G88" s="169" t="str">
        <f>Mon!G88</f>
        <v>(SAK)</v>
      </c>
      <c r="H88" s="170" t="str">
        <f>Mon!H88</f>
        <v>MM</v>
      </c>
      <c r="I88" s="174" t="str">
        <f>Mon!I88</f>
        <v>(LV)</v>
      </c>
      <c r="J88" s="170" t="str">
        <f>Mon!J88</f>
        <v>MM</v>
      </c>
      <c r="K88" s="169" t="str">
        <f>Mon!K88</f>
        <v>(SB)</v>
      </c>
      <c r="L88" s="170" t="str">
        <f>Mon!L88</f>
        <v>MM</v>
      </c>
      <c r="M88" s="169" t="str">
        <f>Mon!M88</f>
        <v>(VAR)</v>
      </c>
      <c r="N88" s="170" t="str">
        <f>Mon!N88</f>
        <v>MM</v>
      </c>
      <c r="O88" s="169" t="str">
        <f>Mon!O88</f>
        <v>(SRS)</v>
      </c>
      <c r="P88" s="170" t="str">
        <f>Mon!P88</f>
        <v>MM</v>
      </c>
      <c r="Q88" s="174" t="str">
        <f>Mon!Q88</f>
        <v>(SAK)</v>
      </c>
      <c r="R88" s="170" t="str">
        <f>Mon!R88</f>
        <v>MM</v>
      </c>
      <c r="S88" s="169" t="str">
        <f>Mon!S88</f>
        <v>(SRS)</v>
      </c>
      <c r="T88" s="170" t="str">
        <f>Mon!T88</f>
        <v>MM</v>
      </c>
      <c r="U88" s="169" t="str">
        <f>Mon!U88</f>
        <v>(SAK)</v>
      </c>
      <c r="V88" s="170" t="str">
        <f>Mon!V88</f>
        <v>MM</v>
      </c>
      <c r="W88" s="169" t="str">
        <f>Mon!W88</f>
        <v>(SRS)</v>
      </c>
      <c r="X88" s="170" t="str">
        <f>Mon!X88</f>
        <v>MM</v>
      </c>
      <c r="Y88" s="169" t="str">
        <f>Mon!Y88</f>
        <v>(SB)</v>
      </c>
      <c r="Z88" s="170" t="str">
        <f>Mon!Z88</f>
        <v>MM</v>
      </c>
      <c r="AA88" s="169" t="str">
        <f>Mon!AA88</f>
        <v>(KM)</v>
      </c>
      <c r="AB88" s="170" t="str">
        <f>Mon!AB88</f>
        <v>MM</v>
      </c>
      <c r="AC88" s="322" t="s">
        <v>131</v>
      </c>
      <c r="AD88" s="315" t="s">
        <v>130</v>
      </c>
    </row>
    <row r="89" spans="1:30" x14ac:dyDescent="0.35">
      <c r="A89" s="169" t="str">
        <f>Mon!A89</f>
        <v>(RT)</v>
      </c>
      <c r="B89" s="170" t="str">
        <f>Mon!B89</f>
        <v>HR</v>
      </c>
      <c r="C89" s="169" t="str">
        <f>Mon!C89</f>
        <v>(BD)</v>
      </c>
      <c r="D89" s="170" t="str">
        <f>Mon!D89</f>
        <v>HR</v>
      </c>
      <c r="E89" s="174" t="str">
        <f>Mon!E89</f>
        <v>(AS)</v>
      </c>
      <c r="F89" s="170" t="str">
        <f>Mon!F89</f>
        <v>HR</v>
      </c>
      <c r="G89" s="169" t="str">
        <f>Mon!G89</f>
        <v>(SUH)</v>
      </c>
      <c r="H89" s="170" t="str">
        <f>Mon!H89</f>
        <v>HR</v>
      </c>
      <c r="I89" s="169" t="str">
        <f>Mon!I89</f>
        <v>(SUH)</v>
      </c>
      <c r="J89" s="170" t="str">
        <f>Mon!J89</f>
        <v>HR</v>
      </c>
      <c r="K89" s="169" t="str">
        <f>Mon!K89</f>
        <v>(BD)</v>
      </c>
      <c r="L89" s="170" t="str">
        <f>Mon!L89</f>
        <v>HR</v>
      </c>
      <c r="M89" s="174" t="str">
        <f>Mon!M89</f>
        <v>(AS)</v>
      </c>
      <c r="N89" s="170" t="str">
        <f>Mon!N89</f>
        <v>HR</v>
      </c>
      <c r="O89" s="174" t="str">
        <f>Mon!O89</f>
        <v>(RT)</v>
      </c>
      <c r="P89" s="170" t="str">
        <f>Mon!P89</f>
        <v>HR</v>
      </c>
      <c r="Q89" s="169" t="str">
        <f>Mon!Q89</f>
        <v>(SUH)</v>
      </c>
      <c r="R89" s="170" t="str">
        <f>Mon!R89</f>
        <v>HR</v>
      </c>
      <c r="S89" s="169" t="str">
        <f>Mon!S89</f>
        <v>(AS)</v>
      </c>
      <c r="T89" s="170" t="str">
        <f>Mon!T89</f>
        <v>HR</v>
      </c>
      <c r="U89" s="169" t="str">
        <f>Mon!U89</f>
        <v>(AS)</v>
      </c>
      <c r="V89" s="170" t="str">
        <f>Mon!V89</f>
        <v>HR</v>
      </c>
      <c r="W89" s="169" t="str">
        <f>Mon!W89</f>
        <v>(AS)</v>
      </c>
      <c r="X89" s="170" t="str">
        <f>Mon!X89</f>
        <v>HR</v>
      </c>
      <c r="Y89" s="169" t="str">
        <f>Mon!Y89</f>
        <v>(RT)</v>
      </c>
      <c r="Z89" s="170" t="str">
        <f>Mon!Z89</f>
        <v>HR</v>
      </c>
      <c r="AA89" s="169" t="str">
        <f>Mon!AA89</f>
        <v>(BD)</v>
      </c>
      <c r="AB89" s="170" t="str">
        <f>Mon!AB89</f>
        <v>HR</v>
      </c>
      <c r="AC89" s="322" t="s">
        <v>94</v>
      </c>
      <c r="AD89" s="315" t="s">
        <v>135</v>
      </c>
    </row>
    <row r="90" spans="1:30" x14ac:dyDescent="0.35">
      <c r="A90" s="169" t="str">
        <f>Mon!A90</f>
        <v>(YL)</v>
      </c>
      <c r="B90" s="170" t="str">
        <f>Mon!B90</f>
        <v>ED</v>
      </c>
      <c r="C90" s="174" t="str">
        <f>Mon!C90</f>
        <v>(LV)</v>
      </c>
      <c r="D90" s="170" t="str">
        <f>Mon!D90</f>
        <v>ED</v>
      </c>
      <c r="E90" s="169" t="str">
        <f>Mon!E90</f>
        <v>(MS)</v>
      </c>
      <c r="F90" s="170" t="str">
        <f>Mon!F90</f>
        <v>ED</v>
      </c>
      <c r="G90" s="174" t="str">
        <f>Mon!G90</f>
        <v>(RR)</v>
      </c>
      <c r="H90" s="170" t="str">
        <f>Mon!H90</f>
        <v>ED</v>
      </c>
      <c r="I90" s="169" t="str">
        <f>Mon!I90</f>
        <v>(EC)</v>
      </c>
      <c r="J90" s="170" t="str">
        <f>Mon!J90</f>
        <v>ED</v>
      </c>
      <c r="K90" s="169" t="str">
        <f>Mon!K90</f>
        <v>(YL)</v>
      </c>
      <c r="L90" s="170" t="str">
        <f>Mon!L90</f>
        <v>ED</v>
      </c>
      <c r="M90" s="174" t="str">
        <f>Mon!M90</f>
        <v>(RR)</v>
      </c>
      <c r="N90" s="170" t="str">
        <f>Mon!N90</f>
        <v>ED</v>
      </c>
      <c r="O90" s="169" t="str">
        <f>Mon!O90</f>
        <v>(LV)</v>
      </c>
      <c r="P90" s="170" t="str">
        <f>Mon!P90</f>
        <v>ED</v>
      </c>
      <c r="Q90" s="174" t="str">
        <f>Mon!Q90</f>
        <v>(MS)</v>
      </c>
      <c r="R90" s="170" t="str">
        <f>Mon!R90</f>
        <v>ED</v>
      </c>
      <c r="S90" s="174" t="str">
        <f>Mon!S90</f>
        <v>(LV)</v>
      </c>
      <c r="T90" s="170" t="str">
        <f>Mon!T90</f>
        <v>ED</v>
      </c>
      <c r="U90" s="169" t="str">
        <f>Mon!U90</f>
        <v>(RR)</v>
      </c>
      <c r="V90" s="170" t="str">
        <f>Mon!V90</f>
        <v>ED</v>
      </c>
      <c r="W90" s="174" t="str">
        <f>Mon!W90</f>
        <v>(LV)</v>
      </c>
      <c r="X90" s="170" t="str">
        <f>Mon!X90</f>
        <v>ED</v>
      </c>
      <c r="Y90" s="174" t="str">
        <f>Mon!Y90</f>
        <v>(LV)</v>
      </c>
      <c r="Z90" s="170" t="str">
        <f>Mon!Z90</f>
        <v>ED</v>
      </c>
      <c r="AA90" s="174" t="str">
        <f>Mon!AA90</f>
        <v>(YL)</v>
      </c>
      <c r="AB90" s="170" t="str">
        <f>Mon!AB90</f>
        <v>ED</v>
      </c>
      <c r="AC90" s="322" t="s">
        <v>100</v>
      </c>
      <c r="AD90" s="315" t="s">
        <v>188</v>
      </c>
    </row>
    <row r="91" spans="1:30" x14ac:dyDescent="0.35">
      <c r="A91" s="169" t="str">
        <f>Mon!A91</f>
        <v>(RG)</v>
      </c>
      <c r="B91" s="170" t="str">
        <f>Mon!B91</f>
        <v>CA</v>
      </c>
      <c r="C91" s="169" t="str">
        <f>Mon!C91</f>
        <v>(TK)</v>
      </c>
      <c r="D91" s="170" t="str">
        <f>Mon!D91</f>
        <v>CA</v>
      </c>
      <c r="E91" s="169" t="str">
        <f>Mon!E91</f>
        <v>(VA)</v>
      </c>
      <c r="F91" s="170" t="str">
        <f>Mon!F91</f>
        <v>CA</v>
      </c>
      <c r="G91" s="169" t="str">
        <f>Mon!G91</f>
        <v>(MEG)</v>
      </c>
      <c r="H91" s="170" t="str">
        <f>Mon!H91</f>
        <v>CA</v>
      </c>
      <c r="I91" s="169" t="str">
        <f>Mon!I91</f>
        <v>(SW)</v>
      </c>
      <c r="J91" s="170" t="str">
        <f>Mon!J91</f>
        <v>CA</v>
      </c>
      <c r="K91" s="169" t="str">
        <f>Mon!K91</f>
        <v>(VA)</v>
      </c>
      <c r="L91" s="170" t="str">
        <f>Mon!L91</f>
        <v>CA</v>
      </c>
      <c r="M91" s="169" t="str">
        <f>Mon!M91</f>
        <v>(KR)</v>
      </c>
      <c r="N91" s="170" t="str">
        <f>Mon!N91</f>
        <v>CA</v>
      </c>
      <c r="O91" s="169" t="str">
        <f>Mon!O91</f>
        <v>(SW)</v>
      </c>
      <c r="P91" s="170" t="str">
        <f>Mon!P91</f>
        <v>CA</v>
      </c>
      <c r="Q91" s="169" t="str">
        <f>Mon!Q91</f>
        <v>(VA)</v>
      </c>
      <c r="R91" s="170" t="str">
        <f>Mon!R91</f>
        <v>CA</v>
      </c>
      <c r="S91" s="169" t="str">
        <f>Mon!S91</f>
        <v>(SW)</v>
      </c>
      <c r="T91" s="170" t="str">
        <f>Mon!T91</f>
        <v>CA</v>
      </c>
      <c r="U91" s="169" t="str">
        <f>Mon!U91</f>
        <v>(TK)</v>
      </c>
      <c r="V91" s="170" t="str">
        <f>Mon!V91</f>
        <v>CA</v>
      </c>
      <c r="W91" s="169" t="str">
        <f>Mon!W91</f>
        <v>(MEG)</v>
      </c>
      <c r="X91" s="170" t="str">
        <f>Mon!X91</f>
        <v>CA</v>
      </c>
      <c r="Y91" s="169" t="str">
        <f>Mon!Y91</f>
        <v>(SW)</v>
      </c>
      <c r="Z91" s="170" t="str">
        <f>Mon!Z91</f>
        <v>CA</v>
      </c>
      <c r="AA91" s="169" t="str">
        <f>Mon!AA91</f>
        <v>(TK)</v>
      </c>
      <c r="AB91" s="170" t="str">
        <f>Mon!AB91</f>
        <v>CA</v>
      </c>
      <c r="AC91" s="322" t="s">
        <v>89</v>
      </c>
      <c r="AD91" s="315" t="s">
        <v>190</v>
      </c>
    </row>
    <row r="92" spans="1:30" x14ac:dyDescent="0.35">
      <c r="A92" s="169" t="str">
        <f>Mon!A92</f>
        <v>(SUH)</v>
      </c>
      <c r="B92" s="170" t="str">
        <f>Mon!B92</f>
        <v>EVS</v>
      </c>
      <c r="C92" s="174" t="str">
        <f>Mon!C92</f>
        <v>(MB)</v>
      </c>
      <c r="D92" s="170" t="str">
        <f>Mon!D92</f>
        <v>EVS</v>
      </c>
      <c r="E92" s="169" t="str">
        <f>Mon!E92</f>
        <v>(AG)</v>
      </c>
      <c r="F92" s="170" t="str">
        <f>Mon!F92</f>
        <v>EVS</v>
      </c>
      <c r="G92" s="174" t="s">
        <v>105</v>
      </c>
      <c r="H92" s="170" t="str">
        <f>Mon!H92</f>
        <v>EVS</v>
      </c>
      <c r="I92" s="174" t="str">
        <f>Mon!I92</f>
        <v>(RR)</v>
      </c>
      <c r="J92" s="170" t="str">
        <f>Mon!J92</f>
        <v>EVS</v>
      </c>
      <c r="K92" s="169" t="str">
        <f>Mon!K92</f>
        <v>(RR)</v>
      </c>
      <c r="L92" s="170" t="str">
        <f>Mon!L92</f>
        <v>EVS</v>
      </c>
      <c r="M92" s="169" t="str">
        <f>Mon!M92</f>
        <v>(MB)</v>
      </c>
      <c r="N92" s="170" t="str">
        <f>Mon!N92</f>
        <v>EVS</v>
      </c>
      <c r="O92" s="169" t="str">
        <f>Mon!O92</f>
        <v>(NEW)</v>
      </c>
      <c r="P92" s="170" t="str">
        <f>Mon!P92</f>
        <v>EVS</v>
      </c>
      <c r="Q92" s="174" t="str">
        <f>Mon!Q92</f>
        <v>(NEW)</v>
      </c>
      <c r="R92" s="170" t="str">
        <f>Mon!R92</f>
        <v>EVS</v>
      </c>
      <c r="S92" s="169" t="str">
        <f>Mon!S92</f>
        <v>(AG)</v>
      </c>
      <c r="T92" s="170" t="str">
        <f>Mon!T92</f>
        <v>EVS</v>
      </c>
      <c r="U92" s="174" t="str">
        <f>Mon!U92</f>
        <v>(New)</v>
      </c>
      <c r="V92" s="170" t="str">
        <f>Mon!V92</f>
        <v>EVS</v>
      </c>
      <c r="W92" s="169" t="str">
        <f>Mon!W92</f>
        <v>(RR)</v>
      </c>
      <c r="X92" s="170" t="str">
        <f>Mon!X92</f>
        <v>EVS</v>
      </c>
      <c r="Y92" s="169" t="str">
        <f>Mon!Y92</f>
        <v>(AG)</v>
      </c>
      <c r="Z92" s="170" t="str">
        <f>Mon!Z92</f>
        <v>EVS</v>
      </c>
      <c r="AA92" s="169" t="str">
        <f>Mon!AA92</f>
        <v>(MB)</v>
      </c>
      <c r="AB92" s="170" t="str">
        <f>Mon!AB92</f>
        <v>EVS</v>
      </c>
      <c r="AC92" s="322" t="s">
        <v>192</v>
      </c>
      <c r="AD92" s="315" t="s">
        <v>132</v>
      </c>
    </row>
    <row r="93" spans="1:30" x14ac:dyDescent="0.35">
      <c r="A93" s="169" t="str">
        <f>Mon!A93</f>
        <v>(AV)</v>
      </c>
      <c r="B93" s="170" t="str">
        <f>Mon!B93</f>
        <v>CM</v>
      </c>
      <c r="C93" s="169" t="str">
        <f>Mon!C93</f>
        <v>(SAK)</v>
      </c>
      <c r="D93" s="170" t="str">
        <f>Mon!D93</f>
        <v>CM</v>
      </c>
      <c r="E93" s="169" t="str">
        <f>Mon!E93</f>
        <v>(SUH)</v>
      </c>
      <c r="F93" s="170" t="str">
        <f>Mon!F93</f>
        <v>CM</v>
      </c>
      <c r="G93" s="169" t="str">
        <f>Mon!G93</f>
        <v>(SW)</v>
      </c>
      <c r="H93" s="170" t="str">
        <f>Mon!H93</f>
        <v>CM</v>
      </c>
      <c r="I93" s="169" t="str">
        <f>Mon!I93</f>
        <v>(SAK)</v>
      </c>
      <c r="J93" s="170" t="str">
        <f>Mon!J93</f>
        <v>CM</v>
      </c>
      <c r="K93" s="169" t="str">
        <f>Mon!K93</f>
        <v>(SAK)</v>
      </c>
      <c r="L93" s="170" t="str">
        <f>Mon!L93</f>
        <v>CM</v>
      </c>
      <c r="M93" s="169" t="str">
        <f>Mon!M93</f>
        <v>(SP)</v>
      </c>
      <c r="N93" s="170" t="str">
        <f>Mon!N93</f>
        <v>CP</v>
      </c>
      <c r="O93" s="169" t="str">
        <f>Mon!O93</f>
        <v>(MB)</v>
      </c>
      <c r="P93" s="170" t="str">
        <f>Mon!P93</f>
        <v>CP</v>
      </c>
      <c r="Q93" s="169" t="str">
        <f>Mon!Q93</f>
        <v>(SP)</v>
      </c>
      <c r="R93" s="170" t="str">
        <f>Mon!R93</f>
        <v>CP</v>
      </c>
      <c r="S93" s="181" t="str">
        <f>Mon!S93</f>
        <v>(MB)</v>
      </c>
      <c r="T93" s="170" t="str">
        <f>Mon!T93</f>
        <v>CP</v>
      </c>
      <c r="U93" s="169" t="str">
        <f>Mon!U93</f>
        <v>(AV)</v>
      </c>
      <c r="V93" s="170" t="str">
        <f>Mon!V93</f>
        <v>CM</v>
      </c>
      <c r="W93" s="169" t="str">
        <f>Mon!W93</f>
        <v>(SP)</v>
      </c>
      <c r="X93" s="170" t="str">
        <f>Mon!X93</f>
        <v>CP</v>
      </c>
      <c r="Y93" s="169" t="str">
        <f>Mon!Y93</f>
        <v>(SUH)</v>
      </c>
      <c r="Z93" s="170" t="str">
        <f>Mon!Z93</f>
        <v>CM</v>
      </c>
      <c r="AA93" s="169" t="str">
        <f>Mon!AA93</f>
        <v>(SP)</v>
      </c>
      <c r="AB93" s="170" t="str">
        <f>Mon!AB93</f>
        <v>CP</v>
      </c>
      <c r="AC93" s="322" t="s">
        <v>195</v>
      </c>
      <c r="AD93" s="315" t="s">
        <v>134</v>
      </c>
    </row>
    <row r="94" spans="1:30" x14ac:dyDescent="0.35">
      <c r="A94" s="169" t="str">
        <f>Mon!A94</f>
        <v>(ND)</v>
      </c>
      <c r="B94" s="170" t="str">
        <f>Mon!B94</f>
        <v>OP</v>
      </c>
      <c r="C94" s="169" t="str">
        <f>Mon!C94</f>
        <v>(SB)</v>
      </c>
      <c r="D94" s="170" t="str">
        <f>Mon!D94</f>
        <v>OP</v>
      </c>
      <c r="E94" s="169" t="str">
        <f>Mon!E94</f>
        <v>(ND)</v>
      </c>
      <c r="F94" s="170" t="str">
        <f>Mon!F94</f>
        <v>OP</v>
      </c>
      <c r="G94" s="169" t="str">
        <f>Mon!G94</f>
        <v>NEW</v>
      </c>
      <c r="H94" s="170" t="str">
        <f>Mon!H94</f>
        <v>OP</v>
      </c>
      <c r="I94" s="169" t="str">
        <f>Mon!I94</f>
        <v>NEW</v>
      </c>
      <c r="J94" s="170" t="str">
        <f>Mon!J94</f>
        <v>OP</v>
      </c>
      <c r="K94" s="169" t="str">
        <f>Mon!K94</f>
        <v>(MH)</v>
      </c>
      <c r="L94" s="170" t="str">
        <f>Mon!L94</f>
        <v>SP</v>
      </c>
      <c r="M94" s="169" t="str">
        <f>Mon!M94</f>
        <v>(SB)</v>
      </c>
      <c r="N94" s="170" t="str">
        <f>Mon!N94</f>
        <v>OP</v>
      </c>
      <c r="O94" s="169" t="str">
        <f>Mon!O94</f>
        <v>(MH)</v>
      </c>
      <c r="P94" s="170" t="str">
        <f>Mon!P94</f>
        <v>SP</v>
      </c>
      <c r="Q94" s="169" t="str">
        <f>Mon!Q94</f>
        <v>(SB)</v>
      </c>
      <c r="R94" s="170" t="str">
        <f>Mon!R94</f>
        <v>OP</v>
      </c>
      <c r="S94" s="169" t="str">
        <f>Mon!S94</f>
        <v>(ND)</v>
      </c>
      <c r="T94" s="170" t="str">
        <f>Mon!T94</f>
        <v>OP</v>
      </c>
      <c r="U94" s="169" t="str">
        <f>Mon!U94</f>
        <v>(ND)</v>
      </c>
      <c r="V94" s="170" t="str">
        <f>Mon!V94</f>
        <v>OP</v>
      </c>
      <c r="W94" s="169" t="str">
        <f>Mon!W94</f>
        <v>(ND)</v>
      </c>
      <c r="X94" s="170" t="str">
        <f>Mon!X94</f>
        <v>OP</v>
      </c>
      <c r="Y94" s="174" t="str">
        <f>Mon!Y94</f>
        <v>(MH)</v>
      </c>
      <c r="Z94" s="175" t="str">
        <f>Mon!Z94</f>
        <v>SP</v>
      </c>
      <c r="AA94" s="174" t="str">
        <f>Mon!AA94</f>
        <v>(MH)</v>
      </c>
      <c r="AB94" s="175" t="str">
        <f>Mon!AB94</f>
        <v>SP</v>
      </c>
      <c r="AC94" s="322" t="s">
        <v>133</v>
      </c>
      <c r="AD94" s="315" t="s">
        <v>197</v>
      </c>
    </row>
    <row r="95" spans="1:30" x14ac:dyDescent="0.35">
      <c r="A95" s="30"/>
      <c r="B95" s="31"/>
      <c r="C95" s="30"/>
      <c r="D95" s="31"/>
      <c r="E95" s="30"/>
      <c r="F95" s="31"/>
      <c r="G95" s="30"/>
      <c r="H95" s="31"/>
      <c r="I95" s="30"/>
      <c r="J95" s="31"/>
      <c r="K95" s="30"/>
      <c r="L95" s="31"/>
      <c r="M95" s="169">
        <f>Mon!M95</f>
        <v>0</v>
      </c>
      <c r="N95" s="170">
        <f>Mon!N95</f>
        <v>0</v>
      </c>
      <c r="O95" s="30"/>
      <c r="P95" s="31"/>
      <c r="Q95" s="30"/>
      <c r="R95" s="31"/>
      <c r="S95" s="30"/>
      <c r="T95" s="31"/>
      <c r="U95" s="30"/>
      <c r="V95" s="31"/>
      <c r="W95" s="169">
        <f>Mon!W95</f>
        <v>0</v>
      </c>
      <c r="X95" s="170">
        <f>Mon!X95</f>
        <v>0</v>
      </c>
      <c r="Y95" s="30"/>
      <c r="Z95" s="31"/>
      <c r="AA95" s="30"/>
      <c r="AB95" s="31"/>
      <c r="AC95" s="322" t="s">
        <v>123</v>
      </c>
      <c r="AD95" s="315" t="s">
        <v>198</v>
      </c>
    </row>
    <row r="96" spans="1:30" x14ac:dyDescent="0.35">
      <c r="AC96" s="315" t="s">
        <v>147</v>
      </c>
      <c r="AD96" s="315"/>
    </row>
    <row r="97" spans="1:28" x14ac:dyDescent="0.35">
      <c r="A97" s="355" t="s">
        <v>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7"/>
      <c r="AA97" s="325" t="s">
        <v>199</v>
      </c>
      <c r="AB97" s="326"/>
    </row>
    <row r="98" spans="1:28" x14ac:dyDescent="0.35">
      <c r="A98" s="341" t="s">
        <v>161</v>
      </c>
      <c r="B98" s="342"/>
      <c r="C98" s="341" t="s">
        <v>162</v>
      </c>
      <c r="D98" s="342"/>
      <c r="E98" s="341" t="s">
        <v>163</v>
      </c>
      <c r="F98" s="342"/>
      <c r="G98" s="341" t="s">
        <v>164</v>
      </c>
      <c r="H98" s="342"/>
      <c r="I98" s="341" t="s">
        <v>165</v>
      </c>
      <c r="J98" s="342"/>
      <c r="K98" s="341" t="s">
        <v>166</v>
      </c>
      <c r="L98" s="342"/>
      <c r="M98" s="341" t="s">
        <v>167</v>
      </c>
      <c r="N98" s="342"/>
      <c r="O98" s="341" t="s">
        <v>168</v>
      </c>
      <c r="P98" s="342"/>
      <c r="Q98" s="341" t="s">
        <v>169</v>
      </c>
      <c r="R98" s="342"/>
      <c r="S98" s="341" t="s">
        <v>170</v>
      </c>
      <c r="T98" s="342"/>
      <c r="U98" s="341" t="s">
        <v>171</v>
      </c>
      <c r="V98" s="342"/>
      <c r="W98" s="341" t="s">
        <v>172</v>
      </c>
      <c r="X98" s="342"/>
      <c r="Y98" s="341" t="s">
        <v>200</v>
      </c>
      <c r="Z98" s="342"/>
      <c r="AA98" s="318" t="s">
        <v>175</v>
      </c>
      <c r="AB98" s="172" t="s">
        <v>176</v>
      </c>
    </row>
    <row r="99" spans="1:28" x14ac:dyDescent="0.35">
      <c r="A99" s="166" t="s">
        <v>175</v>
      </c>
      <c r="B99" s="167" t="s">
        <v>176</v>
      </c>
      <c r="C99" s="166" t="s">
        <v>175</v>
      </c>
      <c r="D99" s="167" t="s">
        <v>176</v>
      </c>
      <c r="E99" s="166" t="s">
        <v>175</v>
      </c>
      <c r="F99" s="167" t="s">
        <v>176</v>
      </c>
      <c r="G99" s="166" t="s">
        <v>175</v>
      </c>
      <c r="H99" s="167" t="s">
        <v>176</v>
      </c>
      <c r="I99" s="166" t="s">
        <v>175</v>
      </c>
      <c r="J99" s="167" t="s">
        <v>176</v>
      </c>
      <c r="K99" s="166" t="s">
        <v>175</v>
      </c>
      <c r="L99" s="167" t="s">
        <v>176</v>
      </c>
      <c r="M99" s="166" t="s">
        <v>175</v>
      </c>
      <c r="N99" s="167" t="s">
        <v>176</v>
      </c>
      <c r="O99" s="166" t="s">
        <v>175</v>
      </c>
      <c r="P99" s="167" t="s">
        <v>176</v>
      </c>
      <c r="Q99" s="166" t="s">
        <v>175</v>
      </c>
      <c r="R99" s="167" t="s">
        <v>176</v>
      </c>
      <c r="S99" s="166" t="s">
        <v>175</v>
      </c>
      <c r="T99" s="167" t="s">
        <v>176</v>
      </c>
      <c r="U99" s="166" t="s">
        <v>175</v>
      </c>
      <c r="V99" s="167" t="s">
        <v>176</v>
      </c>
      <c r="W99" s="166" t="s">
        <v>175</v>
      </c>
      <c r="X99" s="167" t="s">
        <v>176</v>
      </c>
      <c r="Y99" s="166" t="s">
        <v>175</v>
      </c>
      <c r="Z99" s="167" t="s">
        <v>176</v>
      </c>
      <c r="AA99" s="315" t="s">
        <v>89</v>
      </c>
      <c r="AB99" s="315" t="s">
        <v>88</v>
      </c>
    </row>
    <row r="100" spans="1:28" x14ac:dyDescent="0.35">
      <c r="A100" s="169" t="str">
        <f>Mon!A100</f>
        <v>(AV)</v>
      </c>
      <c r="B100" s="170" t="str">
        <f>Mon!B100</f>
        <v>IB</v>
      </c>
      <c r="C100" s="169" t="str">
        <f>Mon!C100</f>
        <v>(KM)</v>
      </c>
      <c r="D100" s="170" t="str">
        <f>Mon!D100</f>
        <v>IB</v>
      </c>
      <c r="E100" s="169" t="str">
        <f>Mon!E100</f>
        <v>(SUN)</v>
      </c>
      <c r="F100" s="170" t="str">
        <f>Mon!F100</f>
        <v>IB</v>
      </c>
      <c r="G100" s="169" t="str">
        <f>Mon!G100</f>
        <v>(YL)</v>
      </c>
      <c r="H100" s="170" t="str">
        <f>Mon!H100</f>
        <v>IB</v>
      </c>
      <c r="I100" s="169" t="str">
        <f>Mon!I100</f>
        <v>(EC)</v>
      </c>
      <c r="J100" s="170" t="str">
        <f>Mon!J100</f>
        <v>IB</v>
      </c>
      <c r="K100" s="169" t="str">
        <f>Mon!K100</f>
        <v>(YL)</v>
      </c>
      <c r="L100" s="170" t="str">
        <f>Mon!L100</f>
        <v>IB</v>
      </c>
      <c r="M100" s="169" t="str">
        <f>Mon!M100</f>
        <v>(EC)</v>
      </c>
      <c r="N100" s="170" t="str">
        <f>Mon!N100</f>
        <v>IB</v>
      </c>
      <c r="O100" s="169" t="str">
        <f>Mon!O100</f>
        <v>(SUN)</v>
      </c>
      <c r="P100" s="170" t="str">
        <f>Mon!P100</f>
        <v>IB</v>
      </c>
      <c r="Q100" s="169" t="str">
        <f>Mon!Q100</f>
        <v>(AV)</v>
      </c>
      <c r="R100" s="170" t="str">
        <f>Mon!R100</f>
        <v>IB</v>
      </c>
      <c r="S100" s="169" t="str">
        <f>Mon!S100</f>
        <v>(EC)</v>
      </c>
      <c r="T100" s="170" t="str">
        <f>Mon!T100</f>
        <v>IB</v>
      </c>
      <c r="U100" s="169" t="str">
        <f>Mon!U100</f>
        <v>(EC)</v>
      </c>
      <c r="V100" s="170" t="str">
        <f>Mon!V100</f>
        <v>IB</v>
      </c>
      <c r="W100" s="169" t="str">
        <f>Mon!W100</f>
        <v>(AV)</v>
      </c>
      <c r="X100" s="170" t="str">
        <f>Mon!X100</f>
        <v>IB</v>
      </c>
      <c r="Y100" s="169" t="str">
        <f>Mon!Y100</f>
        <v>(DT)</v>
      </c>
      <c r="Z100" s="170" t="str">
        <f>Mon!Z100</f>
        <v>EBO</v>
      </c>
      <c r="AA100" s="315" t="s">
        <v>100</v>
      </c>
      <c r="AB100" s="315" t="s">
        <v>203</v>
      </c>
    </row>
    <row r="101" spans="1:28" x14ac:dyDescent="0.35">
      <c r="A101" s="169" t="str">
        <f>Mon!A101</f>
        <v>(SRN)</v>
      </c>
      <c r="B101" s="170" t="str">
        <f>Mon!B101</f>
        <v>IT</v>
      </c>
      <c r="C101" s="169" t="str">
        <f>Mon!C101</f>
        <v>(UK)</v>
      </c>
      <c r="D101" s="170" t="str">
        <f>Mon!D101</f>
        <v>IT</v>
      </c>
      <c r="E101" s="169" t="str">
        <f>Mon!E101</f>
        <v>(SUP)</v>
      </c>
      <c r="F101" s="170" t="str">
        <f>Mon!F101</f>
        <v>IT</v>
      </c>
      <c r="G101" s="174" t="str">
        <f>Mon!G101</f>
        <v>(SRN)</v>
      </c>
      <c r="H101" s="170" t="str">
        <f>Mon!H101</f>
        <v>IT</v>
      </c>
      <c r="I101" s="169" t="str">
        <f>Mon!I101</f>
        <v>(AD)</v>
      </c>
      <c r="J101" s="170" t="str">
        <f>Mon!J101</f>
        <v>IT</v>
      </c>
      <c r="K101" s="169" t="str">
        <f>Mon!K101</f>
        <v>(UK)</v>
      </c>
      <c r="L101" s="170" t="str">
        <f>Mon!L101</f>
        <v>IT</v>
      </c>
      <c r="M101" s="174" t="str">
        <f>Mon!M101</f>
        <v>(UK)</v>
      </c>
      <c r="N101" s="170" t="str">
        <f>Mon!N101</f>
        <v>IT</v>
      </c>
      <c r="O101" s="169" t="str">
        <f>Mon!O101</f>
        <v>(SRN)</v>
      </c>
      <c r="P101" s="170" t="str">
        <f>Mon!P101</f>
        <v>IT</v>
      </c>
      <c r="Q101" s="169" t="str">
        <f>Mon!Q101</f>
        <v>(SUP)</v>
      </c>
      <c r="R101" s="170" t="str">
        <f>Mon!R101</f>
        <v>IT</v>
      </c>
      <c r="S101" s="174" t="str">
        <f>Mon!S101</f>
        <v>(AD)</v>
      </c>
      <c r="T101" s="170" t="str">
        <f>Mon!T101</f>
        <v>IT</v>
      </c>
      <c r="U101" s="169" t="str">
        <f>Mon!U101</f>
        <v>(AD)</v>
      </c>
      <c r="V101" s="170" t="str">
        <f>Mon!V101</f>
        <v>IT</v>
      </c>
      <c r="W101" s="174" t="str">
        <f>Mon!W101</f>
        <v>(AD)</v>
      </c>
      <c r="X101" s="170" t="str">
        <f>Mon!X101</f>
        <v>IT</v>
      </c>
      <c r="Y101" s="169" t="str">
        <f>Mon!Y101</f>
        <v>(ND)</v>
      </c>
      <c r="Z101" s="170" t="str">
        <f>Mon!Z101</f>
        <v>ES</v>
      </c>
      <c r="AA101" s="315"/>
      <c r="AB101" s="315" t="s">
        <v>96</v>
      </c>
    </row>
    <row r="102" spans="1:28" x14ac:dyDescent="0.35">
      <c r="A102" s="169" t="str">
        <f>Mon!A102</f>
        <v>(KR)</v>
      </c>
      <c r="B102" s="170" t="str">
        <f>Mon!B102</f>
        <v>MA</v>
      </c>
      <c r="C102" s="169" t="str">
        <f>Mon!C102</f>
        <v>(TK)</v>
      </c>
      <c r="D102" s="170" t="str">
        <f>Mon!D102</f>
        <v>MA</v>
      </c>
      <c r="E102" s="169" t="str">
        <f>Mon!E102</f>
        <v>(RG)</v>
      </c>
      <c r="F102" s="170" t="str">
        <f>Mon!F102</f>
        <v>MA</v>
      </c>
      <c r="G102" s="169" t="str">
        <f>Mon!G102</f>
        <v>(MEG)</v>
      </c>
      <c r="H102" s="170" t="str">
        <f>Mon!H102</f>
        <v>MA</v>
      </c>
      <c r="I102" s="169" t="str">
        <f>Mon!I102</f>
        <v>(KR)</v>
      </c>
      <c r="J102" s="170" t="str">
        <f>Mon!J102</f>
        <v>MA</v>
      </c>
      <c r="K102" s="174" t="str">
        <f>Mon!K102</f>
        <v>(PM)</v>
      </c>
      <c r="L102" s="170" t="str">
        <f>Mon!L102</f>
        <v>MA</v>
      </c>
      <c r="M102" s="169" t="str">
        <f>Mon!M102</f>
        <v>(NG)</v>
      </c>
      <c r="N102" s="170" t="str">
        <f>Mon!N102</f>
        <v>MA</v>
      </c>
      <c r="O102" s="169" t="s">
        <v>42</v>
      </c>
      <c r="P102" s="170" t="str">
        <f>Mon!P102</f>
        <v>MA</v>
      </c>
      <c r="Q102" s="169" t="str">
        <f>Mon!Q102</f>
        <v>(NG)</v>
      </c>
      <c r="R102" s="170" t="str">
        <f>Mon!R102</f>
        <v>MA</v>
      </c>
      <c r="S102" s="169" t="str">
        <f>Mon!S102</f>
        <v>(MEG)</v>
      </c>
      <c r="T102" s="170" t="str">
        <f>Mon!T102</f>
        <v>MA</v>
      </c>
      <c r="U102" s="169" t="str">
        <f>Mon!U102</f>
        <v>(NG)</v>
      </c>
      <c r="V102" s="170" t="str">
        <f>Mon!V102</f>
        <v>MA</v>
      </c>
      <c r="W102" s="169" t="str">
        <f>Mon!W102</f>
        <v>(RG)</v>
      </c>
      <c r="X102" s="170" t="str">
        <f>Mon!X102</f>
        <v>MA</v>
      </c>
      <c r="Y102" s="181" t="str">
        <f>Mon!Y102</f>
        <v>(LK)</v>
      </c>
      <c r="Z102" s="170" t="str">
        <f>Mon!Z102</f>
        <v>LE</v>
      </c>
      <c r="AA102" s="315" t="s">
        <v>98</v>
      </c>
      <c r="AB102" s="315" t="s">
        <v>92</v>
      </c>
    </row>
    <row r="103" spans="1:28" x14ac:dyDescent="0.35">
      <c r="A103" s="169" t="str">
        <f>Mon!A103</f>
        <v>(SUN)</v>
      </c>
      <c r="B103" s="170" t="str">
        <f>Mon!B103</f>
        <v>FMS</v>
      </c>
      <c r="C103" s="174" t="str">
        <f>Mon!C103</f>
        <v>(MS)</v>
      </c>
      <c r="D103" s="170" t="str">
        <f>Mon!D103</f>
        <v>FMS</v>
      </c>
      <c r="E103" s="169" t="str">
        <f>Mon!E103</f>
        <v>(NG)</v>
      </c>
      <c r="F103" s="170" t="str">
        <f>Mon!F103</f>
        <v>FMS</v>
      </c>
      <c r="G103" s="169" t="str">
        <f>Mon!G103</f>
        <v>(SUN)</v>
      </c>
      <c r="H103" s="170" t="str">
        <f>Mon!H103</f>
        <v>FMS</v>
      </c>
      <c r="I103" s="169" t="str">
        <f>Mon!I103</f>
        <v>(MS)</v>
      </c>
      <c r="J103" s="170" t="str">
        <f>Mon!J103</f>
        <v>FMS</v>
      </c>
      <c r="K103" s="174" t="str">
        <f>Mon!K103</f>
        <v>(NG)</v>
      </c>
      <c r="L103" s="170" t="str">
        <f>Mon!L103</f>
        <v>FMS</v>
      </c>
      <c r="M103" s="169" t="str">
        <f>Mon!M103</f>
        <v>(KM)</v>
      </c>
      <c r="N103" s="170" t="str">
        <f>Mon!N103</f>
        <v>CB</v>
      </c>
      <c r="O103" s="169" t="str">
        <f>Mon!O103</f>
        <v>(SRS)</v>
      </c>
      <c r="P103" s="170" t="str">
        <f>Mon!P103</f>
        <v>CB</v>
      </c>
      <c r="Q103" s="169" t="str">
        <f>Mon!Q103</f>
        <v>(KM)</v>
      </c>
      <c r="R103" s="170" t="str">
        <f>Mon!R103</f>
        <v>CB</v>
      </c>
      <c r="S103" s="169" t="str">
        <f>Mon!S103</f>
        <v>(KM)</v>
      </c>
      <c r="T103" s="170" t="str">
        <f>Mon!T103</f>
        <v>CB</v>
      </c>
      <c r="U103" s="169" t="str">
        <f>Mon!U103</f>
        <v>(SRS)</v>
      </c>
      <c r="V103" s="170" t="str">
        <f>Mon!V103</f>
        <v>CB</v>
      </c>
      <c r="W103" s="174" t="str">
        <f>Mon!W103</f>
        <v>(EC)</v>
      </c>
      <c r="X103" s="175" t="str">
        <f>Mon!X103</f>
        <v>HRD</v>
      </c>
      <c r="Y103" s="169" t="str">
        <f>Mon!Y103</f>
        <v>(SP)</v>
      </c>
      <c r="Z103" s="170" t="str">
        <f>Mon!Z103</f>
        <v>PR</v>
      </c>
      <c r="AA103" s="315" t="s">
        <v>94</v>
      </c>
      <c r="AB103" s="315" t="s">
        <v>101</v>
      </c>
    </row>
    <row r="104" spans="1:28" x14ac:dyDescent="0.35">
      <c r="A104" s="169" t="str">
        <f>Mon!A104</f>
        <v>(VAR)</v>
      </c>
      <c r="B104" s="170" t="str">
        <f>Mon!B104</f>
        <v>IF</v>
      </c>
      <c r="C104" s="169" t="str">
        <f>Mon!C104</f>
        <v>(SRN)</v>
      </c>
      <c r="D104" s="170" t="str">
        <f>Mon!D104</f>
        <v>IF</v>
      </c>
      <c r="E104" s="169" t="str">
        <f>Mon!E104</f>
        <v>(VAR)</v>
      </c>
      <c r="F104" s="170" t="str">
        <f>Mon!F104</f>
        <v>IF</v>
      </c>
      <c r="G104" s="169" t="str">
        <f>Mon!G104</f>
        <v>(VAR)</v>
      </c>
      <c r="H104" s="170" t="str">
        <f>Mon!H104</f>
        <v>IF</v>
      </c>
      <c r="I104" s="169" t="str">
        <f>Mon!I104</f>
        <v>(SRN)</v>
      </c>
      <c r="J104" s="170" t="str">
        <f>Mon!J104</f>
        <v>IF</v>
      </c>
      <c r="K104" s="169" t="str">
        <f>Mon!K104</f>
        <v>(VAR)</v>
      </c>
      <c r="L104" s="170" t="str">
        <f>Mon!L104</f>
        <v>IF</v>
      </c>
      <c r="M104" s="169" t="str">
        <f>Mon!M104</f>
        <v>(DT)</v>
      </c>
      <c r="N104" s="170" t="str">
        <f>Mon!N104</f>
        <v>MIP</v>
      </c>
      <c r="O104" s="169" t="str">
        <f>Mon!O104</f>
        <v>(LK)</v>
      </c>
      <c r="P104" s="170" t="str">
        <f>Mon!P104</f>
        <v>MIP</v>
      </c>
      <c r="Q104" s="169" t="str">
        <f>Mon!Q104</f>
        <v>(LK)</v>
      </c>
      <c r="R104" s="170" t="str">
        <f>Mon!R104</f>
        <v>MIP</v>
      </c>
      <c r="S104" s="169" t="str">
        <f>Mon!S104</f>
        <v>(AV)</v>
      </c>
      <c r="T104" s="170" t="str">
        <f>Mon!T104</f>
        <v>MIP</v>
      </c>
      <c r="U104" s="169" t="str">
        <f>Mon!U104</f>
        <v>(DT)</v>
      </c>
      <c r="V104" s="170" t="str">
        <f>Mon!V104</f>
        <v>MIP</v>
      </c>
      <c r="W104" s="174" t="str">
        <f>Mon!W104</f>
        <v>(SR)</v>
      </c>
      <c r="X104" s="175" t="str">
        <f>Mon!X104</f>
        <v>IHRM</v>
      </c>
      <c r="Y104" s="169">
        <f>Mon!Y104</f>
        <v>0</v>
      </c>
      <c r="Z104" s="170">
        <f>Mon!Z104</f>
        <v>0</v>
      </c>
      <c r="AA104" s="315" t="s">
        <v>91</v>
      </c>
      <c r="AB104" s="315" t="s">
        <v>90</v>
      </c>
    </row>
    <row r="105" spans="1:28" x14ac:dyDescent="0.35">
      <c r="A105" s="169" t="str">
        <f>Mon!A105</f>
        <v>(SUP)</v>
      </c>
      <c r="B105" s="170" t="str">
        <f>Mon!B105</f>
        <v>AA</v>
      </c>
      <c r="C105" s="169" t="str">
        <f>Mon!C105</f>
        <v>(VAR)</v>
      </c>
      <c r="D105" s="170" t="str">
        <f>Mon!D105</f>
        <v>AA</v>
      </c>
      <c r="E105" s="169" t="str">
        <f>Mon!E105</f>
        <v>(MS)</v>
      </c>
      <c r="F105" s="170" t="str">
        <f>Mon!F105</f>
        <v>AA</v>
      </c>
      <c r="G105" s="169" t="str">
        <f>Mon!G105</f>
        <v>(SUP)</v>
      </c>
      <c r="H105" s="170" t="str">
        <f>Mon!H105</f>
        <v>AA</v>
      </c>
      <c r="I105" s="169" t="str">
        <f>Mon!I105</f>
        <v>(SUP)</v>
      </c>
      <c r="J105" s="170" t="str">
        <f>Mon!J105</f>
        <v>AA</v>
      </c>
      <c r="K105" s="169" t="str">
        <f>Mon!K105</f>
        <v>(MS)</v>
      </c>
      <c r="L105" s="170" t="str">
        <f>Mon!L105</f>
        <v>AA</v>
      </c>
      <c r="M105" s="169" t="str">
        <f>Mon!M105</f>
        <v>(LK)</v>
      </c>
      <c r="N105" s="170" t="str">
        <f>Mon!N105</f>
        <v>RM</v>
      </c>
      <c r="O105" s="169" t="str">
        <f>Mon!O105</f>
        <v>(VRL)</v>
      </c>
      <c r="P105" s="170" t="str">
        <f>Mon!P105</f>
        <v>RM</v>
      </c>
      <c r="Q105" s="169" t="str">
        <f>Mon!Q105</f>
        <v>(AD)</v>
      </c>
      <c r="R105" s="170" t="str">
        <f>Mon!R105</f>
        <v>RM</v>
      </c>
      <c r="S105" s="169" t="str">
        <f>Mon!S105</f>
        <v>(LK)</v>
      </c>
      <c r="T105" s="170" t="str">
        <f>Mon!T105</f>
        <v>RM</v>
      </c>
      <c r="U105" s="169" t="str">
        <f>Mon!U105</f>
        <v>(LK)</v>
      </c>
      <c r="V105" s="170" t="str">
        <f>Mon!V105</f>
        <v>RM</v>
      </c>
      <c r="W105" s="174" t="str">
        <f>Mon!W105</f>
        <v>(RT)</v>
      </c>
      <c r="X105" s="175" t="str">
        <f>Mon!X105</f>
        <v>CHRM</v>
      </c>
      <c r="Y105" s="181">
        <f>Mon!Y105</f>
        <v>0</v>
      </c>
      <c r="Z105" s="170">
        <f>Mon!Z105</f>
        <v>0</v>
      </c>
      <c r="AA105" s="315"/>
      <c r="AB105" s="315" t="s">
        <v>93</v>
      </c>
    </row>
    <row r="106" spans="1:28" x14ac:dyDescent="0.35">
      <c r="A106" s="169" t="str">
        <f>Mon!A106</f>
        <v>(AW)</v>
      </c>
      <c r="B106" s="170" t="str">
        <f>Mon!B106</f>
        <v>ECOM</v>
      </c>
      <c r="C106" s="169" t="str">
        <f>Mon!C106</f>
        <v>(SR)</v>
      </c>
      <c r="D106" s="170" t="str">
        <f>Mon!D106</f>
        <v>ECOM</v>
      </c>
      <c r="E106" s="169" t="str">
        <f>Mon!E106</f>
        <v>(AW)</v>
      </c>
      <c r="F106" s="170" t="str">
        <f>Mon!F106</f>
        <v>ECOM</v>
      </c>
      <c r="G106" s="169" t="str">
        <f>Mon!G106</f>
        <v>(SR)</v>
      </c>
      <c r="H106" s="170" t="str">
        <f>Mon!H106</f>
        <v>ECOM</v>
      </c>
      <c r="I106" s="169" t="str">
        <f>Mon!I106</f>
        <v>(DT)</v>
      </c>
      <c r="J106" s="170" t="str">
        <f>Mon!J106</f>
        <v>ECOM</v>
      </c>
      <c r="K106" s="169" t="str">
        <f>Mon!K106</f>
        <v>(SP)</v>
      </c>
      <c r="L106" s="170" t="str">
        <f>Mon!L106</f>
        <v>PR</v>
      </c>
      <c r="M106" s="169" t="str">
        <f>Mon!M106</f>
        <v>(SR)</v>
      </c>
      <c r="N106" s="170" t="str">
        <f>Mon!N106</f>
        <v>ECOM</v>
      </c>
      <c r="O106" s="169" t="str">
        <f>Mon!O106</f>
        <v>(SR)</v>
      </c>
      <c r="P106" s="170" t="str">
        <f>Mon!P106</f>
        <v>ECOM</v>
      </c>
      <c r="Q106" s="169" t="str">
        <f>Mon!Q106</f>
        <v>(DT)</v>
      </c>
      <c r="R106" s="170" t="str">
        <f>Mon!R106</f>
        <v>ECOM</v>
      </c>
      <c r="S106" s="169" t="str">
        <f>Mon!S106</f>
        <v>(SR)</v>
      </c>
      <c r="T106" s="170" t="str">
        <f>Mon!T106</f>
        <v>PR</v>
      </c>
      <c r="U106" s="169" t="str">
        <f>Mon!U106</f>
        <v>(SP)</v>
      </c>
      <c r="V106" s="170" t="str">
        <f>Mon!V106</f>
        <v>PR</v>
      </c>
      <c r="W106" s="174" t="str">
        <f>Mon!W106</f>
        <v>(BB)</v>
      </c>
      <c r="X106" s="175" t="str">
        <f>Mon!X106</f>
        <v>ECOM</v>
      </c>
      <c r="Y106" s="169">
        <f>Mon!Y106</f>
        <v>0</v>
      </c>
      <c r="Z106" s="170">
        <f>Mon!Z106</f>
        <v>0</v>
      </c>
      <c r="AA106" s="315"/>
      <c r="AB106" s="315" t="s">
        <v>99</v>
      </c>
    </row>
    <row r="107" spans="1:28" x14ac:dyDescent="0.35">
      <c r="A107" s="30"/>
      <c r="B107" s="31"/>
      <c r="C107" s="30"/>
      <c r="D107" s="31"/>
      <c r="E107" s="30"/>
      <c r="F107" s="31"/>
      <c r="G107" s="30"/>
      <c r="H107" s="31"/>
      <c r="I107" s="30"/>
      <c r="J107" s="31"/>
      <c r="K107" s="30"/>
      <c r="L107" s="31"/>
      <c r="M107" s="30"/>
      <c r="N107" s="170"/>
      <c r="O107" s="30"/>
      <c r="P107" s="31"/>
      <c r="Q107" s="30"/>
      <c r="R107" s="31"/>
      <c r="S107" s="30"/>
      <c r="T107" s="31"/>
      <c r="U107" s="30"/>
      <c r="V107" s="31"/>
      <c r="W107" s="169"/>
      <c r="X107" s="31"/>
      <c r="Y107" s="30"/>
      <c r="Z107" s="31"/>
      <c r="AA107" s="315"/>
      <c r="AB107" s="315" t="s">
        <v>97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</sheetData>
  <mergeCells count="76">
    <mergeCell ref="AC1:AN1"/>
    <mergeCell ref="Y2:AB2"/>
    <mergeCell ref="AC2:AF2"/>
    <mergeCell ref="AG2:AJ2"/>
    <mergeCell ref="AK2:AN2"/>
    <mergeCell ref="AC85:AD85"/>
    <mergeCell ref="K20:L20"/>
    <mergeCell ref="M20:N20"/>
    <mergeCell ref="I5:J19"/>
    <mergeCell ref="BX3:CA3"/>
    <mergeCell ref="U72:V72"/>
    <mergeCell ref="I37:J37"/>
    <mergeCell ref="E4:F4"/>
    <mergeCell ref="G4:H4"/>
    <mergeCell ref="I4:J4"/>
    <mergeCell ref="K4:L4"/>
    <mergeCell ref="M4:N4"/>
    <mergeCell ref="E20:F20"/>
    <mergeCell ref="G20:H20"/>
    <mergeCell ref="I20:J20"/>
    <mergeCell ref="B16:B17"/>
    <mergeCell ref="C16:C17"/>
    <mergeCell ref="A5:A19"/>
    <mergeCell ref="A3:H3"/>
    <mergeCell ref="I3:N3"/>
    <mergeCell ref="E86:F86"/>
    <mergeCell ref="S72:T72"/>
    <mergeCell ref="A85:Z85"/>
    <mergeCell ref="G86:H86"/>
    <mergeCell ref="I86:J86"/>
    <mergeCell ref="A72:B72"/>
    <mergeCell ref="C72:D72"/>
    <mergeCell ref="E72:F72"/>
    <mergeCell ref="G72:H72"/>
    <mergeCell ref="A21:A36"/>
    <mergeCell ref="I21:J36"/>
    <mergeCell ref="E37:F37"/>
    <mergeCell ref="G37:H37"/>
    <mergeCell ref="U98:V98"/>
    <mergeCell ref="W98:X98"/>
    <mergeCell ref="Y98:Z98"/>
    <mergeCell ref="W86:X86"/>
    <mergeCell ref="Y86:Z86"/>
    <mergeCell ref="A97:Z97"/>
    <mergeCell ref="A98:B98"/>
    <mergeCell ref="C98:D98"/>
    <mergeCell ref="E98:F98"/>
    <mergeCell ref="G98:H98"/>
    <mergeCell ref="I98:J98"/>
    <mergeCell ref="K98:L98"/>
    <mergeCell ref="M98:N98"/>
    <mergeCell ref="K86:L86"/>
    <mergeCell ref="M86:N86"/>
    <mergeCell ref="U86:V86"/>
    <mergeCell ref="O98:P98"/>
    <mergeCell ref="Q98:R98"/>
    <mergeCell ref="S98:T98"/>
    <mergeCell ref="Q86:R86"/>
    <mergeCell ref="S86:T86"/>
    <mergeCell ref="O86:P86"/>
    <mergeCell ref="A38:A53"/>
    <mergeCell ref="I38:J53"/>
    <mergeCell ref="AA86:AB86"/>
    <mergeCell ref="AA72:AB72"/>
    <mergeCell ref="K37:L37"/>
    <mergeCell ref="M37:N37"/>
    <mergeCell ref="A71:Z71"/>
    <mergeCell ref="K72:L72"/>
    <mergeCell ref="M72:N72"/>
    <mergeCell ref="O72:P72"/>
    <mergeCell ref="Q72:R72"/>
    <mergeCell ref="W72:X72"/>
    <mergeCell ref="Y72:Z72"/>
    <mergeCell ref="I72:J72"/>
    <mergeCell ref="A86:B86"/>
    <mergeCell ref="C86:D86"/>
  </mergeCells>
  <conditionalFormatting sqref="E5">
    <cfRule type="duplicateValues" dxfId="5746" priority="253"/>
  </conditionalFormatting>
  <conditionalFormatting sqref="E5:E16">
    <cfRule type="cellIs" dxfId="5745" priority="252" operator="equal">
      <formula>0</formula>
    </cfRule>
  </conditionalFormatting>
  <conditionalFormatting sqref="E6">
    <cfRule type="duplicateValues" dxfId="5744" priority="254"/>
  </conditionalFormatting>
  <conditionalFormatting sqref="E7">
    <cfRule type="duplicateValues" dxfId="5743" priority="255"/>
  </conditionalFormatting>
  <conditionalFormatting sqref="E8">
    <cfRule type="duplicateValues" dxfId="5742" priority="256"/>
  </conditionalFormatting>
  <conditionalFormatting sqref="E9">
    <cfRule type="duplicateValues" dxfId="5741" priority="257"/>
  </conditionalFormatting>
  <conditionalFormatting sqref="E10">
    <cfRule type="duplicateValues" dxfId="5740" priority="258"/>
  </conditionalFormatting>
  <conditionalFormatting sqref="E11">
    <cfRule type="duplicateValues" dxfId="5739" priority="259"/>
  </conditionalFormatting>
  <conditionalFormatting sqref="E12">
    <cfRule type="duplicateValues" dxfId="5738" priority="260"/>
  </conditionalFormatting>
  <conditionalFormatting sqref="E13">
    <cfRule type="duplicateValues" dxfId="5737" priority="261"/>
  </conditionalFormatting>
  <conditionalFormatting sqref="E14">
    <cfRule type="duplicateValues" dxfId="5736" priority="262"/>
  </conditionalFormatting>
  <conditionalFormatting sqref="E15">
    <cfRule type="duplicateValues" dxfId="5735" priority="263"/>
  </conditionalFormatting>
  <conditionalFormatting sqref="E16">
    <cfRule type="duplicateValues" dxfId="5734" priority="264"/>
  </conditionalFormatting>
  <conditionalFormatting sqref="E18">
    <cfRule type="duplicateValues" dxfId="5733" priority="401"/>
  </conditionalFormatting>
  <conditionalFormatting sqref="E18:E19">
    <cfRule type="cellIs" dxfId="5732" priority="400" operator="equal">
      <formula>0</formula>
    </cfRule>
  </conditionalFormatting>
  <conditionalFormatting sqref="E19">
    <cfRule type="duplicateValues" dxfId="5731" priority="402"/>
  </conditionalFormatting>
  <conditionalFormatting sqref="E21">
    <cfRule type="duplicateValues" dxfId="5730" priority="88"/>
  </conditionalFormatting>
  <conditionalFormatting sqref="E21:E34">
    <cfRule type="cellIs" dxfId="5729" priority="73" operator="equal">
      <formula>$O$7</formula>
    </cfRule>
    <cfRule type="cellIs" dxfId="5728" priority="74" operator="equal">
      <formula>$O$6</formula>
    </cfRule>
    <cfRule type="cellIs" dxfId="5727" priority="75" operator="equal">
      <formula>$O$5</formula>
    </cfRule>
    <cfRule type="cellIs" dxfId="5726" priority="70" operator="equal">
      <formula>$O$11</formula>
    </cfRule>
    <cfRule type="cellIs" dxfId="5725" priority="71" operator="equal">
      <formula>$O$9</formula>
    </cfRule>
    <cfRule type="cellIs" dxfId="5724" priority="72" operator="equal">
      <formula>$O$8</formula>
    </cfRule>
  </conditionalFormatting>
  <conditionalFormatting sqref="E22">
    <cfRule type="duplicateValues" dxfId="5723" priority="87"/>
  </conditionalFormatting>
  <conditionalFormatting sqref="E23">
    <cfRule type="duplicateValues" dxfId="5722" priority="86"/>
  </conditionalFormatting>
  <conditionalFormatting sqref="E25">
    <cfRule type="duplicateValues" dxfId="5721" priority="85"/>
  </conditionalFormatting>
  <conditionalFormatting sqref="E26">
    <cfRule type="duplicateValues" dxfId="5720" priority="84"/>
  </conditionalFormatting>
  <conditionalFormatting sqref="E27">
    <cfRule type="duplicateValues" dxfId="5719" priority="83"/>
  </conditionalFormatting>
  <conditionalFormatting sqref="E28">
    <cfRule type="duplicateValues" dxfId="5718" priority="82"/>
  </conditionalFormatting>
  <conditionalFormatting sqref="E29">
    <cfRule type="duplicateValues" dxfId="5717" priority="81"/>
  </conditionalFormatting>
  <conditionalFormatting sqref="E30">
    <cfRule type="duplicateValues" dxfId="5716" priority="80"/>
  </conditionalFormatting>
  <conditionalFormatting sqref="E31">
    <cfRule type="duplicateValues" dxfId="5715" priority="79"/>
  </conditionalFormatting>
  <conditionalFormatting sqref="E32">
    <cfRule type="duplicateValues" dxfId="5714" priority="78"/>
  </conditionalFormatting>
  <conditionalFormatting sqref="E33">
    <cfRule type="duplicateValues" dxfId="5713" priority="77"/>
  </conditionalFormatting>
  <conditionalFormatting sqref="E34">
    <cfRule type="duplicateValues" dxfId="5712" priority="68"/>
    <cfRule type="duplicateValues" dxfId="5711" priority="69"/>
    <cfRule type="duplicateValues" dxfId="5710" priority="67"/>
  </conditionalFormatting>
  <conditionalFormatting sqref="E35">
    <cfRule type="duplicateValues" dxfId="5709" priority="644"/>
  </conditionalFormatting>
  <conditionalFormatting sqref="E36">
    <cfRule type="duplicateValues" dxfId="5708" priority="642"/>
    <cfRule type="duplicateValues" dxfId="5707" priority="643"/>
    <cfRule type="duplicateValues" dxfId="5706" priority="641"/>
  </conditionalFormatting>
  <conditionalFormatting sqref="E38">
    <cfRule type="duplicateValues" dxfId="5705" priority="185"/>
    <cfRule type="duplicateValues" dxfId="5704" priority="212"/>
  </conditionalFormatting>
  <conditionalFormatting sqref="E39">
    <cfRule type="duplicateValues" dxfId="5703" priority="211"/>
    <cfRule type="duplicateValues" dxfId="5702" priority="199"/>
  </conditionalFormatting>
  <conditionalFormatting sqref="E40">
    <cfRule type="duplicateValues" dxfId="5701" priority="210"/>
    <cfRule type="duplicateValues" dxfId="5700" priority="198"/>
  </conditionalFormatting>
  <conditionalFormatting sqref="E41">
    <cfRule type="duplicateValues" dxfId="5699" priority="197"/>
    <cfRule type="duplicateValues" dxfId="5698" priority="209"/>
  </conditionalFormatting>
  <conditionalFormatting sqref="E42">
    <cfRule type="duplicateValues" dxfId="5697" priority="208"/>
    <cfRule type="duplicateValues" dxfId="5696" priority="196"/>
  </conditionalFormatting>
  <conditionalFormatting sqref="E43">
    <cfRule type="duplicateValues" dxfId="5695" priority="195"/>
    <cfRule type="duplicateValues" dxfId="5694" priority="207"/>
  </conditionalFormatting>
  <conditionalFormatting sqref="E44">
    <cfRule type="duplicateValues" dxfId="5693" priority="194"/>
    <cfRule type="duplicateValues" dxfId="5692" priority="206"/>
  </conditionalFormatting>
  <conditionalFormatting sqref="E45">
    <cfRule type="duplicateValues" dxfId="5691" priority="205"/>
    <cfRule type="duplicateValues" dxfId="5690" priority="193"/>
  </conditionalFormatting>
  <conditionalFormatting sqref="E46">
    <cfRule type="duplicateValues" dxfId="5689" priority="192"/>
    <cfRule type="duplicateValues" dxfId="5688" priority="204"/>
  </conditionalFormatting>
  <conditionalFormatting sqref="E47">
    <cfRule type="duplicateValues" dxfId="5687" priority="203"/>
    <cfRule type="duplicateValues" dxfId="5686" priority="191"/>
  </conditionalFormatting>
  <conditionalFormatting sqref="E48">
    <cfRule type="duplicateValues" dxfId="5685" priority="202"/>
    <cfRule type="duplicateValues" dxfId="5684" priority="190"/>
  </conditionalFormatting>
  <conditionalFormatting sqref="E49">
    <cfRule type="duplicateValues" dxfId="5683" priority="200"/>
    <cfRule type="duplicateValues" dxfId="5682" priority="189"/>
    <cfRule type="duplicateValues" dxfId="5681" priority="201"/>
  </conditionalFormatting>
  <conditionalFormatting sqref="E50">
    <cfRule type="duplicateValues" dxfId="5680" priority="187"/>
    <cfRule type="duplicateValues" dxfId="5679" priority="188"/>
  </conditionalFormatting>
  <conditionalFormatting sqref="E51">
    <cfRule type="duplicateValues" dxfId="5678" priority="182"/>
    <cfRule type="duplicateValues" dxfId="5677" priority="183"/>
  </conditionalFormatting>
  <conditionalFormatting sqref="E52">
    <cfRule type="duplicateValues" dxfId="5676" priority="814"/>
    <cfRule type="duplicateValues" dxfId="5675" priority="812"/>
  </conditionalFormatting>
  <conditionalFormatting sqref="E53">
    <cfRule type="duplicateValues" dxfId="5674" priority="811"/>
    <cfRule type="duplicateValues" dxfId="5673" priority="813"/>
  </conditionalFormatting>
  <conditionalFormatting sqref="E20:H36">
    <cfRule type="cellIs" dxfId="5672" priority="54" operator="equal">
      <formula>0</formula>
    </cfRule>
  </conditionalFormatting>
  <conditionalFormatting sqref="E35:H36">
    <cfRule type="cellIs" dxfId="5671" priority="648" operator="equal">
      <formula>$O$11</formula>
    </cfRule>
    <cfRule type="cellIs" dxfId="5670" priority="650" operator="equal">
      <formula>$O$8</formula>
    </cfRule>
    <cfRule type="cellIs" dxfId="5669" priority="653" operator="equal">
      <formula>$O$5</formula>
    </cfRule>
    <cfRule type="cellIs" dxfId="5668" priority="652" operator="equal">
      <formula>$O$6</formula>
    </cfRule>
    <cfRule type="cellIs" dxfId="5667" priority="649" operator="equal">
      <formula>$O$9</formula>
    </cfRule>
    <cfRule type="cellIs" dxfId="5666" priority="651" operator="equal">
      <formula>$O$7</formula>
    </cfRule>
  </conditionalFormatting>
  <conditionalFormatting sqref="E38:H53">
    <cfRule type="cellIs" dxfId="5665" priority="153" operator="equal">
      <formula>0</formula>
    </cfRule>
  </conditionalFormatting>
  <conditionalFormatting sqref="E4:N4">
    <cfRule type="cellIs" dxfId="5664" priority="829" operator="equal">
      <formula>$O$8</formula>
    </cfRule>
    <cfRule type="cellIs" dxfId="5663" priority="833" operator="equal">
      <formula>0</formula>
    </cfRule>
    <cfRule type="cellIs" dxfId="5662" priority="827" operator="equal">
      <formula>$O$11</formula>
    </cfRule>
    <cfRule type="cellIs" dxfId="5661" priority="828" operator="equal">
      <formula>$O$9</formula>
    </cfRule>
    <cfRule type="cellIs" dxfId="5660" priority="830" operator="equal">
      <formula>$O$7</formula>
    </cfRule>
    <cfRule type="cellIs" dxfId="5659" priority="831" operator="equal">
      <formula>$O$6</formula>
    </cfRule>
    <cfRule type="cellIs" dxfId="5658" priority="832" operator="equal">
      <formula>$O$5</formula>
    </cfRule>
  </conditionalFormatting>
  <conditionalFormatting sqref="E37:N37">
    <cfRule type="cellIs" dxfId="5657" priority="2836" operator="equal">
      <formula>$O$9</formula>
    </cfRule>
    <cfRule type="cellIs" dxfId="5656" priority="2837" operator="equal">
      <formula>$O$8</formula>
    </cfRule>
    <cfRule type="cellIs" dxfId="5655" priority="2839" operator="equal">
      <formula>$O$6</formula>
    </cfRule>
    <cfRule type="cellIs" dxfId="5654" priority="2840" operator="equal">
      <formula>$O$5</formula>
    </cfRule>
    <cfRule type="cellIs" dxfId="5653" priority="2841" operator="equal">
      <formula>0</formula>
    </cfRule>
    <cfRule type="cellIs" dxfId="5652" priority="2838" operator="equal">
      <formula>$O$7</formula>
    </cfRule>
    <cfRule type="cellIs" dxfId="5651" priority="2835" operator="equal">
      <formula>$O$11</formula>
    </cfRule>
  </conditionalFormatting>
  <conditionalFormatting sqref="F5:F16">
    <cfRule type="duplicateValues" dxfId="5640" priority="1050"/>
    <cfRule type="duplicateValues" dxfId="5639" priority="1481"/>
    <cfRule type="duplicateValues" dxfId="5638" priority="1482"/>
  </conditionalFormatting>
  <conditionalFormatting sqref="F5:F17 F21:F34">
    <cfRule type="duplicateValues" dxfId="5637" priority="837"/>
  </conditionalFormatting>
  <conditionalFormatting sqref="F5:F19">
    <cfRule type="cellIs" dxfId="5636" priority="385" operator="equal">
      <formula>0</formula>
    </cfRule>
  </conditionalFormatting>
  <conditionalFormatting sqref="F17">
    <cfRule type="cellIs" dxfId="5635" priority="846" operator="equal">
      <formula>$O$6</formula>
    </cfRule>
    <cfRule type="cellIs" dxfId="5634" priority="847" operator="equal">
      <formula>$O$5</formula>
    </cfRule>
    <cfRule type="cellIs" dxfId="5633" priority="889" operator="equal">
      <formula>$O$13</formula>
    </cfRule>
    <cfRule type="cellIs" dxfId="5632" priority="850" operator="equal">
      <formula>$O$17</formula>
    </cfRule>
    <cfRule type="cellIs" dxfId="5631" priority="851" operator="equal">
      <formula>$O$16</formula>
    </cfRule>
    <cfRule type="cellIs" dxfId="5630" priority="852" operator="equal">
      <formula>$O$15</formula>
    </cfRule>
    <cfRule type="cellIs" dxfId="5629" priority="853" operator="equal">
      <formula>$O$14</formula>
    </cfRule>
    <cfRule type="duplicateValues" dxfId="5628" priority="863"/>
    <cfRule type="duplicateValues" dxfId="5627" priority="864"/>
    <cfRule type="cellIs" dxfId="5626" priority="841" operator="equal">
      <formula>$O$11</formula>
    </cfRule>
    <cfRule type="cellIs" dxfId="5625" priority="865" operator="equal">
      <formula>$O$18</formula>
    </cfRule>
    <cfRule type="cellIs" dxfId="5624" priority="890" operator="equal">
      <formula>$O$12</formula>
    </cfRule>
    <cfRule type="cellIs" dxfId="5623" priority="891" operator="equal">
      <formula>$O$11</formula>
    </cfRule>
    <cfRule type="cellIs" dxfId="5622" priority="849" operator="equal">
      <formula>$O$18</formula>
    </cfRule>
    <cfRule type="cellIs" dxfId="5621" priority="894" operator="equal">
      <formula>$O$9</formula>
    </cfRule>
    <cfRule type="cellIs" dxfId="5620" priority="896" operator="equal">
      <formula>$O$8</formula>
    </cfRule>
    <cfRule type="cellIs" dxfId="5619" priority="897" operator="equal">
      <formula>$O$7</formula>
    </cfRule>
    <cfRule type="cellIs" dxfId="5618" priority="898" operator="equal">
      <formula>$O$6</formula>
    </cfRule>
    <cfRule type="cellIs" dxfId="5617" priority="888" operator="equal">
      <formula>$O$14</formula>
    </cfRule>
    <cfRule type="cellIs" dxfId="5616" priority="866" operator="equal">
      <formula>$O$17</formula>
    </cfRule>
    <cfRule type="cellIs" dxfId="5615" priority="899" operator="equal">
      <formula>$O$5</formula>
    </cfRule>
    <cfRule type="duplicateValues" dxfId="5614" priority="881"/>
    <cfRule type="cellIs" dxfId="5613" priority="880" operator="equal">
      <formula>$O$5</formula>
    </cfRule>
    <cfRule type="cellIs" dxfId="5612" priority="879" operator="equal">
      <formula>$O$6</formula>
    </cfRule>
    <cfRule type="cellIs" dxfId="5611" priority="877" operator="equal">
      <formula>$O$8</formula>
    </cfRule>
    <cfRule type="cellIs" dxfId="5610" priority="868" operator="equal">
      <formula>$O$15</formula>
    </cfRule>
    <cfRule type="cellIs" dxfId="5609" priority="871" operator="equal">
      <formula>$O$13</formula>
    </cfRule>
    <cfRule type="cellIs" dxfId="5608" priority="869" operator="equal">
      <formula>$O$14</formula>
    </cfRule>
    <cfRule type="cellIs" dxfId="5607" priority="872" operator="equal">
      <formula>$O$12</formula>
    </cfRule>
    <cfRule type="cellIs" dxfId="5606" priority="886" operator="equal">
      <formula>$O$16</formula>
    </cfRule>
    <cfRule type="cellIs" dxfId="5605" priority="878" operator="equal">
      <formula>$O$7</formula>
    </cfRule>
    <cfRule type="cellIs" dxfId="5604" priority="839" operator="equal">
      <formula>$O$13</formula>
    </cfRule>
    <cfRule type="cellIs" dxfId="5603" priority="840" operator="equal">
      <formula>$O$12</formula>
    </cfRule>
    <cfRule type="cellIs" dxfId="5602" priority="842" operator="equal">
      <formula>$O$10</formula>
    </cfRule>
    <cfRule type="cellIs" dxfId="5601" priority="843" operator="equal">
      <formula>$O$9</formula>
    </cfRule>
    <cfRule type="cellIs" dxfId="5600" priority="867" operator="equal">
      <formula>$O$16</formula>
    </cfRule>
    <cfRule type="cellIs" dxfId="5599" priority="844" operator="equal">
      <formula>$O$8</formula>
    </cfRule>
    <cfRule type="cellIs" dxfId="5598" priority="887" operator="equal">
      <formula>$O$15</formula>
    </cfRule>
    <cfRule type="cellIs" dxfId="5597" priority="845" operator="equal">
      <formula>$O$7</formula>
    </cfRule>
    <cfRule type="cellIs" dxfId="5596" priority="873" operator="equal">
      <formula>$O$11</formula>
    </cfRule>
    <cfRule type="cellIs" dxfId="5595" priority="875" operator="equal">
      <formula>$O$10</formula>
    </cfRule>
    <cfRule type="cellIs" dxfId="5594" priority="876" operator="equal">
      <formula>$O$9</formula>
    </cfRule>
    <cfRule type="duplicateValues" dxfId="5593" priority="882"/>
    <cfRule type="cellIs" dxfId="5592" priority="883" operator="equal">
      <formula>$O$18</formula>
    </cfRule>
    <cfRule type="cellIs" dxfId="5591" priority="884" operator="equal">
      <formula>$O$10</formula>
    </cfRule>
    <cfRule type="cellIs" dxfId="5590" priority="885" operator="equal">
      <formula>$O$17</formula>
    </cfRule>
  </conditionalFormatting>
  <conditionalFormatting sqref="F18">
    <cfRule type="duplicateValues" dxfId="5589" priority="388"/>
  </conditionalFormatting>
  <conditionalFormatting sqref="F18:F19">
    <cfRule type="cellIs" dxfId="5588" priority="379" operator="equal">
      <formula>$O$10</formula>
    </cfRule>
    <cfRule type="cellIs" dxfId="5587" priority="380" operator="equal">
      <formula>$O$9</formula>
    </cfRule>
    <cfRule type="cellIs" dxfId="5586" priority="381" operator="equal">
      <formula>$O$8</formula>
    </cfRule>
    <cfRule type="cellIs" dxfId="5585" priority="382" operator="equal">
      <formula>$O$7</formula>
    </cfRule>
    <cfRule type="cellIs" dxfId="5584" priority="383" operator="equal">
      <formula>$O$6</formula>
    </cfRule>
    <cfRule type="cellIs" dxfId="5583" priority="384" operator="equal">
      <formula>$O$5</formula>
    </cfRule>
    <cfRule type="cellIs" dxfId="5582" priority="371" operator="equal">
      <formula>$O$18</formula>
    </cfRule>
    <cfRule type="duplicateValues" dxfId="5581" priority="386"/>
    <cfRule type="duplicateValues" dxfId="5580" priority="387"/>
    <cfRule type="duplicateValues" dxfId="5579" priority="370"/>
    <cfRule type="cellIs" dxfId="5568" priority="372" operator="equal">
      <formula>$O$17</formula>
    </cfRule>
    <cfRule type="cellIs" dxfId="5567" priority="373" operator="equal">
      <formula>$O$16</formula>
    </cfRule>
    <cfRule type="cellIs" dxfId="5566" priority="374" operator="equal">
      <formula>$O$15</formula>
    </cfRule>
    <cfRule type="duplicateValues" dxfId="5565" priority="403"/>
    <cfRule type="cellIs" dxfId="5564" priority="375" operator="equal">
      <formula>$O$14</formula>
    </cfRule>
    <cfRule type="cellIs" dxfId="5563" priority="376" operator="equal">
      <formula>$O$13</formula>
    </cfRule>
    <cfRule type="cellIs" dxfId="5562" priority="377" operator="equal">
      <formula>$O$12</formula>
    </cfRule>
    <cfRule type="cellIs" dxfId="5561" priority="378" operator="equal">
      <formula>$O$11</formula>
    </cfRule>
  </conditionalFormatting>
  <conditionalFormatting sqref="F19">
    <cfRule type="duplicateValues" dxfId="5560" priority="389"/>
  </conditionalFormatting>
  <conditionalFormatting sqref="F21 F24:F31">
    <cfRule type="duplicateValues" dxfId="5559" priority="1710"/>
  </conditionalFormatting>
  <conditionalFormatting sqref="F21 L21 H21 N21">
    <cfRule type="duplicateValues" dxfId="5558" priority="1674"/>
  </conditionalFormatting>
  <conditionalFormatting sqref="F21:F33">
    <cfRule type="duplicateValues" dxfId="5555" priority="1677"/>
  </conditionalFormatting>
  <conditionalFormatting sqref="F21:F34">
    <cfRule type="duplicateValues" dxfId="5554" priority="1714"/>
  </conditionalFormatting>
  <conditionalFormatting sqref="F22 L22 H22 N22">
    <cfRule type="duplicateValues" dxfId="5553" priority="1673"/>
  </conditionalFormatting>
  <conditionalFormatting sqref="F22:F23">
    <cfRule type="duplicateValues" dxfId="5552" priority="1711"/>
    <cfRule type="duplicateValues" dxfId="5551" priority="1702"/>
    <cfRule type="duplicateValues" dxfId="5550" priority="1701"/>
  </conditionalFormatting>
  <conditionalFormatting sqref="F24 L24 H24 N24">
    <cfRule type="duplicateValues" dxfId="5549" priority="1671"/>
  </conditionalFormatting>
  <conditionalFormatting sqref="F25 L25 H25 N25">
    <cfRule type="duplicateValues" dxfId="5548" priority="1670"/>
  </conditionalFormatting>
  <conditionalFormatting sqref="F26 L26 H26 N26">
    <cfRule type="duplicateValues" dxfId="5547" priority="1669"/>
  </conditionalFormatting>
  <conditionalFormatting sqref="F27 L27 H27 N27">
    <cfRule type="duplicateValues" dxfId="5546" priority="1668"/>
  </conditionalFormatting>
  <conditionalFormatting sqref="F28 L28 H28 N28">
    <cfRule type="duplicateValues" dxfId="5545" priority="1667"/>
  </conditionalFormatting>
  <conditionalFormatting sqref="F29 L29 H29 N29">
    <cfRule type="duplicateValues" dxfId="5544" priority="1666"/>
  </conditionalFormatting>
  <conditionalFormatting sqref="F31">
    <cfRule type="duplicateValues" dxfId="5543" priority="1020"/>
    <cfRule type="duplicateValues" dxfId="5542" priority="1025"/>
    <cfRule type="duplicateValues" dxfId="5541" priority="1002"/>
    <cfRule type="duplicateValues" dxfId="5539" priority="1022"/>
    <cfRule type="duplicateValues" dxfId="5538" priority="1023"/>
    <cfRule type="duplicateValues" dxfId="5537" priority="1021"/>
    <cfRule type="duplicateValues" dxfId="5536" priority="998"/>
    <cfRule type="duplicateValues" dxfId="5535" priority="1019"/>
    <cfRule type="duplicateValues" dxfId="5534" priority="1000"/>
    <cfRule type="duplicateValues" dxfId="5532" priority="1026"/>
    <cfRule type="duplicateValues" dxfId="5531" priority="1027"/>
    <cfRule type="duplicateValues" dxfId="5528" priority="1001"/>
  </conditionalFormatting>
  <conditionalFormatting sqref="F32 L32 H32 N32">
    <cfRule type="duplicateValues" dxfId="5527" priority="1663"/>
  </conditionalFormatting>
  <conditionalFormatting sqref="F32:F33">
    <cfRule type="duplicateValues" dxfId="5526" priority="1706"/>
  </conditionalFormatting>
  <conditionalFormatting sqref="F33 L33 H33 N33">
    <cfRule type="duplicateValues" dxfId="5525" priority="1662"/>
  </conditionalFormatting>
  <conditionalFormatting sqref="F34 L34 H34 N34">
    <cfRule type="duplicateValues" dxfId="5524" priority="1528"/>
  </conditionalFormatting>
  <conditionalFormatting sqref="F34">
    <cfRule type="duplicateValues" dxfId="5521" priority="987"/>
    <cfRule type="cellIs" dxfId="5520" priority="986" operator="equal">
      <formula>$O$11</formula>
    </cfRule>
    <cfRule type="cellIs" dxfId="5519" priority="985" operator="equal">
      <formula>$O$12</formula>
    </cfRule>
    <cfRule type="cellIs" dxfId="5518" priority="984" operator="equal">
      <formula>$O$13</formula>
    </cfRule>
    <cfRule type="cellIs" dxfId="5517" priority="983" operator="equal">
      <formula>$O$14</formula>
    </cfRule>
    <cfRule type="cellIs" dxfId="5516" priority="982" operator="equal">
      <formula>$O$15</formula>
    </cfRule>
    <cfRule type="cellIs" dxfId="5515" priority="980" operator="equal">
      <formula>$O$17</formula>
    </cfRule>
    <cfRule type="cellIs" dxfId="5514" priority="979" operator="equal">
      <formula>$O$18</formula>
    </cfRule>
    <cfRule type="cellIs" dxfId="5513" priority="978" operator="equal">
      <formula>$O$10</formula>
    </cfRule>
    <cfRule type="cellIs" dxfId="5506" priority="981" operator="equal">
      <formula>$O$16</formula>
    </cfRule>
  </conditionalFormatting>
  <conditionalFormatting sqref="F35">
    <cfRule type="duplicateValues" dxfId="5500" priority="638"/>
    <cfRule type="duplicateValues" dxfId="5495" priority="629"/>
    <cfRule type="duplicateValues" dxfId="5494" priority="628"/>
  </conditionalFormatting>
  <conditionalFormatting sqref="F35:F36">
    <cfRule type="duplicateValues" dxfId="5490" priority="646"/>
    <cfRule type="cellIs" dxfId="5489" priority="595" operator="equal">
      <formula>$O$13</formula>
    </cfRule>
    <cfRule type="cellIs" dxfId="5488" priority="618" operator="equal">
      <formula>$O$5</formula>
    </cfRule>
    <cfRule type="cellIs" dxfId="5487" priority="617" operator="equal">
      <formula>$O$6</formula>
    </cfRule>
    <cfRule type="cellIs" dxfId="5486" priority="597" operator="equal">
      <formula>$O$11</formula>
    </cfRule>
    <cfRule type="cellIs" dxfId="5485" priority="614" operator="equal">
      <formula>$O$9</formula>
    </cfRule>
    <cfRule type="cellIs" dxfId="5484" priority="615" operator="equal">
      <formula>$O$8</formula>
    </cfRule>
    <cfRule type="cellIs" dxfId="5483" priority="616" operator="equal">
      <formula>$O$7</formula>
    </cfRule>
    <cfRule type="cellIs" dxfId="5482" priority="589" operator="equal">
      <formula>$O$10</formula>
    </cfRule>
    <cfRule type="cellIs" dxfId="5481" priority="590" operator="equal">
      <formula>$O$18</formula>
    </cfRule>
    <cfRule type="cellIs" dxfId="5480" priority="591" operator="equal">
      <formula>$O$17</formula>
    </cfRule>
    <cfRule type="cellIs" dxfId="5479" priority="592" operator="equal">
      <formula>$O$16</formula>
    </cfRule>
    <cfRule type="cellIs" dxfId="5478" priority="593" operator="equal">
      <formula>$O$15</formula>
    </cfRule>
    <cfRule type="cellIs" dxfId="5477" priority="594" operator="equal">
      <formula>$O$14</formula>
    </cfRule>
    <cfRule type="cellIs" dxfId="5476" priority="596" operator="equal">
      <formula>$O$12</formula>
    </cfRule>
    <cfRule type="duplicateValues" dxfId="5475" priority="655"/>
  </conditionalFormatting>
  <conditionalFormatting sqref="F36">
    <cfRule type="duplicateValues" dxfId="5469" priority="609"/>
    <cfRule type="duplicateValues" dxfId="5468" priority="598"/>
  </conditionalFormatting>
  <conditionalFormatting sqref="F38 L38 H38 N38">
    <cfRule type="duplicateValues" dxfId="5462" priority="2196"/>
    <cfRule type="duplicateValues" dxfId="5461" priority="2064"/>
  </conditionalFormatting>
  <conditionalFormatting sqref="F38:F49">
    <cfRule type="duplicateValues" dxfId="5450" priority="2197"/>
    <cfRule type="duplicateValues" dxfId="5449" priority="2185"/>
    <cfRule type="duplicateValues" dxfId="5448" priority="2226"/>
  </conditionalFormatting>
  <conditionalFormatting sqref="F38:F50">
    <cfRule type="duplicateValues" dxfId="5447" priority="1928"/>
    <cfRule type="duplicateValues" dxfId="5446" priority="2068"/>
  </conditionalFormatting>
  <conditionalFormatting sqref="F38:F51">
    <cfRule type="duplicateValues" dxfId="5445" priority="1790"/>
    <cfRule type="duplicateValues" dxfId="5444" priority="1780"/>
  </conditionalFormatting>
  <conditionalFormatting sqref="F38:F53">
    <cfRule type="containsText" dxfId="5443" priority="776" operator="containsText" text="(HEM)">
      <formula>NOT(ISERROR(SEARCH("(HEM)",F38)))</formula>
    </cfRule>
    <cfRule type="containsText" dxfId="5442" priority="777" operator="containsText" text="(SV)">
      <formula>NOT(ISERROR(SEARCH("(SV)",F38)))</formula>
    </cfRule>
  </conditionalFormatting>
  <conditionalFormatting sqref="F39 L39 H39 N39">
    <cfRule type="duplicateValues" dxfId="5441" priority="2063"/>
    <cfRule type="duplicateValues" dxfId="5440" priority="2195"/>
  </conditionalFormatting>
  <conditionalFormatting sqref="F40 L40 H40 N40">
    <cfRule type="duplicateValues" dxfId="5439" priority="2194"/>
    <cfRule type="duplicateValues" dxfId="5438" priority="2062"/>
  </conditionalFormatting>
  <conditionalFormatting sqref="F41 L41 H41 N41">
    <cfRule type="duplicateValues" dxfId="5437" priority="2061"/>
    <cfRule type="duplicateValues" dxfId="5436" priority="2193"/>
  </conditionalFormatting>
  <conditionalFormatting sqref="F42 L42 H42 N42">
    <cfRule type="duplicateValues" dxfId="5435" priority="2192"/>
    <cfRule type="duplicateValues" dxfId="5434" priority="2060"/>
  </conditionalFormatting>
  <conditionalFormatting sqref="F43 L43 H43 N43">
    <cfRule type="duplicateValues" dxfId="5433" priority="2191"/>
    <cfRule type="duplicateValues" dxfId="5432" priority="2059"/>
  </conditionalFormatting>
  <conditionalFormatting sqref="F44 L44 H44 N44">
    <cfRule type="duplicateValues" dxfId="5431" priority="2190"/>
    <cfRule type="duplicateValues" dxfId="5430" priority="2058"/>
  </conditionalFormatting>
  <conditionalFormatting sqref="F45 L45 H45 N45">
    <cfRule type="duplicateValues" dxfId="5429" priority="2189"/>
    <cfRule type="duplicateValues" dxfId="5428" priority="2057"/>
  </conditionalFormatting>
  <conditionalFormatting sqref="F46 L46 H46 N46">
    <cfRule type="duplicateValues" dxfId="5427" priority="2188"/>
    <cfRule type="duplicateValues" dxfId="5426" priority="2056"/>
  </conditionalFormatting>
  <conditionalFormatting sqref="F47 L47 H47 N47">
    <cfRule type="duplicateValues" dxfId="5425" priority="2187"/>
    <cfRule type="duplicateValues" dxfId="5424" priority="2055"/>
  </conditionalFormatting>
  <conditionalFormatting sqref="F48 L48 H48 N48">
    <cfRule type="duplicateValues" dxfId="5423" priority="2054"/>
    <cfRule type="duplicateValues" dxfId="5422" priority="2186"/>
  </conditionalFormatting>
  <conditionalFormatting sqref="F49 H49">
    <cfRule type="duplicateValues" dxfId="5420" priority="2153"/>
  </conditionalFormatting>
  <conditionalFormatting sqref="F49 L49 H49 N49">
    <cfRule type="duplicateValues" dxfId="5416" priority="2069"/>
    <cfRule type="duplicateValues" dxfId="5415" priority="2053"/>
  </conditionalFormatting>
  <conditionalFormatting sqref="F49">
    <cfRule type="duplicateValues" dxfId="5414" priority="2161"/>
    <cfRule type="duplicateValues" dxfId="5413" priority="2159"/>
    <cfRule type="duplicateValues" dxfId="5412" priority="2143"/>
    <cfRule type="duplicateValues" dxfId="5411" priority="2154"/>
    <cfRule type="duplicateValues" dxfId="5410" priority="2151"/>
    <cfRule type="duplicateValues" dxfId="5409" priority="2152"/>
  </conditionalFormatting>
  <conditionalFormatting sqref="F50 H50">
    <cfRule type="duplicateValues" dxfId="5408" priority="2021"/>
  </conditionalFormatting>
  <conditionalFormatting sqref="F50 L50 H50 N50">
    <cfRule type="duplicateValues" dxfId="5403" priority="1937"/>
  </conditionalFormatting>
  <conditionalFormatting sqref="F50">
    <cfRule type="duplicateValues" dxfId="5402" priority="2011"/>
    <cfRule type="duplicateValues" dxfId="5401" priority="2020"/>
    <cfRule type="duplicateValues" dxfId="5400" priority="2022"/>
    <cfRule type="duplicateValues" dxfId="5399" priority="2027"/>
    <cfRule type="duplicateValues" dxfId="5398" priority="2019"/>
    <cfRule type="duplicateValues" dxfId="5397" priority="2029"/>
  </conditionalFormatting>
  <conditionalFormatting sqref="F51 H51 L51 N51">
    <cfRule type="cellIs" dxfId="5396" priority="1923" operator="equal">
      <formula>$O$14</formula>
    </cfRule>
    <cfRule type="cellIs" dxfId="5395" priority="1922" operator="equal">
      <formula>$O$15</formula>
    </cfRule>
    <cfRule type="cellIs" dxfId="5394" priority="1921" operator="equal">
      <formula>$O$16</formula>
    </cfRule>
  </conditionalFormatting>
  <conditionalFormatting sqref="F51 H51">
    <cfRule type="cellIs" dxfId="5393" priority="1924" operator="equal">
      <formula>$O$13</formula>
    </cfRule>
    <cfRule type="cellIs" dxfId="5392" priority="1925" operator="equal">
      <formula>$O$12</formula>
    </cfRule>
    <cfRule type="cellIs" dxfId="5391" priority="1926" operator="equal">
      <formula>$O$11</formula>
    </cfRule>
    <cfRule type="duplicateValues" dxfId="5389" priority="1876"/>
  </conditionalFormatting>
  <conditionalFormatting sqref="F51 L51 H51 N51">
    <cfRule type="duplicateValues" dxfId="5385" priority="1792"/>
  </conditionalFormatting>
  <conditionalFormatting sqref="F51">
    <cfRule type="duplicateValues" dxfId="5384" priority="1884"/>
    <cfRule type="duplicateValues" dxfId="5383" priority="1882"/>
    <cfRule type="duplicateValues" dxfId="5382" priority="1866"/>
    <cfRule type="duplicateValues" dxfId="5381" priority="1791"/>
    <cfRule type="duplicateValues" dxfId="5380" priority="1874"/>
    <cfRule type="duplicateValues" dxfId="5379" priority="1875"/>
    <cfRule type="duplicateValues" dxfId="5378" priority="1877"/>
    <cfRule type="duplicateValues" dxfId="5377" priority="1911"/>
  </conditionalFormatting>
  <conditionalFormatting sqref="F52">
    <cfRule type="duplicateValues" dxfId="5376" priority="779"/>
    <cfRule type="duplicateValues" dxfId="5375" priority="782"/>
  </conditionalFormatting>
  <conditionalFormatting sqref="F52:F53 H52:H53">
    <cfRule type="cellIs" dxfId="5374" priority="822" operator="equal">
      <formula>$O$14</formula>
    </cfRule>
    <cfRule type="cellIs" dxfId="5373" priority="825" operator="equal">
      <formula>$O$11</formula>
    </cfRule>
    <cfRule type="cellIs" dxfId="5372" priority="824" operator="equal">
      <formula>$O$12</formula>
    </cfRule>
    <cfRule type="cellIs" dxfId="5371" priority="823" operator="equal">
      <formula>$O$13</formula>
    </cfRule>
    <cfRule type="cellIs" dxfId="5370" priority="821" operator="equal">
      <formula>$O$15</formula>
    </cfRule>
    <cfRule type="cellIs" dxfId="5369" priority="820" operator="equal">
      <formula>$O$16</formula>
    </cfRule>
  </conditionalFormatting>
  <conditionalFormatting sqref="F52:F53">
    <cfRule type="duplicateValues" dxfId="5368" priority="796"/>
    <cfRule type="cellIs" dxfId="5359" priority="786" operator="equal">
      <formula>$O$11</formula>
    </cfRule>
    <cfRule type="duplicateValues" dxfId="5358" priority="780"/>
    <cfRule type="cellIs" dxfId="5357" priority="785" operator="equal">
      <formula>$O$12</formula>
    </cfRule>
    <cfRule type="duplicateValues" dxfId="5356" priority="816"/>
    <cfRule type="cellIs" dxfId="5355" priority="787" operator="equal">
      <formula>$O$10</formula>
    </cfRule>
    <cfRule type="cellIs" dxfId="5354" priority="788" operator="equal">
      <formula>$O$9</formula>
    </cfRule>
    <cfRule type="cellIs" dxfId="5353" priority="784" operator="equal">
      <formula>$O$13</formula>
    </cfRule>
    <cfRule type="cellIs" dxfId="5352" priority="789" operator="equal">
      <formula>$O$8</formula>
    </cfRule>
    <cfRule type="cellIs" dxfId="5351" priority="790" operator="equal">
      <formula>$O$7</formula>
    </cfRule>
    <cfRule type="cellIs" dxfId="5350" priority="791" operator="equal">
      <formula>$O$6</formula>
    </cfRule>
    <cfRule type="cellIs" dxfId="5349" priority="792" operator="equal">
      <formula>$O$5</formula>
    </cfRule>
    <cfRule type="cellIs" dxfId="5348" priority="794" operator="equal">
      <formula>$O$18</formula>
    </cfRule>
    <cfRule type="cellIs" dxfId="5347" priority="795" operator="equal">
      <formula>$O$17</formula>
    </cfRule>
    <cfRule type="duplicateValues" dxfId="5346" priority="783"/>
    <cfRule type="duplicateValues" dxfId="5345" priority="819"/>
    <cfRule type="duplicateValues" dxfId="5343" priority="817"/>
  </conditionalFormatting>
  <conditionalFormatting sqref="F53">
    <cfRule type="duplicateValues" dxfId="5341" priority="778"/>
    <cfRule type="duplicateValues" dxfId="5340" priority="781"/>
  </conditionalFormatting>
  <conditionalFormatting sqref="G5">
    <cfRule type="duplicateValues" dxfId="5339" priority="240"/>
  </conditionalFormatting>
  <conditionalFormatting sqref="G5:G16">
    <cfRule type="cellIs" dxfId="5338" priority="239" operator="equal">
      <formula>0</formula>
    </cfRule>
  </conditionalFormatting>
  <conditionalFormatting sqref="G6">
    <cfRule type="duplicateValues" dxfId="5337" priority="241"/>
  </conditionalFormatting>
  <conditionalFormatting sqref="G7">
    <cfRule type="duplicateValues" dxfId="5336" priority="242"/>
  </conditionalFormatting>
  <conditionalFormatting sqref="G8">
    <cfRule type="duplicateValues" dxfId="5335" priority="243"/>
  </conditionalFormatting>
  <conditionalFormatting sqref="G9">
    <cfRule type="duplicateValues" dxfId="5334" priority="244"/>
  </conditionalFormatting>
  <conditionalFormatting sqref="G10">
    <cfRule type="duplicateValues" dxfId="5333" priority="245"/>
  </conditionalFormatting>
  <conditionalFormatting sqref="G11">
    <cfRule type="duplicateValues" dxfId="5332" priority="246"/>
  </conditionalFormatting>
  <conditionalFormatting sqref="G12">
    <cfRule type="duplicateValues" dxfId="5331" priority="247"/>
  </conditionalFormatting>
  <conditionalFormatting sqref="G13">
    <cfRule type="duplicateValues" dxfId="5330" priority="248"/>
  </conditionalFormatting>
  <conditionalFormatting sqref="G14">
    <cfRule type="duplicateValues" dxfId="5329" priority="249"/>
  </conditionalFormatting>
  <conditionalFormatting sqref="G15">
    <cfRule type="duplicateValues" dxfId="5328" priority="250"/>
  </conditionalFormatting>
  <conditionalFormatting sqref="G16">
    <cfRule type="duplicateValues" dxfId="5327" priority="251"/>
  </conditionalFormatting>
  <conditionalFormatting sqref="G18">
    <cfRule type="duplicateValues" dxfId="5326" priority="366"/>
  </conditionalFormatting>
  <conditionalFormatting sqref="G18:G19">
    <cfRule type="cellIs" dxfId="5325" priority="365" operator="equal">
      <formula>0</formula>
    </cfRule>
  </conditionalFormatting>
  <conditionalFormatting sqref="G19">
    <cfRule type="duplicateValues" dxfId="5324" priority="367"/>
  </conditionalFormatting>
  <conditionalFormatting sqref="G21">
    <cfRule type="duplicateValues" dxfId="5323" priority="66"/>
  </conditionalFormatting>
  <conditionalFormatting sqref="G21:G34">
    <cfRule type="cellIs" dxfId="5322" priority="53" operator="equal">
      <formula>$O$5</formula>
    </cfRule>
    <cfRule type="cellIs" dxfId="5321" priority="49" operator="equal">
      <formula>$O$9</formula>
    </cfRule>
    <cfRule type="cellIs" dxfId="5320" priority="52" operator="equal">
      <formula>$O$6</formula>
    </cfRule>
    <cfRule type="cellIs" dxfId="5319" priority="51" operator="equal">
      <formula>$O$7</formula>
    </cfRule>
    <cfRule type="cellIs" dxfId="5318" priority="50" operator="equal">
      <formula>$O$8</formula>
    </cfRule>
    <cfRule type="cellIs" dxfId="5317" priority="48" operator="equal">
      <formula>$O$11</formula>
    </cfRule>
  </conditionalFormatting>
  <conditionalFormatting sqref="G22">
    <cfRule type="duplicateValues" dxfId="5316" priority="65"/>
  </conditionalFormatting>
  <conditionalFormatting sqref="G23">
    <cfRule type="duplicateValues" dxfId="5315" priority="64"/>
  </conditionalFormatting>
  <conditionalFormatting sqref="G25">
    <cfRule type="duplicateValues" dxfId="5314" priority="63"/>
  </conditionalFormatting>
  <conditionalFormatting sqref="G26">
    <cfRule type="duplicateValues" dxfId="5313" priority="62"/>
  </conditionalFormatting>
  <conditionalFormatting sqref="G27">
    <cfRule type="duplicateValues" dxfId="5312" priority="61"/>
  </conditionalFormatting>
  <conditionalFormatting sqref="G28">
    <cfRule type="duplicateValues" dxfId="5311" priority="60"/>
  </conditionalFormatting>
  <conditionalFormatting sqref="G29">
    <cfRule type="duplicateValues" dxfId="5310" priority="59"/>
  </conditionalFormatting>
  <conditionalFormatting sqref="G30">
    <cfRule type="duplicateValues" dxfId="5309" priority="58"/>
  </conditionalFormatting>
  <conditionalFormatting sqref="G31">
    <cfRule type="duplicateValues" dxfId="5308" priority="57"/>
  </conditionalFormatting>
  <conditionalFormatting sqref="G32">
    <cfRule type="duplicateValues" dxfId="5307" priority="56"/>
  </conditionalFormatting>
  <conditionalFormatting sqref="G33">
    <cfRule type="duplicateValues" dxfId="5306" priority="55"/>
  </conditionalFormatting>
  <conditionalFormatting sqref="G34">
    <cfRule type="duplicateValues" dxfId="5305" priority="47"/>
    <cfRule type="duplicateValues" dxfId="5304" priority="46"/>
    <cfRule type="duplicateValues" dxfId="5303" priority="45"/>
  </conditionalFormatting>
  <conditionalFormatting sqref="G35">
    <cfRule type="duplicateValues" dxfId="5302" priority="586"/>
  </conditionalFormatting>
  <conditionalFormatting sqref="G36">
    <cfRule type="duplicateValues" dxfId="5301" priority="583"/>
    <cfRule type="duplicateValues" dxfId="5300" priority="584"/>
    <cfRule type="duplicateValues" dxfId="5299" priority="585"/>
  </conditionalFormatting>
  <conditionalFormatting sqref="G38">
    <cfRule type="duplicateValues" dxfId="5298" priority="154"/>
    <cfRule type="duplicateValues" dxfId="5297" priority="181"/>
  </conditionalFormatting>
  <conditionalFormatting sqref="G39">
    <cfRule type="duplicateValues" dxfId="5296" priority="168"/>
    <cfRule type="duplicateValues" dxfId="5295" priority="180"/>
  </conditionalFormatting>
  <conditionalFormatting sqref="G40">
    <cfRule type="duplicateValues" dxfId="5294" priority="167"/>
    <cfRule type="duplicateValues" dxfId="5293" priority="179"/>
  </conditionalFormatting>
  <conditionalFormatting sqref="G41">
    <cfRule type="duplicateValues" dxfId="5292" priority="178"/>
    <cfRule type="duplicateValues" dxfId="5291" priority="166"/>
  </conditionalFormatting>
  <conditionalFormatting sqref="G42">
    <cfRule type="duplicateValues" dxfId="5290" priority="177"/>
    <cfRule type="duplicateValues" dxfId="5289" priority="165"/>
  </conditionalFormatting>
  <conditionalFormatting sqref="G43">
    <cfRule type="duplicateValues" dxfId="5288" priority="176"/>
    <cfRule type="duplicateValues" dxfId="5287" priority="164"/>
  </conditionalFormatting>
  <conditionalFormatting sqref="G44">
    <cfRule type="duplicateValues" dxfId="5286" priority="175"/>
    <cfRule type="duplicateValues" dxfId="5285" priority="163"/>
  </conditionalFormatting>
  <conditionalFormatting sqref="G45">
    <cfRule type="duplicateValues" dxfId="5284" priority="174"/>
    <cfRule type="duplicateValues" dxfId="5283" priority="162"/>
  </conditionalFormatting>
  <conditionalFormatting sqref="G46">
    <cfRule type="duplicateValues" dxfId="5282" priority="173"/>
    <cfRule type="duplicateValues" dxfId="5281" priority="161"/>
  </conditionalFormatting>
  <conditionalFormatting sqref="G47">
    <cfRule type="duplicateValues" dxfId="5280" priority="160"/>
    <cfRule type="duplicateValues" dxfId="5279" priority="172"/>
  </conditionalFormatting>
  <conditionalFormatting sqref="G48">
    <cfRule type="duplicateValues" dxfId="5278" priority="171"/>
    <cfRule type="duplicateValues" dxfId="5277" priority="159"/>
  </conditionalFormatting>
  <conditionalFormatting sqref="G49">
    <cfRule type="duplicateValues" dxfId="5276" priority="170"/>
    <cfRule type="duplicateValues" dxfId="5275" priority="169"/>
    <cfRule type="duplicateValues" dxfId="5274" priority="158"/>
  </conditionalFormatting>
  <conditionalFormatting sqref="G50">
    <cfRule type="duplicateValues" dxfId="5273" priority="157"/>
    <cfRule type="duplicateValues" dxfId="5272" priority="156"/>
  </conditionalFormatting>
  <conditionalFormatting sqref="G51">
    <cfRule type="duplicateValues" dxfId="5271" priority="152"/>
    <cfRule type="duplicateValues" dxfId="5270" priority="151"/>
  </conditionalFormatting>
  <conditionalFormatting sqref="G52">
    <cfRule type="duplicateValues" dxfId="5269" priority="810"/>
    <cfRule type="duplicateValues" dxfId="5268" priority="808"/>
  </conditionalFormatting>
  <conditionalFormatting sqref="G53">
    <cfRule type="duplicateValues" dxfId="5267" priority="809"/>
    <cfRule type="duplicateValues" dxfId="5266" priority="807"/>
  </conditionalFormatting>
  <conditionalFormatting sqref="H5 F5 L5 N5">
    <cfRule type="duplicateValues" dxfId="5265" priority="1460"/>
  </conditionalFormatting>
  <conditionalFormatting sqref="H5">
    <cfRule type="duplicateValues" dxfId="5264" priority="1478"/>
    <cfRule type="duplicateValues" dxfId="5263" priority="1477"/>
  </conditionalFormatting>
  <conditionalFormatting sqref="H5:H16">
    <cfRule type="duplicateValues" dxfId="5262" priority="1473"/>
    <cfRule type="duplicateValues" dxfId="5261" priority="1474"/>
    <cfRule type="duplicateValues" dxfId="5260" priority="1455"/>
    <cfRule type="duplicateValues" dxfId="5259" priority="1480"/>
  </conditionalFormatting>
  <conditionalFormatting sqref="H5:H17 H21:H34">
    <cfRule type="duplicateValues" dxfId="5258" priority="836"/>
  </conditionalFormatting>
  <conditionalFormatting sqref="H5:H17 L5:L17 N5:N17 F5:F16">
    <cfRule type="cellIs" dxfId="5257" priority="1438" operator="equal">
      <formula>$O$18</formula>
    </cfRule>
    <cfRule type="cellIs" dxfId="5256" priority="1439" operator="equal">
      <formula>$O$17</formula>
    </cfRule>
    <cfRule type="cellIs" dxfId="5255" priority="1440" operator="equal">
      <formula>$O$16</formula>
    </cfRule>
    <cfRule type="cellIs" dxfId="5254" priority="1441" operator="equal">
      <formula>$O$15</formula>
    </cfRule>
    <cfRule type="cellIs" dxfId="5253" priority="1443" operator="equal">
      <formula>$O$13</formula>
    </cfRule>
    <cfRule type="cellIs" dxfId="5252" priority="1444" operator="equal">
      <formula>$O$12</formula>
    </cfRule>
    <cfRule type="cellIs" dxfId="5251" priority="1450" operator="equal">
      <formula>$O$6</formula>
    </cfRule>
    <cfRule type="cellIs" dxfId="5250" priority="1449" operator="equal">
      <formula>$O$7</formula>
    </cfRule>
    <cfRule type="cellIs" dxfId="5249" priority="1448" operator="equal">
      <formula>$O$8</formula>
    </cfRule>
    <cfRule type="cellIs" dxfId="5248" priority="1445" operator="equal">
      <formula>$O$11</formula>
    </cfRule>
    <cfRule type="cellIs" dxfId="5247" priority="1447" operator="equal">
      <formula>$O$9</formula>
    </cfRule>
    <cfRule type="cellIs" dxfId="5246" priority="1442" operator="equal">
      <formula>$O$14</formula>
    </cfRule>
    <cfRule type="cellIs" dxfId="5245" priority="1446" operator="equal">
      <formula>$O$10</formula>
    </cfRule>
    <cfRule type="cellIs" dxfId="5244" priority="1451" operator="equal">
      <formula>$O$5</formula>
    </cfRule>
  </conditionalFormatting>
  <conditionalFormatting sqref="H5:H17">
    <cfRule type="duplicateValues" dxfId="5243" priority="1437"/>
  </conditionalFormatting>
  <conditionalFormatting sqref="H5:H19">
    <cfRule type="cellIs" dxfId="5242" priority="350" operator="equal">
      <formula>0</formula>
    </cfRule>
  </conditionalFormatting>
  <conditionalFormatting sqref="H15">
    <cfRule type="duplicateValues" dxfId="5241" priority="1466"/>
    <cfRule type="duplicateValues" dxfId="5240" priority="1465"/>
  </conditionalFormatting>
  <conditionalFormatting sqref="H16">
    <cfRule type="duplicateValues" dxfId="5239" priority="1453"/>
    <cfRule type="duplicateValues" dxfId="5238" priority="1452"/>
  </conditionalFormatting>
  <conditionalFormatting sqref="H17">
    <cfRule type="cellIs" dxfId="5237" priority="1223" operator="equal">
      <formula>$O$5</formula>
    </cfRule>
    <cfRule type="duplicateValues" dxfId="5236" priority="1224"/>
    <cfRule type="duplicateValues" dxfId="5235" priority="1225"/>
    <cfRule type="cellIs" dxfId="5234" priority="1226" operator="equal">
      <formula>$O$18</formula>
    </cfRule>
    <cfRule type="cellIs" dxfId="5233" priority="1227" operator="equal">
      <formula>$O$10</formula>
    </cfRule>
    <cfRule type="cellIs" dxfId="5232" priority="1228" operator="equal">
      <formula>$O$17</formula>
    </cfRule>
    <cfRule type="cellIs" dxfId="5231" priority="1229" operator="equal">
      <formula>$O$16</formula>
    </cfRule>
    <cfRule type="cellIs" dxfId="5230" priority="1230" operator="equal">
      <formula>$O$15</formula>
    </cfRule>
    <cfRule type="cellIs" dxfId="5229" priority="1231" operator="equal">
      <formula>$O$14</formula>
    </cfRule>
    <cfRule type="cellIs" dxfId="5228" priority="1421" operator="equal">
      <formula>$O$16</formula>
    </cfRule>
    <cfRule type="cellIs" dxfId="5227" priority="1232" operator="equal">
      <formula>$O$13</formula>
    </cfRule>
    <cfRule type="cellIs" dxfId="5226" priority="1233" operator="equal">
      <formula>$O$12</formula>
    </cfRule>
    <cfRule type="cellIs" dxfId="5225" priority="1434" operator="equal">
      <formula>$O$5</formula>
    </cfRule>
    <cfRule type="cellIs" dxfId="5224" priority="1433" operator="equal">
      <formula>$O$6</formula>
    </cfRule>
    <cfRule type="cellIs" dxfId="5223" priority="1432" operator="equal">
      <formula>$O$7</formula>
    </cfRule>
    <cfRule type="cellIs" dxfId="5222" priority="1431" operator="equal">
      <formula>$O$8</formula>
    </cfRule>
    <cfRule type="cellIs" dxfId="5221" priority="1429" operator="equal">
      <formula>$O$9</formula>
    </cfRule>
    <cfRule type="cellIs" dxfId="5220" priority="1426" operator="equal">
      <formula>$O$11</formula>
    </cfRule>
    <cfRule type="cellIs" dxfId="5219" priority="1425" operator="equal">
      <formula>$O$12</formula>
    </cfRule>
    <cfRule type="cellIs" dxfId="5218" priority="1424" operator="equal">
      <formula>$O$13</formula>
    </cfRule>
    <cfRule type="cellIs" dxfId="5217" priority="1423" operator="equal">
      <formula>$O$14</formula>
    </cfRule>
    <cfRule type="cellIs" dxfId="5216" priority="1422" operator="equal">
      <formula>$O$15</formula>
    </cfRule>
    <cfRule type="cellIs" dxfId="5215" priority="1420" operator="equal">
      <formula>$O$17</formula>
    </cfRule>
    <cfRule type="cellIs" dxfId="5214" priority="1234" operator="equal">
      <formula>$O$11</formula>
    </cfRule>
    <cfRule type="cellIs" dxfId="5213" priority="1237" operator="equal">
      <formula>$O$9</formula>
    </cfRule>
    <cfRule type="cellIs" dxfId="5212" priority="1239" operator="equal">
      <formula>$O$8</formula>
    </cfRule>
    <cfRule type="cellIs" dxfId="5211" priority="1240" operator="equal">
      <formula>$O$7</formula>
    </cfRule>
    <cfRule type="cellIs" dxfId="5210" priority="1241" operator="equal">
      <formula>$O$6</formula>
    </cfRule>
    <cfRule type="cellIs" dxfId="5209" priority="1242" operator="equal">
      <formula>$O$5</formula>
    </cfRule>
    <cfRule type="cellIs" dxfId="5208" priority="1419" operator="equal">
      <formula>$O$10</formula>
    </cfRule>
    <cfRule type="cellIs" dxfId="5207" priority="1418" operator="equal">
      <formula>$O$18</formula>
    </cfRule>
    <cfRule type="duplicateValues" dxfId="5206" priority="1417"/>
    <cfRule type="duplicateValues" dxfId="5205" priority="1416"/>
    <cfRule type="cellIs" dxfId="5204" priority="1414" operator="equal">
      <formula>$O$6</formula>
    </cfRule>
    <cfRule type="duplicateValues" dxfId="5203" priority="1371"/>
    <cfRule type="duplicateValues" dxfId="5202" priority="1373"/>
    <cfRule type="cellIs" dxfId="5201" priority="1374" operator="equal">
      <formula>$O$13</formula>
    </cfRule>
    <cfRule type="cellIs" dxfId="5200" priority="1375" operator="equal">
      <formula>$O$12</formula>
    </cfRule>
    <cfRule type="cellIs" dxfId="5199" priority="1376" operator="equal">
      <formula>$O$11</formula>
    </cfRule>
    <cfRule type="cellIs" dxfId="5198" priority="1377" operator="equal">
      <formula>$O$10</formula>
    </cfRule>
    <cfRule type="cellIs" dxfId="5197" priority="1378" operator="equal">
      <formula>$O$9</formula>
    </cfRule>
    <cfRule type="cellIs" dxfId="5196" priority="1379" operator="equal">
      <formula>$O$8</formula>
    </cfRule>
    <cfRule type="cellIs" dxfId="5195" priority="1380" operator="equal">
      <formula>$O$7</formula>
    </cfRule>
    <cfRule type="cellIs" dxfId="5194" priority="1381" operator="equal">
      <formula>$O$6</formula>
    </cfRule>
    <cfRule type="cellIs" dxfId="5193" priority="1382" operator="equal">
      <formula>$O$5</formula>
    </cfRule>
    <cfRule type="cellIs" dxfId="5192" priority="1384" operator="equal">
      <formula>$O$18</formula>
    </cfRule>
    <cfRule type="cellIs" dxfId="5191" priority="1385" operator="equal">
      <formula>$O$17</formula>
    </cfRule>
    <cfRule type="cellIs" dxfId="5190" priority="1386" operator="equal">
      <formula>$O$16</formula>
    </cfRule>
    <cfRule type="cellIs" dxfId="5189" priority="1387" operator="equal">
      <formula>$O$15</formula>
    </cfRule>
    <cfRule type="cellIs" dxfId="5188" priority="1388" operator="equal">
      <formula>$O$14</formula>
    </cfRule>
    <cfRule type="duplicateValues" dxfId="5187" priority="1398"/>
    <cfRule type="duplicateValues" dxfId="5186" priority="1399"/>
    <cfRule type="cellIs" dxfId="5185" priority="1400" operator="equal">
      <formula>$O$18</formula>
    </cfRule>
    <cfRule type="cellIs" dxfId="5184" priority="1401" operator="equal">
      <formula>$O$17</formula>
    </cfRule>
    <cfRule type="cellIs" dxfId="5183" priority="1402" operator="equal">
      <formula>$O$16</formula>
    </cfRule>
    <cfRule type="cellIs" dxfId="5182" priority="1403" operator="equal">
      <formula>$O$15</formula>
    </cfRule>
    <cfRule type="cellIs" dxfId="5181" priority="1404" operator="equal">
      <formula>$O$14</formula>
    </cfRule>
    <cfRule type="cellIs" dxfId="5180" priority="1406" operator="equal">
      <formula>$O$13</formula>
    </cfRule>
    <cfRule type="cellIs" dxfId="5179" priority="1407" operator="equal">
      <formula>$O$12</formula>
    </cfRule>
    <cfRule type="cellIs" dxfId="5178" priority="1408" operator="equal">
      <formula>$O$11</formula>
    </cfRule>
    <cfRule type="cellIs" dxfId="5177" priority="1410" operator="equal">
      <formula>$O$10</formula>
    </cfRule>
    <cfRule type="cellIs" dxfId="5176" priority="1411" operator="equal">
      <formula>$O$9</formula>
    </cfRule>
    <cfRule type="cellIs" dxfId="5175" priority="1412" operator="equal">
      <formula>$O$8</formula>
    </cfRule>
    <cfRule type="cellIs" dxfId="5174" priority="1413" operator="equal">
      <formula>$O$7</formula>
    </cfRule>
    <cfRule type="duplicateValues" dxfId="5173" priority="1179"/>
    <cfRule type="duplicateValues" dxfId="5172" priority="1181"/>
    <cfRule type="cellIs" dxfId="5171" priority="1182" operator="equal">
      <formula>$O$13</formula>
    </cfRule>
    <cfRule type="cellIs" dxfId="5170" priority="1183" operator="equal">
      <formula>$O$12</formula>
    </cfRule>
    <cfRule type="cellIs" dxfId="5169" priority="1184" operator="equal">
      <formula>$O$11</formula>
    </cfRule>
    <cfRule type="cellIs" dxfId="5168" priority="1185" operator="equal">
      <formula>$O$10</formula>
    </cfRule>
    <cfRule type="cellIs" dxfId="5167" priority="1186" operator="equal">
      <formula>$O$9</formula>
    </cfRule>
    <cfRule type="cellIs" dxfId="5166" priority="1187" operator="equal">
      <formula>$O$8</formula>
    </cfRule>
    <cfRule type="cellIs" dxfId="5165" priority="1188" operator="equal">
      <formula>$O$7</formula>
    </cfRule>
    <cfRule type="cellIs" dxfId="5164" priority="1189" operator="equal">
      <formula>$O$6</formula>
    </cfRule>
    <cfRule type="cellIs" dxfId="5163" priority="1190" operator="equal">
      <formula>$O$5</formula>
    </cfRule>
    <cfRule type="cellIs" dxfId="5162" priority="1192" operator="equal">
      <formula>$O$18</formula>
    </cfRule>
    <cfRule type="cellIs" dxfId="5161" priority="1193" operator="equal">
      <formula>$O$17</formula>
    </cfRule>
    <cfRule type="cellIs" dxfId="5160" priority="1194" operator="equal">
      <formula>$O$16</formula>
    </cfRule>
    <cfRule type="cellIs" dxfId="5159" priority="1195" operator="equal">
      <formula>$O$15</formula>
    </cfRule>
    <cfRule type="cellIs" dxfId="5158" priority="1196" operator="equal">
      <formula>$O$14</formula>
    </cfRule>
    <cfRule type="duplicateValues" dxfId="5157" priority="1206"/>
    <cfRule type="duplicateValues" dxfId="5156" priority="1207"/>
    <cfRule type="cellIs" dxfId="5155" priority="1208" operator="equal">
      <formula>$O$18</formula>
    </cfRule>
    <cfRule type="cellIs" dxfId="5154" priority="1209" operator="equal">
      <formula>$O$17</formula>
    </cfRule>
    <cfRule type="cellIs" dxfId="5153" priority="1210" operator="equal">
      <formula>$O$16</formula>
    </cfRule>
    <cfRule type="cellIs" dxfId="5152" priority="1211" operator="equal">
      <formula>$O$15</formula>
    </cfRule>
    <cfRule type="cellIs" dxfId="5151" priority="1212" operator="equal">
      <formula>$O$14</formula>
    </cfRule>
    <cfRule type="cellIs" dxfId="5150" priority="1214" operator="equal">
      <formula>$O$13</formula>
    </cfRule>
    <cfRule type="cellIs" dxfId="5149" priority="1215" operator="equal">
      <formula>$O$12</formula>
    </cfRule>
    <cfRule type="cellIs" dxfId="5148" priority="1216" operator="equal">
      <formula>$O$11</formula>
    </cfRule>
    <cfRule type="cellIs" dxfId="5147" priority="1218" operator="equal">
      <formula>$O$10</formula>
    </cfRule>
    <cfRule type="cellIs" dxfId="5146" priority="1219" operator="equal">
      <formula>$O$9</formula>
    </cfRule>
    <cfRule type="cellIs" dxfId="5145" priority="1415" operator="equal">
      <formula>$O$5</formula>
    </cfRule>
    <cfRule type="cellIs" dxfId="5144" priority="1220" operator="equal">
      <formula>$O$8</formula>
    </cfRule>
    <cfRule type="cellIs" dxfId="5143" priority="1221" operator="equal">
      <formula>$O$7</formula>
    </cfRule>
    <cfRule type="cellIs" dxfId="5142" priority="1222" operator="equal">
      <formula>$O$6</formula>
    </cfRule>
  </conditionalFormatting>
  <conditionalFormatting sqref="H18">
    <cfRule type="duplicateValues" dxfId="5141" priority="353"/>
  </conditionalFormatting>
  <conditionalFormatting sqref="H18:H19">
    <cfRule type="cellIs" dxfId="5140" priority="340" operator="equal">
      <formula>$O$14</formula>
    </cfRule>
    <cfRule type="duplicateValues" dxfId="5139" priority="335"/>
    <cfRule type="cellIs" dxfId="5136" priority="346" operator="equal">
      <formula>$O$8</formula>
    </cfRule>
    <cfRule type="duplicateValues" dxfId="5135" priority="352"/>
    <cfRule type="duplicateValues" dxfId="5134" priority="351"/>
    <cfRule type="cellIs" dxfId="5133" priority="349" operator="equal">
      <formula>$O$5</formula>
    </cfRule>
    <cfRule type="cellIs" dxfId="5131" priority="348" operator="equal">
      <formula>$O$6</formula>
    </cfRule>
    <cfRule type="cellIs" dxfId="5130" priority="347" operator="equal">
      <formula>$O$7</formula>
    </cfRule>
    <cfRule type="cellIs" dxfId="5129" priority="345" operator="equal">
      <formula>$O$9</formula>
    </cfRule>
    <cfRule type="cellIs" dxfId="5128" priority="344" operator="equal">
      <formula>$O$10</formula>
    </cfRule>
    <cfRule type="duplicateValues" dxfId="5127" priority="368"/>
    <cfRule type="cellIs" dxfId="5124" priority="343" operator="equal">
      <formula>$O$11</formula>
    </cfRule>
    <cfRule type="cellIs" dxfId="5120" priority="342" operator="equal">
      <formula>$O$12</formula>
    </cfRule>
    <cfRule type="cellIs" dxfId="5119" priority="341" operator="equal">
      <formula>$O$13</formula>
    </cfRule>
    <cfRule type="cellIs" dxfId="5118" priority="339" operator="equal">
      <formula>$O$15</formula>
    </cfRule>
    <cfRule type="cellIs" dxfId="5117" priority="338" operator="equal">
      <formula>$O$16</formula>
    </cfRule>
    <cfRule type="cellIs" dxfId="5115" priority="337" operator="equal">
      <formula>$O$17</formula>
    </cfRule>
    <cfRule type="cellIs" dxfId="5114" priority="336" operator="equal">
      <formula>$O$18</formula>
    </cfRule>
  </conditionalFormatting>
  <conditionalFormatting sqref="H19">
    <cfRule type="duplicateValues" dxfId="5112" priority="354"/>
  </conditionalFormatting>
  <conditionalFormatting sqref="H21 H24:H31">
    <cfRule type="duplicateValues" dxfId="5111" priority="1691"/>
  </conditionalFormatting>
  <conditionalFormatting sqref="H21">
    <cfRule type="duplicateValues" dxfId="5110" priority="1678"/>
  </conditionalFormatting>
  <conditionalFormatting sqref="H21:H31">
    <cfRule type="duplicateValues" dxfId="5109" priority="1709"/>
  </conditionalFormatting>
  <conditionalFormatting sqref="H21:H33">
    <cfRule type="duplicateValues" dxfId="5099" priority="1633"/>
    <cfRule type="duplicateValues" dxfId="5098" priority="1660"/>
  </conditionalFormatting>
  <conditionalFormatting sqref="H21:H34">
    <cfRule type="duplicateValues" dxfId="5097" priority="1527"/>
    <cfRule type="duplicateValues" dxfId="5096" priority="1716"/>
  </conditionalFormatting>
  <conditionalFormatting sqref="H22:H23">
    <cfRule type="duplicateValues" dxfId="5095" priority="1690"/>
    <cfRule type="duplicateValues" dxfId="5094" priority="1689"/>
    <cfRule type="duplicateValues" dxfId="5093" priority="1692"/>
  </conditionalFormatting>
  <conditionalFormatting sqref="H23">
    <cfRule type="duplicateValues" dxfId="5092" priority="1015"/>
    <cfRule type="duplicateValues" dxfId="5090" priority="1013"/>
    <cfRule type="duplicateValues" dxfId="5089" priority="1012"/>
    <cfRule type="duplicateValues" dxfId="5088" priority="1017"/>
    <cfRule type="duplicateValues" dxfId="5087" priority="1016"/>
    <cfRule type="duplicateValues" dxfId="5086" priority="1018"/>
  </conditionalFormatting>
  <conditionalFormatting sqref="H27">
    <cfRule type="duplicateValues" dxfId="5085" priority="1037"/>
    <cfRule type="duplicateValues" dxfId="5083" priority="1035"/>
    <cfRule type="duplicateValues" dxfId="5082" priority="1038"/>
  </conditionalFormatting>
  <conditionalFormatting sqref="H32">
    <cfRule type="duplicateValues" dxfId="5081" priority="1048"/>
    <cfRule type="duplicateValues" dxfId="5080" priority="1047"/>
    <cfRule type="duplicateValues" dxfId="5078" priority="1045"/>
  </conditionalFormatting>
  <conditionalFormatting sqref="H32:H33">
    <cfRule type="duplicateValues" dxfId="5077" priority="1705"/>
  </conditionalFormatting>
  <conditionalFormatting sqref="H34">
    <cfRule type="cellIs" dxfId="5076" priority="956" operator="equal">
      <formula>$O$5</formula>
    </cfRule>
    <cfRule type="cellIs" dxfId="5075" priority="955" operator="equal">
      <formula>$O$6</formula>
    </cfRule>
    <cfRule type="cellIs" dxfId="5074" priority="954" operator="equal">
      <formula>$O$7</formula>
    </cfRule>
    <cfRule type="cellIs" dxfId="5073" priority="953" operator="equal">
      <formula>$O$8</formula>
    </cfRule>
    <cfRule type="cellIs" dxfId="5072" priority="952" operator="equal">
      <formula>$O$9</formula>
    </cfRule>
    <cfRule type="duplicateValues" dxfId="5071" priority="1621"/>
    <cfRule type="cellIs" dxfId="5070" priority="1620" operator="equal">
      <formula>$O$5</formula>
    </cfRule>
    <cfRule type="cellIs" dxfId="5069" priority="1619" operator="equal">
      <formula>$O$6</formula>
    </cfRule>
    <cfRule type="cellIs" dxfId="5068" priority="951" operator="equal">
      <formula>$O$10</formula>
    </cfRule>
    <cfRule type="cellIs" dxfId="5067" priority="950" operator="equal">
      <formula>$O$11</formula>
    </cfRule>
    <cfRule type="cellIs" dxfId="5066" priority="949" operator="equal">
      <formula>$O$12</formula>
    </cfRule>
    <cfRule type="cellIs" dxfId="5065" priority="1618" operator="equal">
      <formula>$O$7</formula>
    </cfRule>
    <cfRule type="cellIs" dxfId="5064" priority="1617" operator="equal">
      <formula>$O$8</formula>
    </cfRule>
    <cfRule type="cellIs" dxfId="5063" priority="948" operator="equal">
      <formula>$O$13</formula>
    </cfRule>
    <cfRule type="duplicateValues" dxfId="5062" priority="947"/>
    <cfRule type="cellIs" dxfId="5061" priority="1616" operator="equal">
      <formula>$O$9</formula>
    </cfRule>
    <cfRule type="cellIs" dxfId="5060" priority="1615" operator="equal">
      <formula>$O$10</formula>
    </cfRule>
    <cfRule type="cellIs" dxfId="5059" priority="1614" operator="equal">
      <formula>$O$11</formula>
    </cfRule>
    <cfRule type="cellIs" dxfId="5058" priority="958" operator="equal">
      <formula>$O$18</formula>
    </cfRule>
    <cfRule type="cellIs" dxfId="5057" priority="1613" operator="equal">
      <formula>$O$12</formula>
    </cfRule>
    <cfRule type="cellIs" dxfId="5056" priority="1612" operator="equal">
      <formula>$O$13</formula>
    </cfRule>
    <cfRule type="duplicateValues" dxfId="5055" priority="1588"/>
    <cfRule type="cellIs" dxfId="5054" priority="1587" operator="equal">
      <formula>$O$5</formula>
    </cfRule>
    <cfRule type="cellIs" dxfId="5053" priority="1586" operator="equal">
      <formula>$O$6</formula>
    </cfRule>
    <cfRule type="cellIs" dxfId="5052" priority="1585" operator="equal">
      <formula>$O$7</formula>
    </cfRule>
    <cfRule type="cellIs" dxfId="5051" priority="1584" operator="equal">
      <formula>$O$8</formula>
    </cfRule>
    <cfRule type="cellIs" dxfId="5050" priority="1582" operator="equal">
      <formula>$O$10</formula>
    </cfRule>
    <cfRule type="cellIs" dxfId="5049" priority="1581" operator="equal">
      <formula>$O$11</formula>
    </cfRule>
    <cfRule type="cellIs" dxfId="5048" priority="1580" operator="equal">
      <formula>$O$12</formula>
    </cfRule>
    <cfRule type="cellIs" dxfId="5047" priority="1579" operator="equal">
      <formula>$O$13</formula>
    </cfRule>
    <cfRule type="duplicateValues" dxfId="5046" priority="1558"/>
    <cfRule type="cellIs" dxfId="5045" priority="1557" operator="equal">
      <formula>$O$5</formula>
    </cfRule>
    <cfRule type="cellIs" dxfId="5044" priority="1556" operator="equal">
      <formula>$O$6</formula>
    </cfRule>
    <cfRule type="cellIs" dxfId="5043" priority="1555" operator="equal">
      <formula>$O$7</formula>
    </cfRule>
    <cfRule type="cellIs" dxfId="5042" priority="1554" operator="equal">
      <formula>$O$8</formula>
    </cfRule>
    <cfRule type="cellIs" dxfId="5041" priority="1553" operator="equal">
      <formula>$O$9</formula>
    </cfRule>
    <cfRule type="cellIs" dxfId="5040" priority="1552" operator="equal">
      <formula>$O$10</formula>
    </cfRule>
    <cfRule type="cellIs" dxfId="5039" priority="1551" operator="equal">
      <formula>$O$11</formula>
    </cfRule>
    <cfRule type="cellIs" dxfId="5038" priority="1550" operator="equal">
      <formula>$O$12</formula>
    </cfRule>
    <cfRule type="cellIs" dxfId="5037" priority="1549" operator="equal">
      <formula>$O$13</formula>
    </cfRule>
    <cfRule type="cellIs" dxfId="5036" priority="1583" operator="equal">
      <formula>$O$9</formula>
    </cfRule>
    <cfRule type="duplicateValues" dxfId="5025" priority="966"/>
    <cfRule type="cellIs" dxfId="5024" priority="962" operator="equal">
      <formula>$O$14</formula>
    </cfRule>
    <cfRule type="cellIs" dxfId="5023" priority="961" operator="equal">
      <formula>$O$15</formula>
    </cfRule>
    <cfRule type="cellIs" dxfId="5022" priority="960" operator="equal">
      <formula>$O$16</formula>
    </cfRule>
    <cfRule type="cellIs" dxfId="5021" priority="959" operator="equal">
      <formula>$O$17</formula>
    </cfRule>
  </conditionalFormatting>
  <conditionalFormatting sqref="H35">
    <cfRule type="duplicateValues" dxfId="5018" priority="580"/>
    <cfRule type="duplicateValues" dxfId="5010" priority="571"/>
    <cfRule type="duplicateValues" dxfId="5009" priority="570"/>
  </conditionalFormatting>
  <conditionalFormatting sqref="H35:H36">
    <cfRule type="duplicateValues" dxfId="5007" priority="647"/>
    <cfRule type="duplicateValues" dxfId="5006" priority="588"/>
    <cfRule type="cellIs" dxfId="5005" priority="557" operator="equal">
      <formula>$O$8</formula>
    </cfRule>
    <cfRule type="duplicateValues" dxfId="5004" priority="656"/>
    <cfRule type="duplicateValues" dxfId="5003" priority="587"/>
    <cfRule type="cellIs" dxfId="5002" priority="560" operator="equal">
      <formula>$O$5</formula>
    </cfRule>
    <cfRule type="cellIs" dxfId="5001" priority="558" operator="equal">
      <formula>$O$7</formula>
    </cfRule>
    <cfRule type="cellIs" dxfId="5000" priority="531" operator="equal">
      <formula>$O$10</formula>
    </cfRule>
    <cfRule type="cellIs" dxfId="4999" priority="532" operator="equal">
      <formula>$O$18</formula>
    </cfRule>
    <cfRule type="cellIs" dxfId="4998" priority="533" operator="equal">
      <formula>$O$17</formula>
    </cfRule>
    <cfRule type="cellIs" dxfId="4997" priority="534" operator="equal">
      <formula>$O$16</formula>
    </cfRule>
    <cfRule type="cellIs" dxfId="4996" priority="535" operator="equal">
      <formula>$O$15</formula>
    </cfRule>
    <cfRule type="cellIs" dxfId="4995" priority="556" operator="equal">
      <formula>$O$9</formula>
    </cfRule>
    <cfRule type="cellIs" dxfId="4994" priority="536" operator="equal">
      <formula>$O$14</formula>
    </cfRule>
    <cfRule type="cellIs" dxfId="4993" priority="537" operator="equal">
      <formula>$O$13</formula>
    </cfRule>
    <cfRule type="cellIs" dxfId="4992" priority="538" operator="equal">
      <formula>$O$12</formula>
    </cfRule>
    <cfRule type="cellIs" dxfId="4991" priority="539" operator="equal">
      <formula>$O$11</formula>
    </cfRule>
    <cfRule type="cellIs" dxfId="4990" priority="559" operator="equal">
      <formula>$O$6</formula>
    </cfRule>
    <cfRule type="duplicateValues" dxfId="4989" priority="645"/>
  </conditionalFormatting>
  <conditionalFormatting sqref="H36">
    <cfRule type="duplicateValues" dxfId="4987" priority="551"/>
    <cfRule type="duplicateValues" dxfId="4978" priority="540"/>
  </conditionalFormatting>
  <conditionalFormatting sqref="H38:H49 L38:L49 N38:N49 F38:F49">
    <cfRule type="cellIs" dxfId="4976" priority="2216" operator="equal">
      <formula>$O$17</formula>
    </cfRule>
    <cfRule type="cellIs" dxfId="4975" priority="2215" operator="equal">
      <formula>$O$18</formula>
    </cfRule>
  </conditionalFormatting>
  <conditionalFormatting sqref="H38:H49 L38:L50 N38:N50 F38:F49">
    <cfRule type="cellIs" dxfId="4974" priority="2212" operator="equal">
      <formula>$O$6</formula>
    </cfRule>
    <cfRule type="cellIs" dxfId="4973" priority="2211" operator="equal">
      <formula>$O$7</formula>
    </cfRule>
    <cfRule type="cellIs" dxfId="4972" priority="2213" operator="equal">
      <formula>$O$5</formula>
    </cfRule>
    <cfRule type="cellIs" dxfId="4971" priority="2210" operator="equal">
      <formula>$O$8</formula>
    </cfRule>
    <cfRule type="cellIs" dxfId="4970" priority="2209" operator="equal">
      <formula>$O$9</formula>
    </cfRule>
    <cfRule type="cellIs" dxfId="4969" priority="2208" operator="equal">
      <formula>$O$10</formula>
    </cfRule>
  </conditionalFormatting>
  <conditionalFormatting sqref="H38:H49">
    <cfRule type="duplicateValues" dxfId="4968" priority="2225"/>
    <cfRule type="duplicateValues" dxfId="4967" priority="2200"/>
  </conditionalFormatting>
  <conditionalFormatting sqref="H38:H50 L38:L50 N38:N50 F38:F50">
    <cfRule type="cellIs" dxfId="4966" priority="2206" operator="equal">
      <formula>$O$12</formula>
    </cfRule>
    <cfRule type="cellIs" dxfId="4965" priority="2218" operator="equal">
      <formula>$O$15</formula>
    </cfRule>
    <cfRule type="cellIs" dxfId="4964" priority="2217" operator="equal">
      <formula>$O$16</formula>
    </cfRule>
    <cfRule type="cellIs" dxfId="4963" priority="2205" operator="equal">
      <formula>$O$13</formula>
    </cfRule>
    <cfRule type="cellIs" dxfId="4962" priority="2207" operator="equal">
      <formula>$O$11</formula>
    </cfRule>
    <cfRule type="cellIs" dxfId="4961" priority="2219" operator="equal">
      <formula>$O$14</formula>
    </cfRule>
  </conditionalFormatting>
  <conditionalFormatting sqref="H38:H50">
    <cfRule type="duplicateValues" dxfId="4960" priority="2067"/>
  </conditionalFormatting>
  <conditionalFormatting sqref="H38:H51">
    <cfRule type="duplicateValues" dxfId="4959" priority="1789"/>
  </conditionalFormatting>
  <conditionalFormatting sqref="H49 F49">
    <cfRule type="cellIs" dxfId="4958" priority="2165" operator="equal">
      <formula>$O$14</formula>
    </cfRule>
    <cfRule type="cellIs" dxfId="4957" priority="2164" operator="equal">
      <formula>$O$15</formula>
    </cfRule>
    <cfRule type="cellIs" dxfId="4956" priority="2163" operator="equal">
      <formula>$O$16</formula>
    </cfRule>
    <cfRule type="cellIs" dxfId="4955" priority="2178" operator="equal">
      <formula>$O$7</formula>
    </cfRule>
    <cfRule type="cellIs" dxfId="4954" priority="2168" operator="equal">
      <formula>$O$11</formula>
    </cfRule>
    <cfRule type="cellIs" dxfId="4953" priority="2176" operator="equal">
      <formula>$O$9</formula>
    </cfRule>
    <cfRule type="cellIs" dxfId="4952" priority="2171" operator="equal">
      <formula>$O$17</formula>
    </cfRule>
    <cfRule type="cellIs" dxfId="4951" priority="2170" operator="equal">
      <formula>$O$18</formula>
    </cfRule>
    <cfRule type="cellIs" dxfId="4950" priority="2169" operator="equal">
      <formula>$O$10</formula>
    </cfRule>
    <cfRule type="cellIs" dxfId="4949" priority="2167" operator="equal">
      <formula>$O$12</formula>
    </cfRule>
    <cfRule type="cellIs" dxfId="4948" priority="2166" operator="equal">
      <formula>$O$13</formula>
    </cfRule>
    <cfRule type="cellIs" dxfId="4947" priority="2177" operator="equal">
      <formula>$O$8</formula>
    </cfRule>
    <cfRule type="cellIs" dxfId="4940" priority="2180" operator="equal">
      <formula>$O$5</formula>
    </cfRule>
    <cfRule type="cellIs" dxfId="4939" priority="2179" operator="equal">
      <formula>$O$6</formula>
    </cfRule>
  </conditionalFormatting>
  <conditionalFormatting sqref="H49">
    <cfRule type="duplicateValues" dxfId="4938" priority="2150"/>
    <cfRule type="duplicateValues" dxfId="4937" priority="2145"/>
    <cfRule type="duplicateValues" dxfId="4936" priority="2162"/>
    <cfRule type="duplicateValues" dxfId="4935" priority="2142"/>
    <cfRule type="duplicateValues" dxfId="4934" priority="2144"/>
    <cfRule type="duplicateValues" dxfId="4933" priority="2148"/>
    <cfRule type="duplicateValues" dxfId="4932" priority="2149"/>
  </conditionalFormatting>
  <conditionalFormatting sqref="H50 F50">
    <cfRule type="cellIs" dxfId="4927" priority="2038" operator="equal">
      <formula>$O$18</formula>
    </cfRule>
    <cfRule type="cellIs" dxfId="4924" priority="2031" operator="equal">
      <formula>$O$16</formula>
    </cfRule>
    <cfRule type="cellIs" dxfId="4923" priority="2032" operator="equal">
      <formula>$O$15</formula>
    </cfRule>
    <cfRule type="cellIs" dxfId="4922" priority="2033" operator="equal">
      <formula>$O$14</formula>
    </cfRule>
    <cfRule type="cellIs" dxfId="4921" priority="2034" operator="equal">
      <formula>$O$13</formula>
    </cfRule>
    <cfRule type="cellIs" dxfId="4920" priority="2035" operator="equal">
      <formula>$O$12</formula>
    </cfRule>
    <cfRule type="cellIs" dxfId="4919" priority="2036" operator="equal">
      <formula>$O$11</formula>
    </cfRule>
    <cfRule type="cellIs" dxfId="4918" priority="2037" operator="equal">
      <formula>$O$10</formula>
    </cfRule>
    <cfRule type="cellIs" dxfId="4917" priority="2039" operator="equal">
      <formula>$O$17</formula>
    </cfRule>
    <cfRule type="cellIs" dxfId="4916" priority="2044" operator="equal">
      <formula>$O$9</formula>
    </cfRule>
    <cfRule type="cellIs" dxfId="4915" priority="2045" operator="equal">
      <formula>$O$8</formula>
    </cfRule>
    <cfRule type="cellIs" dxfId="4914" priority="2046" operator="equal">
      <formula>$O$7</formula>
    </cfRule>
    <cfRule type="cellIs" dxfId="4913" priority="2047" operator="equal">
      <formula>$O$6</formula>
    </cfRule>
    <cfRule type="cellIs" dxfId="4912" priority="2048" operator="equal">
      <formula>$O$5</formula>
    </cfRule>
  </conditionalFormatting>
  <conditionalFormatting sqref="H50">
    <cfRule type="duplicateValues" dxfId="4911" priority="2010"/>
    <cfRule type="duplicateValues" dxfId="4910" priority="2012"/>
    <cfRule type="duplicateValues" dxfId="4909" priority="2030"/>
    <cfRule type="duplicateValues" dxfId="4908" priority="2018"/>
    <cfRule type="duplicateValues" dxfId="4907" priority="2017"/>
    <cfRule type="duplicateValues" dxfId="4906" priority="2016"/>
    <cfRule type="duplicateValues" dxfId="4905" priority="2013"/>
  </conditionalFormatting>
  <conditionalFormatting sqref="H51 F51">
    <cfRule type="cellIs" dxfId="4904" priority="1893" operator="equal">
      <formula>$O$18</formula>
    </cfRule>
    <cfRule type="cellIs" dxfId="4902" priority="1889" operator="equal">
      <formula>$O$13</formula>
    </cfRule>
    <cfRule type="cellIs" dxfId="4901" priority="1890" operator="equal">
      <formula>$O$12</formula>
    </cfRule>
    <cfRule type="cellIs" dxfId="4900" priority="1902" operator="equal">
      <formula>$O$6</formula>
    </cfRule>
    <cfRule type="cellIs" dxfId="4899" priority="1901" operator="equal">
      <formula>$O$7</formula>
    </cfRule>
    <cfRule type="cellIs" dxfId="4896" priority="1886" operator="equal">
      <formula>$O$16</formula>
    </cfRule>
    <cfRule type="cellIs" dxfId="4893" priority="1899" operator="equal">
      <formula>$O$9</formula>
    </cfRule>
    <cfRule type="cellIs" dxfId="4892" priority="1900" operator="equal">
      <formula>$O$8</formula>
    </cfRule>
    <cfRule type="cellIs" dxfId="4891" priority="1891" operator="equal">
      <formula>$O$11</formula>
    </cfRule>
    <cfRule type="cellIs" dxfId="4889" priority="1892" operator="equal">
      <formula>$O$10</formula>
    </cfRule>
    <cfRule type="cellIs" dxfId="4888" priority="1894" operator="equal">
      <formula>$O$17</formula>
    </cfRule>
    <cfRule type="cellIs" dxfId="4887" priority="1887" operator="equal">
      <formula>$O$15</formula>
    </cfRule>
    <cfRule type="cellIs" dxfId="4886" priority="1903" operator="equal">
      <formula>$O$5</formula>
    </cfRule>
    <cfRule type="cellIs" dxfId="4885" priority="1888" operator="equal">
      <formula>$O$14</formula>
    </cfRule>
  </conditionalFormatting>
  <conditionalFormatting sqref="H51">
    <cfRule type="duplicateValues" dxfId="4884" priority="1865"/>
    <cfRule type="duplicateValues" dxfId="4883" priority="1867"/>
    <cfRule type="duplicateValues" dxfId="4882" priority="1868"/>
    <cfRule type="duplicateValues" dxfId="4881" priority="1871"/>
    <cfRule type="duplicateValues" dxfId="4880" priority="1872"/>
    <cfRule type="duplicateValues" dxfId="4879" priority="1873"/>
    <cfRule type="duplicateValues" dxfId="4878" priority="1885"/>
    <cfRule type="duplicateValues" dxfId="4877" priority="1910"/>
  </conditionalFormatting>
  <conditionalFormatting sqref="H52">
    <cfRule type="duplicateValues" dxfId="4876" priority="748"/>
    <cfRule type="duplicateValues" dxfId="4875" priority="745"/>
  </conditionalFormatting>
  <conditionalFormatting sqref="H52:H53">
    <cfRule type="duplicateValues" dxfId="4874" priority="762"/>
    <cfRule type="duplicateValues" dxfId="4872" priority="815"/>
    <cfRule type="duplicateValues" dxfId="4871" priority="818"/>
    <cfRule type="cellIs" dxfId="4868" priority="758" operator="equal">
      <formula>$O$5</formula>
    </cfRule>
    <cfRule type="cellIs" dxfId="4867" priority="756" operator="equal">
      <formula>$O$7</formula>
    </cfRule>
    <cfRule type="cellIs" dxfId="4866" priority="757" operator="equal">
      <formula>$O$6</formula>
    </cfRule>
    <cfRule type="duplicateValues" dxfId="4865" priority="775"/>
    <cfRule type="cellIs" dxfId="4864" priority="755" operator="equal">
      <formula>$O$8</formula>
    </cfRule>
    <cfRule type="cellIs" dxfId="4863" priority="754" operator="equal">
      <formula>$O$9</formula>
    </cfRule>
    <cfRule type="cellIs" dxfId="4862" priority="750" operator="equal">
      <formula>$O$13</formula>
    </cfRule>
    <cfRule type="duplicateValues" dxfId="4861" priority="749"/>
    <cfRule type="duplicateValues" dxfId="4860" priority="773"/>
    <cfRule type="containsText" dxfId="4859" priority="742" operator="containsText" text="(HEM)">
      <formula>NOT(ISERROR(SEARCH("(HEM)",H52)))</formula>
    </cfRule>
    <cfRule type="containsText" dxfId="4858" priority="743" operator="containsText" text="(SV)">
      <formula>NOT(ISERROR(SEARCH("(SV)",H52)))</formula>
    </cfRule>
    <cfRule type="duplicateValues" dxfId="4857" priority="746"/>
    <cfRule type="cellIs" dxfId="4856" priority="751" operator="equal">
      <formula>$O$12</formula>
    </cfRule>
    <cfRule type="cellIs" dxfId="4854" priority="761" operator="equal">
      <formula>$O$17</formula>
    </cfRule>
    <cfRule type="cellIs" dxfId="4853" priority="760" operator="equal">
      <formula>$O$18</formula>
    </cfRule>
    <cfRule type="duplicateValues" dxfId="4852" priority="774"/>
    <cfRule type="cellIs" dxfId="4851" priority="753" operator="equal">
      <formula>$O$10</formula>
    </cfRule>
    <cfRule type="cellIs" dxfId="4844" priority="752" operator="equal">
      <formula>$O$11</formula>
    </cfRule>
  </conditionalFormatting>
  <conditionalFormatting sqref="H53">
    <cfRule type="duplicateValues" dxfId="4843" priority="744"/>
    <cfRule type="duplicateValues" dxfId="4842" priority="747"/>
  </conditionalFormatting>
  <conditionalFormatting sqref="H21:I21 E20:N20">
    <cfRule type="cellIs" dxfId="4841" priority="1656" operator="equal">
      <formula>$O$7</formula>
    </cfRule>
    <cfRule type="cellIs" dxfId="4840" priority="1657" operator="equal">
      <formula>$O$6</formula>
    </cfRule>
    <cfRule type="cellIs" dxfId="4839" priority="1653" operator="equal">
      <formula>$O$11</formula>
    </cfRule>
    <cfRule type="cellIs" dxfId="4838" priority="1654" operator="equal">
      <formula>$O$9</formula>
    </cfRule>
    <cfRule type="cellIs" dxfId="4837" priority="1658" operator="equal">
      <formula>$O$5</formula>
    </cfRule>
    <cfRule type="cellIs" dxfId="4836" priority="1655" operator="equal">
      <formula>$O$8</formula>
    </cfRule>
  </conditionalFormatting>
  <conditionalFormatting sqref="I20:I21">
    <cfRule type="cellIs" dxfId="4835" priority="1661" operator="equal">
      <formula>0</formula>
    </cfRule>
  </conditionalFormatting>
  <conditionalFormatting sqref="J20:N20">
    <cfRule type="cellIs" dxfId="4834" priority="528" operator="equal">
      <formula>0</formula>
    </cfRule>
  </conditionalFormatting>
  <conditionalFormatting sqref="K5">
    <cfRule type="duplicateValues" dxfId="4833" priority="227"/>
  </conditionalFormatting>
  <conditionalFormatting sqref="K5:K16">
    <cfRule type="cellIs" dxfId="4832" priority="226" operator="equal">
      <formula>0</formula>
    </cfRule>
  </conditionalFormatting>
  <conditionalFormatting sqref="K6">
    <cfRule type="duplicateValues" dxfId="4831" priority="228"/>
  </conditionalFormatting>
  <conditionalFormatting sqref="K7">
    <cfRule type="duplicateValues" dxfId="4830" priority="229"/>
  </conditionalFormatting>
  <conditionalFormatting sqref="K8">
    <cfRule type="duplicateValues" dxfId="4829" priority="230"/>
  </conditionalFormatting>
  <conditionalFormatting sqref="K9">
    <cfRule type="duplicateValues" dxfId="4828" priority="231"/>
  </conditionalFormatting>
  <conditionalFormatting sqref="K10">
    <cfRule type="duplicateValues" dxfId="4827" priority="232"/>
  </conditionalFormatting>
  <conditionalFormatting sqref="K11">
    <cfRule type="duplicateValues" dxfId="4826" priority="233"/>
  </conditionalFormatting>
  <conditionalFormatting sqref="K12">
    <cfRule type="duplicateValues" dxfId="4825" priority="234"/>
  </conditionalFormatting>
  <conditionalFormatting sqref="K13">
    <cfRule type="duplicateValues" dxfId="4824" priority="235"/>
  </conditionalFormatting>
  <conditionalFormatting sqref="K14">
    <cfRule type="duplicateValues" dxfId="4823" priority="236"/>
  </conditionalFormatting>
  <conditionalFormatting sqref="K15">
    <cfRule type="duplicateValues" dxfId="4822" priority="237"/>
  </conditionalFormatting>
  <conditionalFormatting sqref="K16">
    <cfRule type="duplicateValues" dxfId="4821" priority="238"/>
  </conditionalFormatting>
  <conditionalFormatting sqref="K18">
    <cfRule type="duplicateValues" dxfId="4820" priority="331"/>
  </conditionalFormatting>
  <conditionalFormatting sqref="K18:K19">
    <cfRule type="cellIs" dxfId="4819" priority="330" operator="equal">
      <formula>0</formula>
    </cfRule>
  </conditionalFormatting>
  <conditionalFormatting sqref="K19">
    <cfRule type="duplicateValues" dxfId="4818" priority="332"/>
  </conditionalFormatting>
  <conditionalFormatting sqref="K21">
    <cfRule type="duplicateValues" dxfId="4817" priority="44"/>
  </conditionalFormatting>
  <conditionalFormatting sqref="K21:K34">
    <cfRule type="cellIs" dxfId="4816" priority="26" operator="equal">
      <formula>$O$11</formula>
    </cfRule>
    <cfRule type="cellIs" dxfId="4815" priority="27" operator="equal">
      <formula>$O$9</formula>
    </cfRule>
    <cfRule type="cellIs" dxfId="4814" priority="28" operator="equal">
      <formula>$O$8</formula>
    </cfRule>
    <cfRule type="cellIs" dxfId="4813" priority="29" operator="equal">
      <formula>$O$7</formula>
    </cfRule>
    <cfRule type="cellIs" dxfId="4812" priority="30" operator="equal">
      <formula>$O$6</formula>
    </cfRule>
    <cfRule type="cellIs" dxfId="4811" priority="31" operator="equal">
      <formula>$O$5</formula>
    </cfRule>
  </conditionalFormatting>
  <conditionalFormatting sqref="K22">
    <cfRule type="duplicateValues" dxfId="4810" priority="43"/>
  </conditionalFormatting>
  <conditionalFormatting sqref="K23">
    <cfRule type="duplicateValues" dxfId="4809" priority="42"/>
  </conditionalFormatting>
  <conditionalFormatting sqref="K25">
    <cfRule type="duplicateValues" dxfId="4808" priority="41"/>
  </conditionalFormatting>
  <conditionalFormatting sqref="K26">
    <cfRule type="duplicateValues" dxfId="4807" priority="40"/>
  </conditionalFormatting>
  <conditionalFormatting sqref="K27">
    <cfRule type="duplicateValues" dxfId="4806" priority="39"/>
  </conditionalFormatting>
  <conditionalFormatting sqref="K28">
    <cfRule type="duplicateValues" dxfId="4805" priority="38"/>
  </conditionalFormatting>
  <conditionalFormatting sqref="K29">
    <cfRule type="duplicateValues" dxfId="4804" priority="37"/>
  </conditionalFormatting>
  <conditionalFormatting sqref="K30">
    <cfRule type="duplicateValues" dxfId="4803" priority="36"/>
  </conditionalFormatting>
  <conditionalFormatting sqref="K31">
    <cfRule type="duplicateValues" dxfId="4802" priority="35"/>
  </conditionalFormatting>
  <conditionalFormatting sqref="K32">
    <cfRule type="duplicateValues" dxfId="4801" priority="34"/>
  </conditionalFormatting>
  <conditionalFormatting sqref="K33">
    <cfRule type="duplicateValues" dxfId="4800" priority="33"/>
  </conditionalFormatting>
  <conditionalFormatting sqref="K34">
    <cfRule type="duplicateValues" dxfId="4799" priority="24"/>
    <cfRule type="duplicateValues" dxfId="4798" priority="25"/>
    <cfRule type="duplicateValues" dxfId="4797" priority="23"/>
  </conditionalFormatting>
  <conditionalFormatting sqref="K35">
    <cfRule type="duplicateValues" dxfId="4796" priority="518"/>
  </conditionalFormatting>
  <conditionalFormatting sqref="K36">
    <cfRule type="duplicateValues" dxfId="4795" priority="517"/>
    <cfRule type="duplicateValues" dxfId="4794" priority="516"/>
    <cfRule type="duplicateValues" dxfId="4793" priority="515"/>
  </conditionalFormatting>
  <conditionalFormatting sqref="K38">
    <cfRule type="duplicateValues" dxfId="4792" priority="123"/>
    <cfRule type="duplicateValues" dxfId="4791" priority="150"/>
  </conditionalFormatting>
  <conditionalFormatting sqref="K39">
    <cfRule type="duplicateValues" dxfId="4790" priority="137"/>
    <cfRule type="duplicateValues" dxfId="4789" priority="149"/>
  </conditionalFormatting>
  <conditionalFormatting sqref="K40">
    <cfRule type="duplicateValues" dxfId="4788" priority="136"/>
    <cfRule type="duplicateValues" dxfId="4787" priority="148"/>
  </conditionalFormatting>
  <conditionalFormatting sqref="K41">
    <cfRule type="duplicateValues" dxfId="4786" priority="147"/>
    <cfRule type="duplicateValues" dxfId="4785" priority="135"/>
  </conditionalFormatting>
  <conditionalFormatting sqref="K42">
    <cfRule type="duplicateValues" dxfId="4784" priority="134"/>
    <cfRule type="duplicateValues" dxfId="4783" priority="146"/>
  </conditionalFormatting>
  <conditionalFormatting sqref="K43">
    <cfRule type="duplicateValues" dxfId="4782" priority="133"/>
    <cfRule type="duplicateValues" dxfId="4781" priority="145"/>
  </conditionalFormatting>
  <conditionalFormatting sqref="K44">
    <cfRule type="duplicateValues" dxfId="4780" priority="132"/>
    <cfRule type="duplicateValues" dxfId="4779" priority="144"/>
  </conditionalFormatting>
  <conditionalFormatting sqref="K45">
    <cfRule type="duplicateValues" dxfId="4778" priority="143"/>
    <cfRule type="duplicateValues" dxfId="4777" priority="131"/>
  </conditionalFormatting>
  <conditionalFormatting sqref="K46">
    <cfRule type="duplicateValues" dxfId="4776" priority="142"/>
    <cfRule type="duplicateValues" dxfId="4775" priority="130"/>
  </conditionalFormatting>
  <conditionalFormatting sqref="K47">
    <cfRule type="duplicateValues" dxfId="4774" priority="141"/>
    <cfRule type="duplicateValues" dxfId="4773" priority="129"/>
  </conditionalFormatting>
  <conditionalFormatting sqref="K48">
    <cfRule type="duplicateValues" dxfId="4772" priority="140"/>
    <cfRule type="duplicateValues" dxfId="4771" priority="128"/>
  </conditionalFormatting>
  <conditionalFormatting sqref="K49">
    <cfRule type="duplicateValues" dxfId="4770" priority="139"/>
    <cfRule type="duplicateValues" dxfId="4769" priority="138"/>
    <cfRule type="duplicateValues" dxfId="4768" priority="127"/>
  </conditionalFormatting>
  <conditionalFormatting sqref="K50">
    <cfRule type="duplicateValues" dxfId="4767" priority="125"/>
    <cfRule type="duplicateValues" dxfId="4766" priority="126"/>
  </conditionalFormatting>
  <conditionalFormatting sqref="K51">
    <cfRule type="duplicateValues" dxfId="4765" priority="120"/>
    <cfRule type="duplicateValues" dxfId="4764" priority="121"/>
  </conditionalFormatting>
  <conditionalFormatting sqref="K52">
    <cfRule type="duplicateValues" dxfId="4763" priority="727"/>
    <cfRule type="duplicateValues" dxfId="4762" priority="729"/>
  </conditionalFormatting>
  <conditionalFormatting sqref="K53">
    <cfRule type="duplicateValues" dxfId="4761" priority="728"/>
    <cfRule type="duplicateValues" dxfId="4760" priority="726"/>
  </conditionalFormatting>
  <conditionalFormatting sqref="K21:N36">
    <cfRule type="cellIs" dxfId="4759" priority="10" operator="equal">
      <formula>0</formula>
    </cfRule>
  </conditionalFormatting>
  <conditionalFormatting sqref="K35:N36">
    <cfRule type="cellIs" dxfId="4758" priority="527" operator="equal">
      <formula>$O$5</formula>
    </cfRule>
    <cfRule type="cellIs" dxfId="4757" priority="523" operator="equal">
      <formula>$O$9</formula>
    </cfRule>
    <cfRule type="cellIs" dxfId="4756" priority="524" operator="equal">
      <formula>$O$8</formula>
    </cfRule>
    <cfRule type="cellIs" dxfId="4755" priority="522" operator="equal">
      <formula>$O$11</formula>
    </cfRule>
    <cfRule type="cellIs" dxfId="4754" priority="525" operator="equal">
      <formula>$O$7</formula>
    </cfRule>
    <cfRule type="cellIs" dxfId="4753" priority="526" operator="equal">
      <formula>$O$6</formula>
    </cfRule>
  </conditionalFormatting>
  <conditionalFormatting sqref="K38:N53">
    <cfRule type="cellIs" dxfId="4752" priority="91" operator="equal">
      <formula>0</formula>
    </cfRule>
  </conditionalFormatting>
  <conditionalFormatting sqref="L5 F5 H5 N5">
    <cfRule type="duplicateValues" dxfId="4751" priority="1483"/>
  </conditionalFormatting>
  <conditionalFormatting sqref="L5">
    <cfRule type="duplicateValues" dxfId="4750" priority="1476"/>
    <cfRule type="duplicateValues" dxfId="4749" priority="1475"/>
  </conditionalFormatting>
  <conditionalFormatting sqref="L5:L10 L12:L16">
    <cfRule type="duplicateValues" dxfId="4748" priority="1479"/>
    <cfRule type="duplicateValues" dxfId="4747" priority="1472"/>
    <cfRule type="duplicateValues" dxfId="4746" priority="1471"/>
  </conditionalFormatting>
  <conditionalFormatting sqref="L5:L17 L21:L34">
    <cfRule type="duplicateValues" dxfId="4745" priority="835"/>
  </conditionalFormatting>
  <conditionalFormatting sqref="L5:L17">
    <cfRule type="duplicateValues" dxfId="4744" priority="1436"/>
  </conditionalFormatting>
  <conditionalFormatting sqref="L5:L19">
    <cfRule type="cellIs" dxfId="4743" priority="315" operator="equal">
      <formula>0</formula>
    </cfRule>
  </conditionalFormatting>
  <conditionalFormatting sqref="L6 F6 H6 N6">
    <cfRule type="duplicateValues" dxfId="4742" priority="1484"/>
  </conditionalFormatting>
  <conditionalFormatting sqref="L7 F7 H7 N7">
    <cfRule type="duplicateValues" dxfId="4741" priority="1485"/>
  </conditionalFormatting>
  <conditionalFormatting sqref="L8 F8 H8 N8">
    <cfRule type="duplicateValues" dxfId="4740" priority="1486"/>
  </conditionalFormatting>
  <conditionalFormatting sqref="L9 F9 H9 N9">
    <cfRule type="duplicateValues" dxfId="4739" priority="1487"/>
  </conditionalFormatting>
  <conditionalFormatting sqref="L10 F10 H10 N10">
    <cfRule type="duplicateValues" dxfId="4738" priority="1488"/>
  </conditionalFormatting>
  <conditionalFormatting sqref="L11 F11 H11 N11">
    <cfRule type="duplicateValues" dxfId="4737" priority="1489"/>
  </conditionalFormatting>
  <conditionalFormatting sqref="L11">
    <cfRule type="duplicateValues" dxfId="4736" priority="1468"/>
    <cfRule type="duplicateValues" dxfId="4735" priority="1467"/>
  </conditionalFormatting>
  <conditionalFormatting sqref="L12 F12 H12 N12">
    <cfRule type="duplicateValues" dxfId="4734" priority="1490"/>
  </conditionalFormatting>
  <conditionalFormatting sqref="L13 F13 H13 N13">
    <cfRule type="duplicateValues" dxfId="4733" priority="1491"/>
  </conditionalFormatting>
  <conditionalFormatting sqref="L14 F14 H14 N14">
    <cfRule type="duplicateValues" dxfId="4732" priority="1492"/>
  </conditionalFormatting>
  <conditionalFormatting sqref="L15 F15 H15 N15">
    <cfRule type="duplicateValues" dxfId="4731" priority="1493"/>
  </conditionalFormatting>
  <conditionalFormatting sqref="L15">
    <cfRule type="duplicateValues" dxfId="4730" priority="1463"/>
    <cfRule type="duplicateValues" dxfId="4729" priority="1464"/>
  </conditionalFormatting>
  <conditionalFormatting sqref="L16 F16 H16 N16">
    <cfRule type="duplicateValues" dxfId="4728" priority="1494"/>
  </conditionalFormatting>
  <conditionalFormatting sqref="L17">
    <cfRule type="cellIs" dxfId="4727" priority="1145" operator="equal">
      <formula>$O$17</formula>
    </cfRule>
    <cfRule type="cellIs" dxfId="4726" priority="1146" operator="equal">
      <formula>$O$16</formula>
    </cfRule>
    <cfRule type="cellIs" dxfId="4725" priority="1147" operator="equal">
      <formula>$O$15</formula>
    </cfRule>
    <cfRule type="cellIs" dxfId="4724" priority="1148" operator="equal">
      <formula>$O$14</formula>
    </cfRule>
    <cfRule type="cellIs" dxfId="4723" priority="1150" operator="equal">
      <formula>$O$13</formula>
    </cfRule>
    <cfRule type="cellIs" dxfId="4722" priority="1151" operator="equal">
      <formula>$O$12</formula>
    </cfRule>
    <cfRule type="cellIs" dxfId="4721" priority="1152" operator="equal">
      <formula>$O$11</formula>
    </cfRule>
    <cfRule type="cellIs" dxfId="4720" priority="1154" operator="equal">
      <formula>$O$10</formula>
    </cfRule>
    <cfRule type="cellIs" dxfId="4719" priority="1155" operator="equal">
      <formula>$O$9</formula>
    </cfRule>
    <cfRule type="cellIs" dxfId="4718" priority="1156" operator="equal">
      <formula>$O$8</formula>
    </cfRule>
    <cfRule type="cellIs" dxfId="4717" priority="1157" operator="equal">
      <formula>$O$7</formula>
    </cfRule>
    <cfRule type="cellIs" dxfId="4716" priority="1158" operator="equal">
      <formula>$O$6</formula>
    </cfRule>
    <cfRule type="cellIs" dxfId="4715" priority="1159" operator="equal">
      <formula>$O$5</formula>
    </cfRule>
    <cfRule type="duplicateValues" dxfId="4714" priority="1160"/>
    <cfRule type="duplicateValues" dxfId="4713" priority="1161"/>
    <cfRule type="cellIs" dxfId="4712" priority="1162" operator="equal">
      <formula>$O$18</formula>
    </cfRule>
    <cfRule type="cellIs" dxfId="4711" priority="1163" operator="equal">
      <formula>$O$10</formula>
    </cfRule>
    <cfRule type="cellIs" dxfId="4710" priority="1164" operator="equal">
      <formula>$O$17</formula>
    </cfRule>
    <cfRule type="cellIs" dxfId="4709" priority="1165" operator="equal">
      <formula>$O$16</formula>
    </cfRule>
    <cfRule type="cellIs" dxfId="4708" priority="1166" operator="equal">
      <formula>$O$15</formula>
    </cfRule>
    <cfRule type="cellIs" dxfId="4707" priority="1167" operator="equal">
      <formula>$O$14</formula>
    </cfRule>
    <cfRule type="cellIs" dxfId="4706" priority="1168" operator="equal">
      <formula>$O$13</formula>
    </cfRule>
    <cfRule type="cellIs" dxfId="4705" priority="1169" operator="equal">
      <formula>$O$12</formula>
    </cfRule>
    <cfRule type="cellIs" dxfId="4704" priority="1170" operator="equal">
      <formula>$O$11</formula>
    </cfRule>
    <cfRule type="cellIs" dxfId="4703" priority="1173" operator="equal">
      <formula>$O$9</formula>
    </cfRule>
    <cfRule type="cellIs" dxfId="4702" priority="1175" operator="equal">
      <formula>$O$8</formula>
    </cfRule>
    <cfRule type="cellIs" dxfId="4701" priority="1176" operator="equal">
      <formula>$O$7</formula>
    </cfRule>
    <cfRule type="cellIs" dxfId="4700" priority="1177" operator="equal">
      <formula>$O$6</formula>
    </cfRule>
    <cfRule type="cellIs" dxfId="4699" priority="1178" operator="equal">
      <formula>$O$5</formula>
    </cfRule>
    <cfRule type="cellIs" dxfId="4698" priority="1370" operator="equal">
      <formula>$O$5</formula>
    </cfRule>
    <cfRule type="cellIs" dxfId="4697" priority="1369" operator="equal">
      <formula>$O$6</formula>
    </cfRule>
    <cfRule type="cellIs" dxfId="4696" priority="1368" operator="equal">
      <formula>$O$7</formula>
    </cfRule>
    <cfRule type="cellIs" dxfId="4695" priority="1367" operator="equal">
      <formula>$O$8</formula>
    </cfRule>
    <cfRule type="cellIs" dxfId="4694" priority="1365" operator="equal">
      <formula>$O$9</formula>
    </cfRule>
    <cfRule type="cellIs" dxfId="4693" priority="1362" operator="equal">
      <formula>$O$11</formula>
    </cfRule>
    <cfRule type="cellIs" dxfId="4692" priority="1361" operator="equal">
      <formula>$O$12</formula>
    </cfRule>
    <cfRule type="cellIs" dxfId="4691" priority="1360" operator="equal">
      <formula>$O$13</formula>
    </cfRule>
    <cfRule type="cellIs" dxfId="4690" priority="1359" operator="equal">
      <formula>$O$14</formula>
    </cfRule>
    <cfRule type="cellIs" dxfId="4689" priority="1358" operator="equal">
      <formula>$O$15</formula>
    </cfRule>
    <cfRule type="cellIs" dxfId="4688" priority="1357" operator="equal">
      <formula>$O$16</formula>
    </cfRule>
    <cfRule type="cellIs" dxfId="4687" priority="1356" operator="equal">
      <formula>$O$17</formula>
    </cfRule>
    <cfRule type="cellIs" dxfId="4686" priority="1355" operator="equal">
      <formula>$O$10</formula>
    </cfRule>
    <cfRule type="cellIs" dxfId="4685" priority="1354" operator="equal">
      <formula>$O$18</formula>
    </cfRule>
    <cfRule type="duplicateValues" dxfId="4684" priority="1353"/>
    <cfRule type="duplicateValues" dxfId="4683" priority="1352"/>
    <cfRule type="cellIs" dxfId="4682" priority="1351" operator="equal">
      <formula>$O$5</formula>
    </cfRule>
    <cfRule type="cellIs" dxfId="4681" priority="1350" operator="equal">
      <formula>$O$6</formula>
    </cfRule>
    <cfRule type="cellIs" dxfId="4680" priority="1349" operator="equal">
      <formula>$O$7</formula>
    </cfRule>
    <cfRule type="cellIs" dxfId="4679" priority="1348" operator="equal">
      <formula>$O$8</formula>
    </cfRule>
    <cfRule type="cellIs" dxfId="4678" priority="1347" operator="equal">
      <formula>$O$9</formula>
    </cfRule>
    <cfRule type="cellIs" dxfId="4677" priority="1346" operator="equal">
      <formula>$O$10</formula>
    </cfRule>
    <cfRule type="cellIs" dxfId="4676" priority="1344" operator="equal">
      <formula>$O$11</formula>
    </cfRule>
    <cfRule type="cellIs" dxfId="4675" priority="1343" operator="equal">
      <formula>$O$12</formula>
    </cfRule>
    <cfRule type="cellIs" dxfId="4674" priority="1342" operator="equal">
      <formula>$O$13</formula>
    </cfRule>
    <cfRule type="cellIs" dxfId="4673" priority="1340" operator="equal">
      <formula>$O$14</formula>
    </cfRule>
    <cfRule type="cellIs" dxfId="4672" priority="1339" operator="equal">
      <formula>$O$15</formula>
    </cfRule>
    <cfRule type="cellIs" dxfId="4671" priority="1338" operator="equal">
      <formula>$O$16</formula>
    </cfRule>
    <cfRule type="cellIs" dxfId="4670" priority="1337" operator="equal">
      <formula>$O$17</formula>
    </cfRule>
    <cfRule type="duplicateValues" dxfId="4669" priority="1307"/>
    <cfRule type="duplicateValues" dxfId="4668" priority="1309"/>
    <cfRule type="cellIs" dxfId="4667" priority="1310" operator="equal">
      <formula>$O$13</formula>
    </cfRule>
    <cfRule type="cellIs" dxfId="4666" priority="1311" operator="equal">
      <formula>$O$12</formula>
    </cfRule>
    <cfRule type="cellIs" dxfId="4665" priority="1312" operator="equal">
      <formula>$O$11</formula>
    </cfRule>
    <cfRule type="cellIs" dxfId="4664" priority="1313" operator="equal">
      <formula>$O$10</formula>
    </cfRule>
    <cfRule type="cellIs" dxfId="4663" priority="1314" operator="equal">
      <formula>$O$9</formula>
    </cfRule>
    <cfRule type="cellIs" dxfId="4662" priority="1315" operator="equal">
      <formula>$O$8</formula>
    </cfRule>
    <cfRule type="cellIs" dxfId="4661" priority="1316" operator="equal">
      <formula>$O$7</formula>
    </cfRule>
    <cfRule type="cellIs" dxfId="4660" priority="1317" operator="equal">
      <formula>$O$6</formula>
    </cfRule>
    <cfRule type="cellIs" dxfId="4659" priority="1318" operator="equal">
      <formula>$O$5</formula>
    </cfRule>
    <cfRule type="cellIs" dxfId="4658" priority="1320" operator="equal">
      <formula>$O$18</formula>
    </cfRule>
    <cfRule type="cellIs" dxfId="4657" priority="1321" operator="equal">
      <formula>$O$17</formula>
    </cfRule>
    <cfRule type="cellIs" dxfId="4656" priority="1322" operator="equal">
      <formula>$O$16</formula>
    </cfRule>
    <cfRule type="cellIs" dxfId="4655" priority="1323" operator="equal">
      <formula>$O$15</formula>
    </cfRule>
    <cfRule type="cellIs" dxfId="4654" priority="1324" operator="equal">
      <formula>$O$14</formula>
    </cfRule>
    <cfRule type="duplicateValues" dxfId="4653" priority="1334"/>
    <cfRule type="cellIs" dxfId="4652" priority="1336" operator="equal">
      <formula>$O$18</formula>
    </cfRule>
    <cfRule type="duplicateValues" dxfId="4651" priority="1335"/>
    <cfRule type="duplicateValues" dxfId="4650" priority="1115"/>
    <cfRule type="duplicateValues" dxfId="4649" priority="1117"/>
    <cfRule type="cellIs" dxfId="4648" priority="1118" operator="equal">
      <formula>$O$13</formula>
    </cfRule>
    <cfRule type="cellIs" dxfId="4647" priority="1119" operator="equal">
      <formula>$O$12</formula>
    </cfRule>
    <cfRule type="cellIs" dxfId="4646" priority="1120" operator="equal">
      <formula>$O$11</formula>
    </cfRule>
    <cfRule type="cellIs" dxfId="4645" priority="1121" operator="equal">
      <formula>$O$10</formula>
    </cfRule>
    <cfRule type="cellIs" dxfId="4644" priority="1122" operator="equal">
      <formula>$O$9</formula>
    </cfRule>
    <cfRule type="cellIs" dxfId="4643" priority="1123" operator="equal">
      <formula>$O$8</formula>
    </cfRule>
    <cfRule type="cellIs" dxfId="4642" priority="1124" operator="equal">
      <formula>$O$7</formula>
    </cfRule>
    <cfRule type="cellIs" dxfId="4641" priority="1125" operator="equal">
      <formula>$O$6</formula>
    </cfRule>
    <cfRule type="cellIs" dxfId="4640" priority="1126" operator="equal">
      <formula>$O$5</formula>
    </cfRule>
    <cfRule type="cellIs" dxfId="4639" priority="1128" operator="equal">
      <formula>$O$18</formula>
    </cfRule>
    <cfRule type="cellIs" dxfId="4638" priority="1129" operator="equal">
      <formula>$O$17</formula>
    </cfRule>
    <cfRule type="cellIs" dxfId="4637" priority="1130" operator="equal">
      <formula>$O$16</formula>
    </cfRule>
    <cfRule type="cellIs" dxfId="4636" priority="1131" operator="equal">
      <formula>$O$15</formula>
    </cfRule>
    <cfRule type="cellIs" dxfId="4635" priority="1132" operator="equal">
      <formula>$O$14</formula>
    </cfRule>
    <cfRule type="duplicateValues" dxfId="4634" priority="1142"/>
    <cfRule type="duplicateValues" dxfId="4633" priority="1143"/>
    <cfRule type="cellIs" dxfId="4632" priority="1144" operator="equal">
      <formula>$O$18</formula>
    </cfRule>
  </conditionalFormatting>
  <conditionalFormatting sqref="L18">
    <cfRule type="duplicateValues" dxfId="4631" priority="318"/>
  </conditionalFormatting>
  <conditionalFormatting sqref="L18:L19">
    <cfRule type="cellIs" dxfId="4630" priority="304" operator="equal">
      <formula>$O$15</formula>
    </cfRule>
    <cfRule type="cellIs" dxfId="4627" priority="301" operator="equal">
      <formula>$O$18</formula>
    </cfRule>
    <cfRule type="cellIs" dxfId="4626" priority="302" operator="equal">
      <formula>$O$17</formula>
    </cfRule>
    <cfRule type="cellIs" dxfId="4625" priority="303" operator="equal">
      <formula>$O$16</formula>
    </cfRule>
    <cfRule type="cellIs" dxfId="4623" priority="305" operator="equal">
      <formula>$O$14</formula>
    </cfRule>
    <cfRule type="cellIs" dxfId="4622" priority="306" operator="equal">
      <formula>$O$13</formula>
    </cfRule>
    <cfRule type="cellIs" dxfId="4621" priority="307" operator="equal">
      <formula>$O$12</formula>
    </cfRule>
    <cfRule type="cellIs" dxfId="4620" priority="308" operator="equal">
      <formula>$O$11</formula>
    </cfRule>
    <cfRule type="cellIs" dxfId="4619" priority="309" operator="equal">
      <formula>$O$10</formula>
    </cfRule>
    <cfRule type="cellIs" dxfId="4617" priority="313" operator="equal">
      <formula>$O$6</formula>
    </cfRule>
    <cfRule type="cellIs" dxfId="4616" priority="310" operator="equal">
      <formula>$O$9</formula>
    </cfRule>
    <cfRule type="cellIs" dxfId="4615" priority="311" operator="equal">
      <formula>$O$8</formula>
    </cfRule>
    <cfRule type="cellIs" dxfId="4614" priority="312" operator="equal">
      <formula>$O$7</formula>
    </cfRule>
    <cfRule type="cellIs" dxfId="4613" priority="314" operator="equal">
      <formula>$O$5</formula>
    </cfRule>
    <cfRule type="duplicateValues" dxfId="4612" priority="316"/>
    <cfRule type="duplicateValues" dxfId="4611" priority="317"/>
    <cfRule type="duplicateValues" dxfId="4604" priority="333"/>
    <cfRule type="duplicateValues" dxfId="4603" priority="300"/>
  </conditionalFormatting>
  <conditionalFormatting sqref="L19">
    <cfRule type="duplicateValues" dxfId="4602" priority="319"/>
  </conditionalFormatting>
  <conditionalFormatting sqref="L21 L24:L31">
    <cfRule type="duplicateValues" dxfId="4601" priority="1687"/>
  </conditionalFormatting>
  <conditionalFormatting sqref="L21">
    <cfRule type="duplicateValues" dxfId="4599" priority="1680"/>
  </conditionalFormatting>
  <conditionalFormatting sqref="L21:L31">
    <cfRule type="duplicateValues" dxfId="4598" priority="1708"/>
  </conditionalFormatting>
  <conditionalFormatting sqref="L21:L33">
    <cfRule type="duplicateValues" dxfId="4596" priority="1659"/>
    <cfRule type="duplicateValues" dxfId="4595" priority="1632"/>
  </conditionalFormatting>
  <conditionalFormatting sqref="L21:L34">
    <cfRule type="duplicateValues" dxfId="4594" priority="1715"/>
    <cfRule type="duplicateValues" dxfId="4593" priority="1526"/>
  </conditionalFormatting>
  <conditionalFormatting sqref="L22:L23">
    <cfRule type="duplicateValues" dxfId="4592" priority="1686"/>
    <cfRule type="duplicateValues" dxfId="4591" priority="1688"/>
    <cfRule type="duplicateValues" dxfId="4590" priority="1685"/>
  </conditionalFormatting>
  <conditionalFormatting sqref="L23 F23 H23 N23">
    <cfRule type="duplicateValues" dxfId="4589" priority="1672"/>
  </conditionalFormatting>
  <conditionalFormatting sqref="L27">
    <cfRule type="duplicateValues" dxfId="4588" priority="1034"/>
    <cfRule type="duplicateValues" dxfId="4587" priority="1033"/>
    <cfRule type="duplicateValues" dxfId="4586" priority="1032"/>
  </conditionalFormatting>
  <conditionalFormatting sqref="L30 F30:F31 H30 N30">
    <cfRule type="duplicateValues" dxfId="4585" priority="1665"/>
  </conditionalFormatting>
  <conditionalFormatting sqref="L31 F31 H31 N31">
    <cfRule type="duplicateValues" dxfId="4584" priority="1664"/>
  </conditionalFormatting>
  <conditionalFormatting sqref="L32">
    <cfRule type="duplicateValues" dxfId="4583" priority="1043"/>
    <cfRule type="duplicateValues" dxfId="4582" priority="1042"/>
    <cfRule type="duplicateValues" dxfId="4581" priority="1044"/>
  </conditionalFormatting>
  <conditionalFormatting sqref="L32:L33">
    <cfRule type="duplicateValues" dxfId="4580" priority="1704"/>
  </conditionalFormatting>
  <conditionalFormatting sqref="L34 N34">
    <cfRule type="duplicateValues" dxfId="4569" priority="934"/>
  </conditionalFormatting>
  <conditionalFormatting sqref="L34">
    <cfRule type="cellIs" dxfId="4568" priority="1541" operator="equal">
      <formula>$O$11</formula>
    </cfRule>
    <cfRule type="cellIs" dxfId="4567" priority="1576" operator="equal">
      <formula>$O$6</formula>
    </cfRule>
    <cfRule type="cellIs" dxfId="4566" priority="1577" operator="equal">
      <formula>$O$5</formula>
    </cfRule>
    <cfRule type="cellIs" dxfId="4565" priority="1543" operator="equal">
      <formula>$O$9</formula>
    </cfRule>
    <cfRule type="duplicateValues" dxfId="4564" priority="944"/>
    <cfRule type="cellIs" dxfId="4563" priority="1542" operator="equal">
      <formula>$O$10</formula>
    </cfRule>
    <cfRule type="cellIs" dxfId="4562" priority="1601" operator="equal">
      <formula>$O$13</formula>
    </cfRule>
    <cfRule type="duplicateValues" dxfId="4561" priority="1578"/>
    <cfRule type="duplicateValues" dxfId="4560" priority="916"/>
    <cfRule type="cellIs" dxfId="4559" priority="1539" operator="equal">
      <formula>$O$13</formula>
    </cfRule>
    <cfRule type="cellIs" dxfId="4558" priority="1540" operator="equal">
      <formula>$O$12</formula>
    </cfRule>
    <cfRule type="cellIs" dxfId="4557" priority="1569" operator="equal">
      <formula>$O$13</formula>
    </cfRule>
    <cfRule type="cellIs" dxfId="4556" priority="1570" operator="equal">
      <formula>$O$12</formula>
    </cfRule>
    <cfRule type="cellIs" dxfId="4555" priority="1571" operator="equal">
      <formula>$O$11</formula>
    </cfRule>
    <cfRule type="cellIs" dxfId="4554" priority="1572" operator="equal">
      <formula>$O$10</formula>
    </cfRule>
    <cfRule type="cellIs" dxfId="4553" priority="1573" operator="equal">
      <formula>$O$9</formula>
    </cfRule>
    <cfRule type="cellIs" dxfId="4552" priority="1574" operator="equal">
      <formula>$O$8</formula>
    </cfRule>
    <cfRule type="cellIs" dxfId="4551" priority="1547" operator="equal">
      <formula>$O$5</formula>
    </cfRule>
    <cfRule type="cellIs" dxfId="4550" priority="1605" operator="equal">
      <formula>$O$9</formula>
    </cfRule>
    <cfRule type="cellIs" dxfId="4549" priority="1604" operator="equal">
      <formula>$O$10</formula>
    </cfRule>
    <cfRule type="cellIs" dxfId="4548" priority="1602" operator="equal">
      <formula>$O$12</formula>
    </cfRule>
    <cfRule type="cellIs" dxfId="4547" priority="1608" operator="equal">
      <formula>$O$6</formula>
    </cfRule>
    <cfRule type="cellIs" dxfId="4546" priority="1609" operator="equal">
      <formula>$O$5</formula>
    </cfRule>
    <cfRule type="duplicateValues" dxfId="4545" priority="1610"/>
    <cfRule type="cellIs" dxfId="4544" priority="1575" operator="equal">
      <formula>$O$7</formula>
    </cfRule>
    <cfRule type="cellIs" dxfId="4543" priority="1603" operator="equal">
      <formula>$O$11</formula>
    </cfRule>
    <cfRule type="duplicateValues" dxfId="4542" priority="933"/>
    <cfRule type="cellIs" dxfId="4541" priority="1607" operator="equal">
      <formula>$O$7</formula>
    </cfRule>
    <cfRule type="cellIs" dxfId="4540" priority="1606" operator="equal">
      <formula>$O$8</formula>
    </cfRule>
    <cfRule type="duplicateValues" dxfId="4539" priority="1548"/>
    <cfRule type="cellIs" dxfId="4538" priority="1546" operator="equal">
      <formula>$O$6</formula>
    </cfRule>
    <cfRule type="cellIs" dxfId="4537" priority="1545" operator="equal">
      <formula>$O$7</formula>
    </cfRule>
    <cfRule type="cellIs" dxfId="4536" priority="1544" operator="equal">
      <formula>$O$8</formula>
    </cfRule>
  </conditionalFormatting>
  <conditionalFormatting sqref="L35">
    <cfRule type="duplicateValues" dxfId="4535" priority="512"/>
    <cfRule type="duplicateValues" dxfId="4527" priority="503"/>
    <cfRule type="duplicateValues" dxfId="4524" priority="502"/>
  </conditionalFormatting>
  <conditionalFormatting sqref="L35:L36">
    <cfRule type="cellIs" dxfId="4522" priority="492" operator="equal">
      <formula>$O$5</formula>
    </cfRule>
    <cfRule type="cellIs" dxfId="4521" priority="491" operator="equal">
      <formula>$O$6</formula>
    </cfRule>
    <cfRule type="cellIs" dxfId="4520" priority="490" operator="equal">
      <formula>$O$7</formula>
    </cfRule>
    <cfRule type="cellIs" dxfId="4519" priority="489" operator="equal">
      <formula>$O$8</formula>
    </cfRule>
    <cfRule type="cellIs" dxfId="4518" priority="488" operator="equal">
      <formula>$O$9</formula>
    </cfRule>
    <cfRule type="cellIs" dxfId="4517" priority="469" operator="equal">
      <formula>$O$13</formula>
    </cfRule>
    <cfRule type="cellIs" dxfId="4516" priority="471" operator="equal">
      <formula>$O$11</formula>
    </cfRule>
    <cfRule type="cellIs" dxfId="4515" priority="470" operator="equal">
      <formula>$O$12</formula>
    </cfRule>
    <cfRule type="cellIs" dxfId="4514" priority="468" operator="equal">
      <formula>$O$14</formula>
    </cfRule>
    <cfRule type="cellIs" dxfId="4513" priority="467" operator="equal">
      <formula>$O$15</formula>
    </cfRule>
    <cfRule type="cellIs" dxfId="4512" priority="466" operator="equal">
      <formula>$O$16</formula>
    </cfRule>
    <cfRule type="cellIs" dxfId="4511" priority="465" operator="equal">
      <formula>$O$17</formula>
    </cfRule>
    <cfRule type="cellIs" dxfId="4510" priority="464" operator="equal">
      <formula>$O$18</formula>
    </cfRule>
    <cfRule type="cellIs" dxfId="4509" priority="463" operator="equal">
      <formula>$O$10</formula>
    </cfRule>
    <cfRule type="duplicateValues" dxfId="4508" priority="529"/>
    <cfRule type="duplicateValues" dxfId="4507" priority="520"/>
  </conditionalFormatting>
  <conditionalFormatting sqref="L36">
    <cfRule type="duplicateValues" dxfId="4504" priority="472"/>
    <cfRule type="duplicateValues" dxfId="4501" priority="483"/>
  </conditionalFormatting>
  <conditionalFormatting sqref="L38:L49">
    <cfRule type="duplicateValues" dxfId="4494" priority="2199"/>
    <cfRule type="duplicateValues" dxfId="4493" priority="2224"/>
  </conditionalFormatting>
  <conditionalFormatting sqref="L38:L50">
    <cfRule type="duplicateValues" dxfId="4492" priority="2066"/>
  </conditionalFormatting>
  <conditionalFormatting sqref="L38:L51">
    <cfRule type="duplicateValues" dxfId="4491" priority="1788"/>
  </conditionalFormatting>
  <conditionalFormatting sqref="L49">
    <cfRule type="cellIs" dxfId="4490" priority="2134" operator="equal">
      <formula>$O$8</formula>
    </cfRule>
    <cfRule type="cellIs" dxfId="4489" priority="2133" operator="equal">
      <formula>$O$9</formula>
    </cfRule>
    <cfRule type="cellIs" dxfId="4488" priority="2128" operator="equal">
      <formula>$O$17</formula>
    </cfRule>
    <cfRule type="cellIs" dxfId="4487" priority="2127" operator="equal">
      <formula>$O$18</formula>
    </cfRule>
    <cfRule type="cellIs" dxfId="4486" priority="2126" operator="equal">
      <formula>$O$10</formula>
    </cfRule>
    <cfRule type="cellIs" dxfId="4485" priority="2125" operator="equal">
      <formula>$O$11</formula>
    </cfRule>
    <cfRule type="cellIs" dxfId="4484" priority="2123" operator="equal">
      <formula>$O$13</formula>
    </cfRule>
    <cfRule type="cellIs" dxfId="4483" priority="2122" operator="equal">
      <formula>$O$14</formula>
    </cfRule>
    <cfRule type="cellIs" dxfId="4482" priority="2121" operator="equal">
      <formula>$O$15</formula>
    </cfRule>
    <cfRule type="cellIs" dxfId="4481" priority="2124" operator="equal">
      <formula>$O$12</formula>
    </cfRule>
    <cfRule type="cellIs" dxfId="4480" priority="2120" operator="equal">
      <formula>$O$16</formula>
    </cfRule>
    <cfRule type="duplicateValues" dxfId="4479" priority="2119"/>
    <cfRule type="duplicateValues" dxfId="4478" priority="2117"/>
    <cfRule type="duplicateValues" dxfId="4473" priority="2112"/>
    <cfRule type="duplicateValues" dxfId="4472" priority="2111"/>
    <cfRule type="duplicateValues" dxfId="4471" priority="2109"/>
    <cfRule type="duplicateValues" dxfId="4468" priority="2106"/>
    <cfRule type="duplicateValues" dxfId="4463" priority="2110"/>
    <cfRule type="cellIs" dxfId="4462" priority="2137" operator="equal">
      <formula>$O$5</formula>
    </cfRule>
    <cfRule type="cellIs" dxfId="4461" priority="2136" operator="equal">
      <formula>$O$6</formula>
    </cfRule>
    <cfRule type="cellIs" dxfId="4460" priority="2135" operator="equal">
      <formula>$O$7</formula>
    </cfRule>
  </conditionalFormatting>
  <conditionalFormatting sqref="L50">
    <cfRule type="cellIs" dxfId="4458" priority="2005" operator="equal">
      <formula>$O$5</formula>
    </cfRule>
    <cfRule type="cellIs" dxfId="4457" priority="1989" operator="equal">
      <formula>$O$15</formula>
    </cfRule>
    <cfRule type="cellIs" dxfId="4456" priority="2004" operator="equal">
      <formula>$O$6</formula>
    </cfRule>
    <cfRule type="cellIs" dxfId="4455" priority="2003" operator="equal">
      <formula>$O$7</formula>
    </cfRule>
    <cfRule type="duplicateValues" dxfId="4454" priority="1980"/>
    <cfRule type="duplicateValues" dxfId="4453" priority="1979"/>
    <cfRule type="duplicateValues" dxfId="4452" priority="1978"/>
    <cfRule type="duplicateValues" dxfId="4451" priority="1977"/>
    <cfRule type="cellIs" dxfId="4447" priority="2002" operator="equal">
      <formula>$O$8</formula>
    </cfRule>
    <cfRule type="cellIs" dxfId="4446" priority="2001" operator="equal">
      <formula>$O$9</formula>
    </cfRule>
    <cfRule type="cellIs" dxfId="4445" priority="1996" operator="equal">
      <formula>$O$17</formula>
    </cfRule>
    <cfRule type="cellIs" dxfId="4444" priority="1990" operator="equal">
      <formula>$O$14</formula>
    </cfRule>
    <cfRule type="cellIs" dxfId="4443" priority="1995" operator="equal">
      <formula>$O$18</formula>
    </cfRule>
    <cfRule type="cellIs" dxfId="4442" priority="1994" operator="equal">
      <formula>$O$10</formula>
    </cfRule>
    <cfRule type="cellIs" dxfId="4440" priority="1992" operator="equal">
      <formula>$O$12</formula>
    </cfRule>
    <cfRule type="duplicateValues" dxfId="4439" priority="1974"/>
    <cfRule type="cellIs" dxfId="4436" priority="1988" operator="equal">
      <formula>$O$16</formula>
    </cfRule>
    <cfRule type="duplicateValues" dxfId="4435" priority="1987"/>
    <cfRule type="duplicateValues" dxfId="4434" priority="1985"/>
    <cfRule type="cellIs" dxfId="4432" priority="1991" operator="equal">
      <formula>$O$13</formula>
    </cfRule>
    <cfRule type="cellIs" dxfId="4430" priority="1993" operator="equal">
      <formula>$O$11</formula>
    </cfRule>
  </conditionalFormatting>
  <conditionalFormatting sqref="L51 N51">
    <cfRule type="cellIs" dxfId="4428" priority="1912" operator="equal">
      <formula>$O$13</formula>
    </cfRule>
    <cfRule type="cellIs" dxfId="4427" priority="1913" operator="equal">
      <formula>$O$12</formula>
    </cfRule>
    <cfRule type="cellIs" dxfId="4426" priority="1915" operator="equal">
      <formula>$O$10</formula>
    </cfRule>
    <cfRule type="cellIs" dxfId="4425" priority="1916" operator="equal">
      <formula>$O$9</formula>
    </cfRule>
    <cfRule type="cellIs" dxfId="4424" priority="1918" operator="equal">
      <formula>$O$7</formula>
    </cfRule>
    <cfRule type="cellIs" dxfId="4423" priority="1919" operator="equal">
      <formula>$O$6</formula>
    </cfRule>
    <cfRule type="cellIs" dxfId="4422" priority="1920" operator="equal">
      <formula>$O$5</formula>
    </cfRule>
    <cfRule type="cellIs" dxfId="4421" priority="1917" operator="equal">
      <formula>$O$8</formula>
    </cfRule>
    <cfRule type="cellIs" dxfId="4420" priority="1914" operator="equal">
      <formula>$O$11</formula>
    </cfRule>
  </conditionalFormatting>
  <conditionalFormatting sqref="L51">
    <cfRule type="cellIs" dxfId="4416" priority="1850" operator="equal">
      <formula>$O$18</formula>
    </cfRule>
    <cfRule type="duplicateValues" dxfId="4414" priority="1909"/>
    <cfRule type="duplicateValues" dxfId="4412" priority="1829"/>
    <cfRule type="duplicateValues" dxfId="4409" priority="1840"/>
    <cfRule type="duplicateValues" dxfId="4408" priority="1842"/>
    <cfRule type="cellIs" dxfId="4407" priority="1843" operator="equal">
      <formula>$O$16</formula>
    </cfRule>
    <cfRule type="cellIs" dxfId="4406" priority="1844" operator="equal">
      <formula>$O$15</formula>
    </cfRule>
    <cfRule type="cellIs" dxfId="4405" priority="1845" operator="equal">
      <formula>$O$14</formula>
    </cfRule>
    <cfRule type="cellIs" dxfId="4404" priority="1846" operator="equal">
      <formula>$O$13</formula>
    </cfRule>
    <cfRule type="cellIs" dxfId="4402" priority="1847" operator="equal">
      <formula>$O$12</formula>
    </cfRule>
    <cfRule type="cellIs" dxfId="4401" priority="1848" operator="equal">
      <formula>$O$11</formula>
    </cfRule>
    <cfRule type="cellIs" dxfId="4400" priority="1849" operator="equal">
      <formula>$O$10</formula>
    </cfRule>
    <cfRule type="cellIs" dxfId="4399" priority="1851" operator="equal">
      <formula>$O$17</formula>
    </cfRule>
    <cfRule type="cellIs" dxfId="4398" priority="1859" operator="equal">
      <formula>$O$6</formula>
    </cfRule>
    <cfRule type="cellIs" dxfId="4397" priority="1856" operator="equal">
      <formula>$O$9</formula>
    </cfRule>
    <cfRule type="cellIs" dxfId="4396" priority="1857" operator="equal">
      <formula>$O$8</formula>
    </cfRule>
    <cfRule type="duplicateValues" dxfId="4395" priority="1835"/>
    <cfRule type="duplicateValues" dxfId="4394" priority="1834"/>
    <cfRule type="duplicateValues" dxfId="4393" priority="1833"/>
    <cfRule type="duplicateValues" dxfId="4392" priority="1832"/>
    <cfRule type="cellIs" dxfId="4389" priority="1858" operator="equal">
      <formula>$O$7</formula>
    </cfRule>
    <cfRule type="cellIs" dxfId="4388" priority="1860" operator="equal">
      <formula>$O$5</formula>
    </cfRule>
  </conditionalFormatting>
  <conditionalFormatting sqref="L52">
    <cfRule type="duplicateValues" dxfId="4387" priority="697"/>
    <cfRule type="duplicateValues" dxfId="4386" priority="694"/>
  </conditionalFormatting>
  <conditionalFormatting sqref="L52:L53 N52:N53">
    <cfRule type="cellIs" dxfId="4385" priority="738" operator="equal">
      <formula>$O$13</formula>
    </cfRule>
    <cfRule type="cellIs" dxfId="4384" priority="740" operator="equal">
      <formula>$O$11</formula>
    </cfRule>
    <cfRule type="cellIs" dxfId="4383" priority="737" operator="equal">
      <formula>$O$14</formula>
    </cfRule>
    <cfRule type="cellIs" dxfId="4382" priority="736" operator="equal">
      <formula>$O$15</formula>
    </cfRule>
    <cfRule type="cellIs" dxfId="4381" priority="735" operator="equal">
      <formula>$O$16</formula>
    </cfRule>
    <cfRule type="cellIs" dxfId="4380" priority="739" operator="equal">
      <formula>$O$12</formula>
    </cfRule>
  </conditionalFormatting>
  <conditionalFormatting sqref="L52:L53">
    <cfRule type="cellIs" dxfId="4379" priority="699" operator="equal">
      <formula>$O$13</formula>
    </cfRule>
    <cfRule type="duplicateValues" dxfId="4378" priority="734"/>
    <cfRule type="cellIs" dxfId="4377" priority="700" operator="equal">
      <formula>$O$12</formula>
    </cfRule>
    <cfRule type="duplicateValues" dxfId="4376" priority="732"/>
    <cfRule type="duplicateValues" dxfId="4375" priority="731"/>
    <cfRule type="containsText" dxfId="4373" priority="692" operator="containsText" text="(SV)">
      <formula>NOT(ISERROR(SEARCH("(SV)",L52)))</formula>
    </cfRule>
    <cfRule type="containsText" dxfId="4372" priority="691" operator="containsText" text="(HEM)">
      <formula>NOT(ISERROR(SEARCH("(HEM)",L52)))</formula>
    </cfRule>
    <cfRule type="cellIs" dxfId="4371" priority="704" operator="equal">
      <formula>$O$8</formula>
    </cfRule>
    <cfRule type="cellIs" dxfId="4370" priority="703" operator="equal">
      <formula>$O$9</formula>
    </cfRule>
    <cfRule type="cellIs" dxfId="4369" priority="702" operator="equal">
      <formula>$O$10</formula>
    </cfRule>
    <cfRule type="duplicateValues" dxfId="4362" priority="695"/>
    <cfRule type="cellIs" dxfId="4361" priority="706" operator="equal">
      <formula>$O$6</formula>
    </cfRule>
    <cfRule type="cellIs" dxfId="4360" priority="707" operator="equal">
      <formula>$O$5</formula>
    </cfRule>
    <cfRule type="cellIs" dxfId="4359" priority="701" operator="equal">
      <formula>$O$11</formula>
    </cfRule>
    <cfRule type="cellIs" dxfId="4358" priority="709" operator="equal">
      <formula>$O$18</formula>
    </cfRule>
    <cfRule type="cellIs" dxfId="4357" priority="710" operator="equal">
      <formula>$O$17</formula>
    </cfRule>
    <cfRule type="duplicateValues" dxfId="4353" priority="711"/>
    <cfRule type="cellIs" dxfId="4352" priority="705" operator="equal">
      <formula>$O$7</formula>
    </cfRule>
    <cfRule type="duplicateValues" dxfId="4351" priority="698"/>
  </conditionalFormatting>
  <conditionalFormatting sqref="L53">
    <cfRule type="duplicateValues" dxfId="4350" priority="696"/>
    <cfRule type="duplicateValues" dxfId="4349" priority="693"/>
  </conditionalFormatting>
  <conditionalFormatting sqref="M5">
    <cfRule type="duplicateValues" dxfId="4348" priority="214"/>
  </conditionalFormatting>
  <conditionalFormatting sqref="M5:M16">
    <cfRule type="cellIs" dxfId="4347" priority="213" operator="equal">
      <formula>0</formula>
    </cfRule>
  </conditionalFormatting>
  <conditionalFormatting sqref="M6">
    <cfRule type="duplicateValues" dxfId="4346" priority="215"/>
  </conditionalFormatting>
  <conditionalFormatting sqref="M7">
    <cfRule type="duplicateValues" dxfId="4345" priority="216"/>
  </conditionalFormatting>
  <conditionalFormatting sqref="M8">
    <cfRule type="duplicateValues" dxfId="4344" priority="217"/>
  </conditionalFormatting>
  <conditionalFormatting sqref="M9">
    <cfRule type="duplicateValues" dxfId="4343" priority="218"/>
  </conditionalFormatting>
  <conditionalFormatting sqref="M10">
    <cfRule type="duplicateValues" dxfId="4342" priority="219"/>
  </conditionalFormatting>
  <conditionalFormatting sqref="M11">
    <cfRule type="duplicateValues" dxfId="4341" priority="220"/>
  </conditionalFormatting>
  <conditionalFormatting sqref="M12">
    <cfRule type="duplicateValues" dxfId="4340" priority="221"/>
  </conditionalFormatting>
  <conditionalFormatting sqref="M13">
    <cfRule type="duplicateValues" dxfId="4339" priority="222"/>
  </conditionalFormatting>
  <conditionalFormatting sqref="M14">
    <cfRule type="duplicateValues" dxfId="4338" priority="223"/>
  </conditionalFormatting>
  <conditionalFormatting sqref="M15">
    <cfRule type="duplicateValues" dxfId="4337" priority="224"/>
  </conditionalFormatting>
  <conditionalFormatting sqref="M16">
    <cfRule type="duplicateValues" dxfId="4336" priority="225"/>
  </conditionalFormatting>
  <conditionalFormatting sqref="M18">
    <cfRule type="duplicateValues" dxfId="4335" priority="296"/>
  </conditionalFormatting>
  <conditionalFormatting sqref="M18:M19">
    <cfRule type="cellIs" dxfId="4334" priority="295" operator="equal">
      <formula>0</formula>
    </cfRule>
  </conditionalFormatting>
  <conditionalFormatting sqref="M19">
    <cfRule type="duplicateValues" dxfId="4333" priority="297"/>
  </conditionalFormatting>
  <conditionalFormatting sqref="M21">
    <cfRule type="duplicateValues" dxfId="4332" priority="22"/>
  </conditionalFormatting>
  <conditionalFormatting sqref="M21:M34">
    <cfRule type="cellIs" dxfId="4331" priority="5" operator="equal">
      <formula>$O$9</formula>
    </cfRule>
    <cfRule type="cellIs" dxfId="4330" priority="8" operator="equal">
      <formula>$O$6</formula>
    </cfRule>
    <cfRule type="cellIs" dxfId="4329" priority="9" operator="equal">
      <formula>$O$5</formula>
    </cfRule>
    <cfRule type="cellIs" dxfId="4328" priority="4" operator="equal">
      <formula>$O$11</formula>
    </cfRule>
    <cfRule type="cellIs" dxfId="4327" priority="6" operator="equal">
      <formula>$O$8</formula>
    </cfRule>
    <cfRule type="cellIs" dxfId="4326" priority="7" operator="equal">
      <formula>$O$7</formula>
    </cfRule>
  </conditionalFormatting>
  <conditionalFormatting sqref="M22">
    <cfRule type="duplicateValues" dxfId="4325" priority="21"/>
  </conditionalFormatting>
  <conditionalFormatting sqref="M23">
    <cfRule type="duplicateValues" dxfId="4324" priority="20"/>
  </conditionalFormatting>
  <conditionalFormatting sqref="M25">
    <cfRule type="duplicateValues" dxfId="4323" priority="19"/>
  </conditionalFormatting>
  <conditionalFormatting sqref="M26">
    <cfRule type="duplicateValues" dxfId="4322" priority="18"/>
  </conditionalFormatting>
  <conditionalFormatting sqref="M27">
    <cfRule type="duplicateValues" dxfId="4321" priority="17"/>
  </conditionalFormatting>
  <conditionalFormatting sqref="M28">
    <cfRule type="duplicateValues" dxfId="4320" priority="16"/>
  </conditionalFormatting>
  <conditionalFormatting sqref="M29">
    <cfRule type="duplicateValues" dxfId="4319" priority="15"/>
  </conditionalFormatting>
  <conditionalFormatting sqref="M30">
    <cfRule type="duplicateValues" dxfId="4318" priority="14"/>
  </conditionalFormatting>
  <conditionalFormatting sqref="M31">
    <cfRule type="duplicateValues" dxfId="4317" priority="13"/>
  </conditionalFormatting>
  <conditionalFormatting sqref="M32">
    <cfRule type="duplicateValues" dxfId="4316" priority="12"/>
  </conditionalFormatting>
  <conditionalFormatting sqref="M33">
    <cfRule type="duplicateValues" dxfId="4315" priority="11"/>
  </conditionalFormatting>
  <conditionalFormatting sqref="M34">
    <cfRule type="duplicateValues" dxfId="4314" priority="3"/>
    <cfRule type="duplicateValues" dxfId="4313" priority="1"/>
    <cfRule type="duplicateValues" dxfId="4312" priority="2"/>
  </conditionalFormatting>
  <conditionalFormatting sqref="M35">
    <cfRule type="duplicateValues" dxfId="4311" priority="460"/>
  </conditionalFormatting>
  <conditionalFormatting sqref="M36">
    <cfRule type="duplicateValues" dxfId="4310" priority="459"/>
    <cfRule type="duplicateValues" dxfId="4309" priority="458"/>
    <cfRule type="duplicateValues" dxfId="4308" priority="457"/>
  </conditionalFormatting>
  <conditionalFormatting sqref="M38">
    <cfRule type="duplicateValues" dxfId="4307" priority="119"/>
    <cfRule type="duplicateValues" dxfId="4306" priority="92"/>
  </conditionalFormatting>
  <conditionalFormatting sqref="M39">
    <cfRule type="duplicateValues" dxfId="4305" priority="118"/>
    <cfRule type="duplicateValues" dxfId="4304" priority="106"/>
  </conditionalFormatting>
  <conditionalFormatting sqref="M40">
    <cfRule type="duplicateValues" dxfId="4303" priority="117"/>
    <cfRule type="duplicateValues" dxfId="4302" priority="105"/>
  </conditionalFormatting>
  <conditionalFormatting sqref="M41">
    <cfRule type="duplicateValues" dxfId="4301" priority="116"/>
    <cfRule type="duplicateValues" dxfId="4300" priority="104"/>
  </conditionalFormatting>
  <conditionalFormatting sqref="M42">
    <cfRule type="duplicateValues" dxfId="4299" priority="115"/>
    <cfRule type="duplicateValues" dxfId="4298" priority="103"/>
  </conditionalFormatting>
  <conditionalFormatting sqref="M43">
    <cfRule type="duplicateValues" dxfId="4297" priority="114"/>
    <cfRule type="duplicateValues" dxfId="4296" priority="102"/>
  </conditionalFormatting>
  <conditionalFormatting sqref="M44">
    <cfRule type="duplicateValues" dxfId="4295" priority="113"/>
    <cfRule type="duplicateValues" dxfId="4294" priority="101"/>
  </conditionalFormatting>
  <conditionalFormatting sqref="M45">
    <cfRule type="duplicateValues" dxfId="4293" priority="112"/>
    <cfRule type="duplicateValues" dxfId="4292" priority="100"/>
  </conditionalFormatting>
  <conditionalFormatting sqref="M46">
    <cfRule type="duplicateValues" dxfId="4291" priority="99"/>
    <cfRule type="duplicateValues" dxfId="4290" priority="111"/>
  </conditionalFormatting>
  <conditionalFormatting sqref="M47">
    <cfRule type="duplicateValues" dxfId="4289" priority="98"/>
    <cfRule type="duplicateValues" dxfId="4288" priority="110"/>
  </conditionalFormatting>
  <conditionalFormatting sqref="M48">
    <cfRule type="duplicateValues" dxfId="4287" priority="109"/>
    <cfRule type="duplicateValues" dxfId="4286" priority="97"/>
  </conditionalFormatting>
  <conditionalFormatting sqref="M49">
    <cfRule type="duplicateValues" dxfId="4285" priority="108"/>
    <cfRule type="duplicateValues" dxfId="4284" priority="107"/>
    <cfRule type="duplicateValues" dxfId="4283" priority="96"/>
  </conditionalFormatting>
  <conditionalFormatting sqref="M50">
    <cfRule type="duplicateValues" dxfId="4282" priority="94"/>
    <cfRule type="duplicateValues" dxfId="4281" priority="95"/>
  </conditionalFormatting>
  <conditionalFormatting sqref="M51">
    <cfRule type="duplicateValues" dxfId="4280" priority="89"/>
    <cfRule type="duplicateValues" dxfId="4279" priority="90"/>
  </conditionalFormatting>
  <conditionalFormatting sqref="M52">
    <cfRule type="duplicateValues" dxfId="4278" priority="723"/>
    <cfRule type="duplicateValues" dxfId="4277" priority="725"/>
  </conditionalFormatting>
  <conditionalFormatting sqref="M53">
    <cfRule type="duplicateValues" dxfId="4276" priority="724"/>
    <cfRule type="duplicateValues" dxfId="4275" priority="722"/>
  </conditionalFormatting>
  <conditionalFormatting sqref="N5:N14 N16">
    <cfRule type="duplicateValues" dxfId="4274" priority="1469"/>
    <cfRule type="duplicateValues" dxfId="4273" priority="1470"/>
  </conditionalFormatting>
  <conditionalFormatting sqref="N5:N16">
    <cfRule type="duplicateValues" dxfId="4267" priority="1454"/>
  </conditionalFormatting>
  <conditionalFormatting sqref="N5:N17 N21:N34">
    <cfRule type="duplicateValues" dxfId="4266" priority="834"/>
  </conditionalFormatting>
  <conditionalFormatting sqref="N5:N17">
    <cfRule type="duplicateValues" dxfId="4265" priority="1435"/>
  </conditionalFormatting>
  <conditionalFormatting sqref="N5:N19">
    <cfRule type="cellIs" dxfId="4264" priority="280" operator="equal">
      <formula>0</formula>
    </cfRule>
  </conditionalFormatting>
  <conditionalFormatting sqref="N15">
    <cfRule type="duplicateValues" dxfId="4262" priority="1462"/>
    <cfRule type="duplicateValues" dxfId="4259" priority="1461"/>
  </conditionalFormatting>
  <conditionalFormatting sqref="N17">
    <cfRule type="cellIs" dxfId="4256" priority="1106" operator="equal">
      <formula>$O$11</formula>
    </cfRule>
    <cfRule type="cellIs" dxfId="4255" priority="1109" operator="equal">
      <formula>$O$9</formula>
    </cfRule>
    <cfRule type="cellIs" dxfId="4254" priority="1111" operator="equal">
      <formula>$O$8</formula>
    </cfRule>
    <cfRule type="cellIs" dxfId="4253" priority="1112" operator="equal">
      <formula>$O$7</formula>
    </cfRule>
    <cfRule type="cellIs" dxfId="4252" priority="1113" operator="equal">
      <formula>$O$6</formula>
    </cfRule>
    <cfRule type="cellIs" dxfId="4251" priority="1090" operator="equal">
      <formula>$O$10</formula>
    </cfRule>
    <cfRule type="cellIs" dxfId="4250" priority="1088" operator="equal">
      <formula>$O$11</formula>
    </cfRule>
    <cfRule type="cellIs" dxfId="4249" priority="1087" operator="equal">
      <formula>$O$12</formula>
    </cfRule>
    <cfRule type="cellIs" dxfId="4248" priority="1086" operator="equal">
      <formula>$O$13</formula>
    </cfRule>
    <cfRule type="cellIs" dxfId="4247" priority="1084" operator="equal">
      <formula>$O$14</formula>
    </cfRule>
    <cfRule type="cellIs" dxfId="4246" priority="1083" operator="equal">
      <formula>$O$15</formula>
    </cfRule>
    <cfRule type="cellIs" dxfId="4245" priority="1082" operator="equal">
      <formula>$O$16</formula>
    </cfRule>
    <cfRule type="cellIs" dxfId="4244" priority="1081" operator="equal">
      <formula>$O$17</formula>
    </cfRule>
    <cfRule type="cellIs" dxfId="4243" priority="1080" operator="equal">
      <formula>$O$18</formula>
    </cfRule>
    <cfRule type="duplicateValues" dxfId="4242" priority="1079"/>
    <cfRule type="duplicateValues" dxfId="4241" priority="1078"/>
    <cfRule type="cellIs" dxfId="4240" priority="1068" operator="equal">
      <formula>$O$14</formula>
    </cfRule>
    <cfRule type="cellIs" dxfId="4239" priority="1067" operator="equal">
      <formula>$O$15</formula>
    </cfRule>
    <cfRule type="cellIs" dxfId="4238" priority="1066" operator="equal">
      <formula>$O$16</formula>
    </cfRule>
    <cfRule type="cellIs" dxfId="4237" priority="1065" operator="equal">
      <formula>$O$17</formula>
    </cfRule>
    <cfRule type="cellIs" dxfId="4236" priority="1064" operator="equal">
      <formula>$O$18</formula>
    </cfRule>
    <cfRule type="cellIs" dxfId="4235" priority="1062" operator="equal">
      <formula>$O$5</formula>
    </cfRule>
    <cfRule type="cellIs" dxfId="4234" priority="1061" operator="equal">
      <formula>$O$6</formula>
    </cfRule>
    <cfRule type="cellIs" dxfId="4233" priority="1060" operator="equal">
      <formula>$O$7</formula>
    </cfRule>
    <cfRule type="cellIs" dxfId="4232" priority="1059" operator="equal">
      <formula>$O$8</formula>
    </cfRule>
    <cfRule type="cellIs" dxfId="4231" priority="1058" operator="equal">
      <formula>$O$9</formula>
    </cfRule>
    <cfRule type="cellIs" dxfId="4230" priority="1057" operator="equal">
      <formula>$O$10</formula>
    </cfRule>
    <cfRule type="cellIs" dxfId="4229" priority="1056" operator="equal">
      <formula>$O$11</formula>
    </cfRule>
    <cfRule type="cellIs" dxfId="4228" priority="1055" operator="equal">
      <formula>$O$12</formula>
    </cfRule>
    <cfRule type="cellIs" dxfId="4227" priority="1054" operator="equal">
      <formula>$O$13</formula>
    </cfRule>
    <cfRule type="duplicateValues" dxfId="4226" priority="1053"/>
    <cfRule type="duplicateValues" dxfId="4225" priority="1051"/>
    <cfRule type="duplicateValues" dxfId="4224" priority="1243"/>
    <cfRule type="duplicateValues" dxfId="4223" priority="1245"/>
    <cfRule type="cellIs" dxfId="4222" priority="1246" operator="equal">
      <formula>$O$13</formula>
    </cfRule>
    <cfRule type="cellIs" dxfId="4221" priority="1247" operator="equal">
      <formula>$O$12</formula>
    </cfRule>
    <cfRule type="cellIs" dxfId="4220" priority="1248" operator="equal">
      <formula>$O$11</formula>
    </cfRule>
    <cfRule type="cellIs" dxfId="4219" priority="1249" operator="equal">
      <formula>$O$10</formula>
    </cfRule>
    <cfRule type="cellIs" dxfId="4218" priority="1250" operator="equal">
      <formula>$O$9</formula>
    </cfRule>
    <cfRule type="cellIs" dxfId="4217" priority="1251" operator="equal">
      <formula>$O$8</formula>
    </cfRule>
    <cfRule type="cellIs" dxfId="4216" priority="1252" operator="equal">
      <formula>$O$7</formula>
    </cfRule>
    <cfRule type="cellIs" dxfId="4215" priority="1253" operator="equal">
      <formula>$O$6</formula>
    </cfRule>
    <cfRule type="cellIs" dxfId="4214" priority="1254" operator="equal">
      <formula>$O$5</formula>
    </cfRule>
    <cfRule type="cellIs" dxfId="4213" priority="1256" operator="equal">
      <formula>$O$18</formula>
    </cfRule>
    <cfRule type="cellIs" dxfId="4212" priority="1257" operator="equal">
      <formula>$O$17</formula>
    </cfRule>
    <cfRule type="cellIs" dxfId="4211" priority="1258" operator="equal">
      <formula>$O$16</formula>
    </cfRule>
    <cfRule type="cellIs" dxfId="4210" priority="1259" operator="equal">
      <formula>$O$15</formula>
    </cfRule>
    <cfRule type="cellIs" dxfId="4209" priority="1260" operator="equal">
      <formula>$O$14</formula>
    </cfRule>
    <cfRule type="duplicateValues" dxfId="4208" priority="1270"/>
    <cfRule type="duplicateValues" dxfId="4207" priority="1271"/>
    <cfRule type="cellIs" dxfId="4206" priority="1272" operator="equal">
      <formula>$O$18</formula>
    </cfRule>
    <cfRule type="cellIs" dxfId="4205" priority="1274" operator="equal">
      <formula>$O$16</formula>
    </cfRule>
    <cfRule type="cellIs" dxfId="4204" priority="1275" operator="equal">
      <formula>$O$15</formula>
    </cfRule>
    <cfRule type="cellIs" dxfId="4203" priority="1276" operator="equal">
      <formula>$O$14</formula>
    </cfRule>
    <cfRule type="cellIs" dxfId="4202" priority="1278" operator="equal">
      <formula>$O$13</formula>
    </cfRule>
    <cfRule type="cellIs" dxfId="4201" priority="1279" operator="equal">
      <formula>$O$12</formula>
    </cfRule>
    <cfRule type="cellIs" dxfId="4200" priority="1280" operator="equal">
      <formula>$O$11</formula>
    </cfRule>
    <cfRule type="cellIs" dxfId="4199" priority="1282" operator="equal">
      <formula>$O$10</formula>
    </cfRule>
    <cfRule type="cellIs" dxfId="4198" priority="1283" operator="equal">
      <formula>$O$9</formula>
    </cfRule>
    <cfRule type="cellIs" dxfId="4197" priority="1284" operator="equal">
      <formula>$O$8</formula>
    </cfRule>
    <cfRule type="cellIs" dxfId="4196" priority="1285" operator="equal">
      <formula>$O$7</formula>
    </cfRule>
    <cfRule type="cellIs" dxfId="4195" priority="1286" operator="equal">
      <formula>$O$6</formula>
    </cfRule>
    <cfRule type="cellIs" dxfId="4194" priority="1287" operator="equal">
      <formula>$O$5</formula>
    </cfRule>
    <cfRule type="duplicateValues" dxfId="4193" priority="1288"/>
    <cfRule type="duplicateValues" dxfId="4192" priority="1289"/>
    <cfRule type="cellIs" dxfId="4191" priority="1290" operator="equal">
      <formula>$O$18</formula>
    </cfRule>
    <cfRule type="cellIs" dxfId="4190" priority="1291" operator="equal">
      <formula>$O$10</formula>
    </cfRule>
    <cfRule type="cellIs" dxfId="4189" priority="1092" operator="equal">
      <formula>$O$8</formula>
    </cfRule>
    <cfRule type="cellIs" dxfId="4188" priority="1093" operator="equal">
      <formula>$O$7</formula>
    </cfRule>
    <cfRule type="cellIs" dxfId="4187" priority="1292" operator="equal">
      <formula>$O$17</formula>
    </cfRule>
    <cfRule type="cellIs" dxfId="4186" priority="1293" operator="equal">
      <formula>$O$16</formula>
    </cfRule>
    <cfRule type="cellIs" dxfId="4185" priority="1294" operator="equal">
      <formula>$O$15</formula>
    </cfRule>
    <cfRule type="cellIs" dxfId="4184" priority="1295" operator="equal">
      <formula>$O$14</formula>
    </cfRule>
    <cfRule type="cellIs" dxfId="4183" priority="1296" operator="equal">
      <formula>$O$13</formula>
    </cfRule>
    <cfRule type="cellIs" dxfId="4182" priority="1297" operator="equal">
      <formula>$O$12</formula>
    </cfRule>
    <cfRule type="cellIs" dxfId="4181" priority="1298" operator="equal">
      <formula>$O$11</formula>
    </cfRule>
    <cfRule type="cellIs" dxfId="4180" priority="1301" operator="equal">
      <formula>$O$9</formula>
    </cfRule>
    <cfRule type="cellIs" dxfId="4179" priority="1303" operator="equal">
      <formula>$O$8</formula>
    </cfRule>
    <cfRule type="cellIs" dxfId="4178" priority="1304" operator="equal">
      <formula>$O$7</formula>
    </cfRule>
    <cfRule type="cellIs" dxfId="4177" priority="1305" operator="equal">
      <formula>$O$6</formula>
    </cfRule>
    <cfRule type="cellIs" dxfId="4176" priority="1306" operator="equal">
      <formula>$O$5</formula>
    </cfRule>
    <cfRule type="cellIs" dxfId="4175" priority="1091" operator="equal">
      <formula>$O$9</formula>
    </cfRule>
    <cfRule type="cellIs" dxfId="4174" priority="1273" operator="equal">
      <formula>$O$17</formula>
    </cfRule>
    <cfRule type="cellIs" dxfId="4173" priority="1094" operator="equal">
      <formula>$O$6</formula>
    </cfRule>
    <cfRule type="cellIs" dxfId="4172" priority="1095" operator="equal">
      <formula>$O$5</formula>
    </cfRule>
    <cfRule type="duplicateValues" dxfId="4171" priority="1096"/>
    <cfRule type="duplicateValues" dxfId="4170" priority="1097"/>
    <cfRule type="cellIs" dxfId="4169" priority="1098" operator="equal">
      <formula>$O$18</formula>
    </cfRule>
    <cfRule type="cellIs" dxfId="4168" priority="1099" operator="equal">
      <formula>$O$10</formula>
    </cfRule>
    <cfRule type="cellIs" dxfId="4167" priority="1100" operator="equal">
      <formula>$O$17</formula>
    </cfRule>
    <cfRule type="cellIs" dxfId="4166" priority="1114" operator="equal">
      <formula>$O$5</formula>
    </cfRule>
    <cfRule type="cellIs" dxfId="4165" priority="1101" operator="equal">
      <formula>$O$16</formula>
    </cfRule>
    <cfRule type="cellIs" dxfId="4164" priority="1102" operator="equal">
      <formula>$O$15</formula>
    </cfRule>
    <cfRule type="cellIs" dxfId="4163" priority="1103" operator="equal">
      <formula>$O$14</formula>
    </cfRule>
    <cfRule type="cellIs" dxfId="4162" priority="1104" operator="equal">
      <formula>$O$13</formula>
    </cfRule>
    <cfRule type="cellIs" dxfId="4161" priority="1105" operator="equal">
      <formula>$O$12</formula>
    </cfRule>
  </conditionalFormatting>
  <conditionalFormatting sqref="N18">
    <cfRule type="duplicateValues" dxfId="4160" priority="283"/>
  </conditionalFormatting>
  <conditionalFormatting sqref="N18:N19">
    <cfRule type="cellIs" dxfId="4159" priority="266" operator="equal">
      <formula>$O$18</formula>
    </cfRule>
    <cfRule type="duplicateValues" dxfId="4158" priority="265"/>
    <cfRule type="duplicateValues" dxfId="4157" priority="281"/>
    <cfRule type="duplicateValues" dxfId="4156" priority="282"/>
    <cfRule type="cellIs" dxfId="4154" priority="275" operator="equal">
      <formula>$O$9</formula>
    </cfRule>
    <cfRule type="cellIs" dxfId="4151" priority="270" operator="equal">
      <formula>$O$14</formula>
    </cfRule>
    <cfRule type="cellIs" dxfId="4145" priority="267" operator="equal">
      <formula>$O$17</formula>
    </cfRule>
    <cfRule type="cellIs" dxfId="4144" priority="268" operator="equal">
      <formula>$O$16</formula>
    </cfRule>
    <cfRule type="cellIs" dxfId="4143" priority="269" operator="equal">
      <formula>$O$15</formula>
    </cfRule>
    <cfRule type="duplicateValues" dxfId="4142" priority="298"/>
    <cfRule type="cellIs" dxfId="4141" priority="271" operator="equal">
      <formula>$O$13</formula>
    </cfRule>
    <cfRule type="cellIs" dxfId="4140" priority="272" operator="equal">
      <formula>$O$12</formula>
    </cfRule>
    <cfRule type="cellIs" dxfId="4139" priority="273" operator="equal">
      <formula>$O$11</formula>
    </cfRule>
    <cfRule type="cellIs" dxfId="4138" priority="274" operator="equal">
      <formula>$O$10</formula>
    </cfRule>
    <cfRule type="cellIs" dxfId="4135" priority="276" operator="equal">
      <formula>$O$8</formula>
    </cfRule>
    <cfRule type="cellIs" dxfId="4134" priority="277" operator="equal">
      <formula>$O$7</formula>
    </cfRule>
    <cfRule type="cellIs" dxfId="4133" priority="278" operator="equal">
      <formula>$O$6</formula>
    </cfRule>
    <cfRule type="cellIs" dxfId="4132" priority="279" operator="equal">
      <formula>$O$5</formula>
    </cfRule>
  </conditionalFormatting>
  <conditionalFormatting sqref="N19">
    <cfRule type="duplicateValues" dxfId="4131" priority="284"/>
  </conditionalFormatting>
  <conditionalFormatting sqref="N21 N24:N31">
    <cfRule type="duplicateValues" dxfId="4130" priority="1683"/>
  </conditionalFormatting>
  <conditionalFormatting sqref="N21">
    <cfRule type="duplicateValues" dxfId="4129" priority="1008"/>
    <cfRule type="duplicateValues" dxfId="4127" priority="1010"/>
    <cfRule type="duplicateValues" dxfId="4125" priority="1004"/>
    <cfRule type="duplicateValues" dxfId="4124" priority="1005"/>
    <cfRule type="duplicateValues" dxfId="4123" priority="1006"/>
    <cfRule type="duplicateValues" dxfId="4122" priority="1009"/>
    <cfRule type="duplicateValues" dxfId="4121" priority="1679"/>
    <cfRule type="duplicateValues" dxfId="4120" priority="1011"/>
  </conditionalFormatting>
  <conditionalFormatting sqref="N21:N31">
    <cfRule type="duplicateValues" dxfId="4119" priority="1707"/>
  </conditionalFormatting>
  <conditionalFormatting sqref="N21:N33 H21:H33 L21:L33 F21:F33">
    <cfRule type="cellIs" dxfId="4118" priority="1647" operator="equal">
      <formula>$O$16</formula>
    </cfRule>
    <cfRule type="cellIs" dxfId="4117" priority="1648" operator="equal">
      <formula>$O$15</formula>
    </cfRule>
    <cfRule type="cellIs" dxfId="4116" priority="1649" operator="equal">
      <formula>$O$14</formula>
    </cfRule>
  </conditionalFormatting>
  <conditionalFormatting sqref="N21:N33 H21:H33 L21:L33 F21:F34">
    <cfRule type="cellIs" dxfId="4115" priority="1635" operator="equal">
      <formula>$O$13</formula>
    </cfRule>
    <cfRule type="cellIs" dxfId="4114" priority="1636" operator="equal">
      <formula>$O$12</formula>
    </cfRule>
  </conditionalFormatting>
  <conditionalFormatting sqref="N21:N33">
    <cfRule type="duplicateValues" dxfId="4113" priority="1634"/>
    <cfRule type="duplicateValues" dxfId="4112" priority="1630"/>
    <cfRule type="duplicateValues" dxfId="4111" priority="1631"/>
  </conditionalFormatting>
  <conditionalFormatting sqref="N21:N34 H21:H33 L21:L34 F21:F33">
    <cfRule type="cellIs" dxfId="4110" priority="1646" operator="equal">
      <formula>$O$17</formula>
    </cfRule>
    <cfRule type="cellIs" dxfId="4109" priority="1645" operator="equal">
      <formula>$O$18</formula>
    </cfRule>
  </conditionalFormatting>
  <conditionalFormatting sqref="N21:N34 H21:H33 L21:L34 F21:F34">
    <cfRule type="cellIs" dxfId="4108" priority="1638" operator="equal">
      <formula>$O$10</formula>
    </cfRule>
  </conditionalFormatting>
  <conditionalFormatting sqref="N21:N34 H21:H34 L21:L34 F21:F34">
    <cfRule type="cellIs" dxfId="4107" priority="1641" operator="equal">
      <formula>$O$7</formula>
    </cfRule>
    <cfRule type="cellIs" dxfId="4106" priority="1640" operator="equal">
      <formula>$O$8</formula>
    </cfRule>
    <cfRule type="cellIs" dxfId="4105" priority="1639" operator="equal">
      <formula>$O$9</formula>
    </cfRule>
    <cfRule type="cellIs" dxfId="4104" priority="1637" operator="equal">
      <formula>$O$11</formula>
    </cfRule>
    <cfRule type="cellIs" dxfId="4103" priority="1642" operator="equal">
      <formula>$O$6</formula>
    </cfRule>
    <cfRule type="cellIs" dxfId="4102" priority="1643" operator="equal">
      <formula>$O$5</formula>
    </cfRule>
  </conditionalFormatting>
  <conditionalFormatting sqref="N21:N34">
    <cfRule type="duplicateValues" dxfId="4101" priority="1525"/>
    <cfRule type="duplicateValues" dxfId="4100" priority="1049"/>
  </conditionalFormatting>
  <conditionalFormatting sqref="N22:N23">
    <cfRule type="duplicateValues" dxfId="4099" priority="1682"/>
    <cfRule type="duplicateValues" dxfId="4098" priority="1681"/>
    <cfRule type="duplicateValues" dxfId="4097" priority="1684"/>
  </conditionalFormatting>
  <conditionalFormatting sqref="N27">
    <cfRule type="duplicateValues" dxfId="4096" priority="1030"/>
    <cfRule type="duplicateValues" dxfId="4095" priority="1029"/>
    <cfRule type="duplicateValues" dxfId="4094" priority="1031"/>
  </conditionalFormatting>
  <conditionalFormatting sqref="N32">
    <cfRule type="duplicateValues" dxfId="4093" priority="1039"/>
    <cfRule type="duplicateValues" dxfId="4092" priority="1041"/>
    <cfRule type="duplicateValues" dxfId="4091" priority="1040"/>
  </conditionalFormatting>
  <conditionalFormatting sqref="N32:N33">
    <cfRule type="duplicateValues" dxfId="4090" priority="1703"/>
  </conditionalFormatting>
  <conditionalFormatting sqref="N34 L34">
    <cfRule type="cellIs" dxfId="4089" priority="928" operator="equal">
      <formula>$O$15</formula>
    </cfRule>
    <cfRule type="cellIs" dxfId="4088" priority="927" operator="equal">
      <formula>$O$16</formula>
    </cfRule>
    <cfRule type="cellIs" dxfId="4087" priority="926" operator="equal">
      <formula>$O$5</formula>
    </cfRule>
    <cfRule type="cellIs" dxfId="4086" priority="925" operator="equal">
      <formula>$O$6</formula>
    </cfRule>
    <cfRule type="cellIs" dxfId="4085" priority="924" operator="equal">
      <formula>$O$7</formula>
    </cfRule>
    <cfRule type="cellIs" dxfId="4084" priority="923" operator="equal">
      <formula>$O$8</formula>
    </cfRule>
    <cfRule type="cellIs" dxfId="4083" priority="921" operator="equal">
      <formula>$O$10</formula>
    </cfRule>
    <cfRule type="cellIs" dxfId="4082" priority="929" operator="equal">
      <formula>$O$14</formula>
    </cfRule>
    <cfRule type="cellIs" dxfId="4081" priority="920" operator="equal">
      <formula>$O$11</formula>
    </cfRule>
    <cfRule type="cellIs" dxfId="4080" priority="919" operator="equal">
      <formula>$O$12</formula>
    </cfRule>
    <cfRule type="cellIs" dxfId="4079" priority="922" operator="equal">
      <formula>$O$9</formula>
    </cfRule>
    <cfRule type="cellIs" dxfId="4078" priority="918" operator="equal">
      <formula>$O$13</formula>
    </cfRule>
  </conditionalFormatting>
  <conditionalFormatting sqref="N34">
    <cfRule type="cellIs" dxfId="4077" priority="1567" operator="equal">
      <formula>$O$5</formula>
    </cfRule>
    <cfRule type="cellIs" dxfId="4076" priority="1563" operator="equal">
      <formula>$O$9</formula>
    </cfRule>
    <cfRule type="cellIs" dxfId="4075" priority="1561" operator="equal">
      <formula>$O$11</formula>
    </cfRule>
    <cfRule type="cellIs" dxfId="4074" priority="1531" operator="equal">
      <formula>$O$11</formula>
    </cfRule>
    <cfRule type="cellIs" dxfId="4073" priority="1532" operator="equal">
      <formula>$O$10</formula>
    </cfRule>
    <cfRule type="cellIs" dxfId="4072" priority="1530" operator="equal">
      <formula>$O$12</formula>
    </cfRule>
    <cfRule type="duplicateValues" dxfId="4071" priority="1599"/>
    <cfRule type="cellIs" dxfId="4070" priority="1598" operator="equal">
      <formula>$O$5</formula>
    </cfRule>
    <cfRule type="cellIs" dxfId="4069" priority="1597" operator="equal">
      <formula>$O$6</formula>
    </cfRule>
    <cfRule type="cellIs" dxfId="4068" priority="1596" operator="equal">
      <formula>$O$7</formula>
    </cfRule>
    <cfRule type="cellIs" dxfId="4067" priority="1595" operator="equal">
      <formula>$O$8</formula>
    </cfRule>
    <cfRule type="cellIs" dxfId="4066" priority="1594" operator="equal">
      <formula>$O$9</formula>
    </cfRule>
    <cfRule type="cellIs" dxfId="4065" priority="1593" operator="equal">
      <formula>$O$10</formula>
    </cfRule>
    <cfRule type="cellIs" dxfId="4064" priority="1592" operator="equal">
      <formula>$O$11</formula>
    </cfRule>
    <cfRule type="cellIs" dxfId="4063" priority="1529" operator="equal">
      <formula>$O$13</formula>
    </cfRule>
    <cfRule type="cellIs" dxfId="4062" priority="1591" operator="equal">
      <formula>$O$12</formula>
    </cfRule>
    <cfRule type="cellIs" dxfId="4061" priority="1590" operator="equal">
      <formula>$O$13</formula>
    </cfRule>
    <cfRule type="duplicateValues" dxfId="4060" priority="1568"/>
    <cfRule type="cellIs" dxfId="4059" priority="1566" operator="equal">
      <formula>$O$6</formula>
    </cfRule>
    <cfRule type="cellIs" dxfId="4058" priority="1565" operator="equal">
      <formula>$O$7</formula>
    </cfRule>
    <cfRule type="cellIs" dxfId="4057" priority="1564" operator="equal">
      <formula>$O$8</formula>
    </cfRule>
    <cfRule type="duplicateValues" dxfId="4056" priority="917"/>
    <cfRule type="cellIs" dxfId="4055" priority="1533" operator="equal">
      <formula>$O$9</formula>
    </cfRule>
    <cfRule type="duplicateValues" dxfId="4054" priority="943"/>
    <cfRule type="duplicateValues" dxfId="4053" priority="914"/>
    <cfRule type="duplicateValues" dxfId="4052" priority="915"/>
    <cfRule type="cellIs" dxfId="4051" priority="1534" operator="equal">
      <formula>$O$8</formula>
    </cfRule>
    <cfRule type="cellIs" dxfId="4050" priority="1535" operator="equal">
      <formula>$O$7</formula>
    </cfRule>
    <cfRule type="cellIs" dxfId="4049" priority="1536" operator="equal">
      <formula>$O$6</formula>
    </cfRule>
    <cfRule type="cellIs" dxfId="4048" priority="1537" operator="equal">
      <formula>$O$5</formula>
    </cfRule>
    <cfRule type="duplicateValues" dxfId="4047" priority="1538"/>
    <cfRule type="cellIs" dxfId="4046" priority="1559" operator="equal">
      <formula>$O$13</formula>
    </cfRule>
    <cfRule type="cellIs" dxfId="4045" priority="1560" operator="equal">
      <formula>$O$12</formula>
    </cfRule>
    <cfRule type="cellIs" dxfId="4044" priority="1562" operator="equal">
      <formula>$O$10</formula>
    </cfRule>
  </conditionalFormatting>
  <conditionalFormatting sqref="N35">
    <cfRule type="duplicateValues" dxfId="4042" priority="445"/>
    <cfRule type="duplicateValues" dxfId="4041" priority="444"/>
    <cfRule type="duplicateValues" dxfId="4040" priority="454"/>
  </conditionalFormatting>
  <conditionalFormatting sqref="N35:N36">
    <cfRule type="cellIs" dxfId="4030" priority="406" operator="equal">
      <formula>$O$18</formula>
    </cfRule>
    <cfRule type="cellIs" dxfId="4029" priority="407" operator="equal">
      <formula>$O$17</formula>
    </cfRule>
    <cfRule type="cellIs" dxfId="4028" priority="408" operator="equal">
      <formula>$O$16</formula>
    </cfRule>
    <cfRule type="cellIs" dxfId="4027" priority="409" operator="equal">
      <formula>$O$15</formula>
    </cfRule>
    <cfRule type="cellIs" dxfId="4026" priority="410" operator="equal">
      <formula>$O$14</formula>
    </cfRule>
    <cfRule type="cellIs" dxfId="4025" priority="411" operator="equal">
      <formula>$O$13</formula>
    </cfRule>
    <cfRule type="cellIs" dxfId="4024" priority="431" operator="equal">
      <formula>$O$8</formula>
    </cfRule>
    <cfRule type="duplicateValues" dxfId="4023" priority="519"/>
    <cfRule type="cellIs" dxfId="4022" priority="434" operator="equal">
      <formula>$O$5</formula>
    </cfRule>
    <cfRule type="duplicateValues" dxfId="4021" priority="521"/>
    <cfRule type="duplicateValues" dxfId="4020" priority="530"/>
    <cfRule type="cellIs" dxfId="4019" priority="405" operator="equal">
      <formula>$O$10</formula>
    </cfRule>
    <cfRule type="duplicateValues" dxfId="4018" priority="462"/>
    <cfRule type="duplicateValues" dxfId="4017" priority="461"/>
    <cfRule type="cellIs" dxfId="4016" priority="412" operator="equal">
      <formula>$O$12</formula>
    </cfRule>
    <cfRule type="cellIs" dxfId="4015" priority="433" operator="equal">
      <formula>$O$6</formula>
    </cfRule>
    <cfRule type="cellIs" dxfId="4014" priority="413" operator="equal">
      <formula>$O$11</formula>
    </cfRule>
    <cfRule type="cellIs" dxfId="4013" priority="430" operator="equal">
      <formula>$O$9</formula>
    </cfRule>
    <cfRule type="cellIs" dxfId="4012" priority="432" operator="equal">
      <formula>$O$7</formula>
    </cfRule>
  </conditionalFormatting>
  <conditionalFormatting sqref="N36">
    <cfRule type="duplicateValues" dxfId="4010" priority="414"/>
    <cfRule type="duplicateValues" dxfId="4000" priority="425"/>
  </conditionalFormatting>
  <conditionalFormatting sqref="N38:N49">
    <cfRule type="duplicateValues" dxfId="3999" priority="2223"/>
    <cfRule type="duplicateValues" dxfId="3998" priority="2198"/>
  </conditionalFormatting>
  <conditionalFormatting sqref="N38:N50">
    <cfRule type="duplicateValues" dxfId="3997" priority="2065"/>
  </conditionalFormatting>
  <conditionalFormatting sqref="N38:N51">
    <cfRule type="duplicateValues" dxfId="3996" priority="1787"/>
    <cfRule type="duplicateValues" dxfId="3995" priority="1779"/>
  </conditionalFormatting>
  <conditionalFormatting sqref="N49">
    <cfRule type="duplicateValues" dxfId="3993" priority="2073"/>
    <cfRule type="duplicateValues" dxfId="3992" priority="2075"/>
    <cfRule type="cellIs" dxfId="3991" priority="2086" operator="equal">
      <formula>$O$14</formula>
    </cfRule>
    <cfRule type="cellIs" dxfId="3989" priority="2084" operator="equal">
      <formula>$O$16</formula>
    </cfRule>
    <cfRule type="duplicateValues" dxfId="3988" priority="2083"/>
    <cfRule type="cellIs" dxfId="3987" priority="2088" operator="equal">
      <formula>$O$12</formula>
    </cfRule>
    <cfRule type="cellIs" dxfId="3986" priority="2087" operator="equal">
      <formula>$O$13</formula>
    </cfRule>
    <cfRule type="duplicateValues" dxfId="3985" priority="2081"/>
    <cfRule type="duplicateValues" dxfId="3981" priority="2070"/>
    <cfRule type="cellIs" dxfId="3979" priority="2085" operator="equal">
      <formula>$O$15</formula>
    </cfRule>
    <cfRule type="duplicateValues" dxfId="3976" priority="2076"/>
    <cfRule type="duplicateValues" dxfId="3974" priority="2074"/>
    <cfRule type="cellIs" dxfId="3973" priority="2101" operator="equal">
      <formula>$O$5</formula>
    </cfRule>
    <cfRule type="cellIs" dxfId="3972" priority="2100" operator="equal">
      <formula>$O$6</formula>
    </cfRule>
    <cfRule type="cellIs" dxfId="3971" priority="2099" operator="equal">
      <formula>$O$7</formula>
    </cfRule>
    <cfRule type="cellIs" dxfId="3970" priority="2098" operator="equal">
      <formula>$O$8</formula>
    </cfRule>
    <cfRule type="cellIs" dxfId="3969" priority="2097" operator="equal">
      <formula>$O$9</formula>
    </cfRule>
    <cfRule type="cellIs" dxfId="3968" priority="2092" operator="equal">
      <formula>$O$17</formula>
    </cfRule>
    <cfRule type="cellIs" dxfId="3967" priority="2091" operator="equal">
      <formula>$O$18</formula>
    </cfRule>
    <cfRule type="cellIs" dxfId="3966" priority="2090" operator="equal">
      <formula>$O$10</formula>
    </cfRule>
    <cfRule type="cellIs" dxfId="3965" priority="2089" operator="equal">
      <formula>$O$11</formula>
    </cfRule>
  </conditionalFormatting>
  <conditionalFormatting sqref="N50">
    <cfRule type="duplicateValues" dxfId="3963" priority="1949"/>
    <cfRule type="duplicateValues" dxfId="3962" priority="1951"/>
    <cfRule type="cellIs" dxfId="3961" priority="1952" operator="equal">
      <formula>$O$16</formula>
    </cfRule>
    <cfRule type="cellIs" dxfId="3960" priority="1953" operator="equal">
      <formula>$O$15</formula>
    </cfRule>
    <cfRule type="cellIs" dxfId="3959" priority="1954" operator="equal">
      <formula>$O$14</formula>
    </cfRule>
    <cfRule type="cellIs" dxfId="3958" priority="1955" operator="equal">
      <formula>$O$13</formula>
    </cfRule>
    <cfRule type="cellIs" dxfId="3957" priority="1956" operator="equal">
      <formula>$O$12</formula>
    </cfRule>
    <cfRule type="cellIs" dxfId="3956" priority="1957" operator="equal">
      <formula>$O$11</formula>
    </cfRule>
    <cfRule type="cellIs" dxfId="3955" priority="1958" operator="equal">
      <formula>$O$10</formula>
    </cfRule>
    <cfRule type="cellIs" dxfId="3954" priority="1959" operator="equal">
      <formula>$O$18</formula>
    </cfRule>
    <cfRule type="cellIs" dxfId="3953" priority="1960" operator="equal">
      <formula>$O$17</formula>
    </cfRule>
    <cfRule type="cellIs" dxfId="3952" priority="1965" operator="equal">
      <formula>$O$9</formula>
    </cfRule>
    <cfRule type="cellIs" dxfId="3951" priority="1966" operator="equal">
      <formula>$O$8</formula>
    </cfRule>
    <cfRule type="cellIs" dxfId="3950" priority="1967" operator="equal">
      <formula>$O$7</formula>
    </cfRule>
    <cfRule type="cellIs" dxfId="3949" priority="1968" operator="equal">
      <formula>$O$6</formula>
    </cfRule>
    <cfRule type="cellIs" dxfId="3948" priority="1969" operator="equal">
      <formula>$O$5</formula>
    </cfRule>
    <cfRule type="duplicateValues" dxfId="3942" priority="1938"/>
    <cfRule type="duplicateValues" dxfId="3939" priority="1941"/>
    <cfRule type="duplicateValues" dxfId="3938" priority="1942"/>
    <cfRule type="duplicateValues" dxfId="3937" priority="1943"/>
    <cfRule type="duplicateValues" dxfId="3936" priority="1944"/>
  </conditionalFormatting>
  <conditionalFormatting sqref="N51">
    <cfRule type="cellIs" dxfId="3932" priority="1813" operator="equal">
      <formula>$O$10</formula>
    </cfRule>
    <cfRule type="duplicateValues" dxfId="3929" priority="1793"/>
    <cfRule type="duplicateValues" dxfId="3928" priority="1797"/>
    <cfRule type="duplicateValues" dxfId="3923" priority="1804"/>
    <cfRule type="duplicateValues" dxfId="3922" priority="1806"/>
    <cfRule type="cellIs" dxfId="3921" priority="1807" operator="equal">
      <formula>$O$16</formula>
    </cfRule>
    <cfRule type="cellIs" dxfId="3920" priority="1808" operator="equal">
      <formula>$O$15</formula>
    </cfRule>
    <cfRule type="cellIs" dxfId="3919" priority="1809" operator="equal">
      <formula>$O$14</formula>
    </cfRule>
    <cfRule type="cellIs" dxfId="3918" priority="1810" operator="equal">
      <formula>$O$13</formula>
    </cfRule>
    <cfRule type="cellIs" dxfId="3917" priority="1811" operator="equal">
      <formula>$O$12</formula>
    </cfRule>
    <cfRule type="cellIs" dxfId="3916" priority="1812" operator="equal">
      <formula>$O$11</formula>
    </cfRule>
    <cfRule type="duplicateValues" dxfId="3915" priority="1796"/>
    <cfRule type="cellIs" dxfId="3914" priority="1814" operator="equal">
      <formula>$O$18</formula>
    </cfRule>
    <cfRule type="cellIs" dxfId="3913" priority="1815" operator="equal">
      <formula>$O$17</formula>
    </cfRule>
    <cfRule type="cellIs" dxfId="3912" priority="1820" operator="equal">
      <formula>$O$9</formula>
    </cfRule>
    <cfRule type="cellIs" dxfId="3911" priority="1821" operator="equal">
      <formula>$O$8</formula>
    </cfRule>
    <cfRule type="cellIs" dxfId="3910" priority="1822" operator="equal">
      <formula>$O$7</formula>
    </cfRule>
    <cfRule type="cellIs" dxfId="3909" priority="1823" operator="equal">
      <formula>$O$6</formula>
    </cfRule>
    <cfRule type="cellIs" dxfId="3908" priority="1824" operator="equal">
      <formula>$O$5</formula>
    </cfRule>
    <cfRule type="duplicateValues" dxfId="3903" priority="1908"/>
    <cfRule type="duplicateValues" dxfId="3902" priority="1799"/>
    <cfRule type="duplicateValues" dxfId="3901" priority="1798"/>
  </conditionalFormatting>
  <conditionalFormatting sqref="N52">
    <cfRule type="duplicateValues" dxfId="3900" priority="660"/>
    <cfRule type="duplicateValues" dxfId="3899" priority="663"/>
  </conditionalFormatting>
  <conditionalFormatting sqref="N52:N53">
    <cfRule type="duplicateValues" dxfId="3898" priority="664"/>
    <cfRule type="cellIs" dxfId="3897" priority="665" operator="equal">
      <formula>$O$13</formula>
    </cfRule>
    <cfRule type="cellIs" dxfId="3896" priority="666" operator="equal">
      <formula>$O$12</formula>
    </cfRule>
    <cfRule type="cellIs" dxfId="3895" priority="667" operator="equal">
      <formula>$O$11</formula>
    </cfRule>
    <cfRule type="duplicateValues" dxfId="3894" priority="733"/>
    <cfRule type="cellIs" dxfId="3893" priority="668" operator="equal">
      <formula>$O$10</formula>
    </cfRule>
    <cfRule type="cellIs" dxfId="3892" priority="669" operator="equal">
      <formula>$O$9</formula>
    </cfRule>
    <cfRule type="cellIs" dxfId="3891" priority="670" operator="equal">
      <formula>$O$8</formula>
    </cfRule>
    <cfRule type="cellIs" dxfId="3890" priority="671" operator="equal">
      <formula>$O$7</formula>
    </cfRule>
    <cfRule type="cellIs" dxfId="3889" priority="672" operator="equal">
      <formula>$O$6</formula>
    </cfRule>
    <cfRule type="cellIs" dxfId="3888" priority="673" operator="equal">
      <formula>$O$5</formula>
    </cfRule>
    <cfRule type="cellIs" dxfId="3887" priority="675" operator="equal">
      <formula>$O$18</formula>
    </cfRule>
    <cfRule type="cellIs" dxfId="3886" priority="676" operator="equal">
      <formula>$O$17</formula>
    </cfRule>
    <cfRule type="duplicateValues" dxfId="3885" priority="730"/>
    <cfRule type="duplicateValues" dxfId="3884" priority="677"/>
    <cfRule type="duplicateValues" dxfId="3873" priority="688"/>
    <cfRule type="duplicateValues" dxfId="3872" priority="689"/>
    <cfRule type="duplicateValues" dxfId="3871" priority="690"/>
    <cfRule type="containsText" dxfId="3870" priority="657" operator="containsText" text="(HEM)">
      <formula>NOT(ISERROR(SEARCH("(HEM)",N52)))</formula>
    </cfRule>
    <cfRule type="containsText" dxfId="3869" priority="658" operator="containsText" text="(SV)">
      <formula>NOT(ISERROR(SEARCH("(SV)",N52)))</formula>
    </cfRule>
    <cfRule type="duplicateValues" dxfId="3868" priority="661"/>
  </conditionalFormatting>
  <conditionalFormatting sqref="N53">
    <cfRule type="duplicateValues" dxfId="3867" priority="662"/>
    <cfRule type="duplicateValues" dxfId="3866" priority="659"/>
  </conditionalFormatting>
  <conditionalFormatting sqref="Q21 Q24:Q31">
    <cfRule type="duplicateValues" dxfId="3865" priority="4348"/>
  </conditionalFormatting>
  <conditionalFormatting sqref="Q21">
    <cfRule type="duplicateValues" dxfId="3864" priority="4345"/>
    <cfRule type="duplicateValues" dxfId="3863" priority="4344"/>
  </conditionalFormatting>
  <conditionalFormatting sqref="Q21:Q31">
    <cfRule type="duplicateValues" dxfId="3861" priority="4359"/>
  </conditionalFormatting>
  <conditionalFormatting sqref="Q21:Q32">
    <cfRule type="cellIs" dxfId="3856" priority="4310" operator="equal">
      <formula>$O$11</formula>
    </cfRule>
    <cfRule type="duplicateValues" dxfId="3852" priority="4304"/>
    <cfRule type="duplicateValues" dxfId="3851" priority="4305"/>
    <cfRule type="duplicateValues" dxfId="3850" priority="4306"/>
    <cfRule type="duplicateValues" dxfId="3849" priority="4307"/>
    <cfRule type="cellIs" dxfId="3848" priority="4308" operator="equal">
      <formula>$O$13</formula>
    </cfRule>
    <cfRule type="cellIs" dxfId="3847" priority="4309" operator="equal">
      <formula>$O$12</formula>
    </cfRule>
    <cfRule type="cellIs" dxfId="3846" priority="4311" operator="equal">
      <formula>$O$10</formula>
    </cfRule>
    <cfRule type="cellIs" dxfId="3845" priority="4312" operator="equal">
      <formula>$O$9</formula>
    </cfRule>
    <cfRule type="cellIs" dxfId="3844" priority="4313" operator="equal">
      <formula>$O$8</formula>
    </cfRule>
    <cfRule type="cellIs" dxfId="3843" priority="4314" operator="equal">
      <formula>$O$7</formula>
    </cfRule>
    <cfRule type="cellIs" dxfId="3842" priority="4315" operator="equal">
      <formula>$O$6</formula>
    </cfRule>
    <cfRule type="cellIs" dxfId="3841" priority="4316" operator="equal">
      <formula>$O$5</formula>
    </cfRule>
    <cfRule type="cellIs" dxfId="3840" priority="4318" operator="equal">
      <formula>$O$18</formula>
    </cfRule>
    <cfRule type="cellIs" dxfId="3839" priority="4319" operator="equal">
      <formula>$O$17</formula>
    </cfRule>
    <cfRule type="cellIs" dxfId="3838" priority="4320" operator="equal">
      <formula>$O$16</formula>
    </cfRule>
    <cfRule type="cellIs" dxfId="3837" priority="4321" operator="equal">
      <formula>$O$15</formula>
    </cfRule>
    <cfRule type="cellIs" dxfId="3836" priority="4322" operator="equal">
      <formula>$O$14</formula>
    </cfRule>
    <cfRule type="cellIs" dxfId="3835" priority="4332" operator="equal">
      <formula>0</formula>
    </cfRule>
  </conditionalFormatting>
  <conditionalFormatting sqref="Q22">
    <cfRule type="duplicateValues" dxfId="3831" priority="4343"/>
  </conditionalFormatting>
  <conditionalFormatting sqref="Q22:Q23">
    <cfRule type="duplicateValues" dxfId="3830" priority="4349"/>
    <cfRule type="duplicateValues" dxfId="3829" priority="4347"/>
    <cfRule type="duplicateValues" dxfId="3828" priority="4346"/>
  </conditionalFormatting>
  <conditionalFormatting sqref="Q23">
    <cfRule type="duplicateValues" dxfId="3827" priority="4342"/>
  </conditionalFormatting>
  <conditionalFormatting sqref="Q24">
    <cfRule type="duplicateValues" dxfId="3826" priority="4341"/>
  </conditionalFormatting>
  <conditionalFormatting sqref="Q25">
    <cfRule type="duplicateValues" dxfId="3825" priority="4340"/>
  </conditionalFormatting>
  <conditionalFormatting sqref="Q26">
    <cfRule type="duplicateValues" dxfId="3824" priority="4339"/>
  </conditionalFormatting>
  <conditionalFormatting sqref="Q27">
    <cfRule type="duplicateValues" dxfId="3823" priority="4338"/>
  </conditionalFormatting>
  <conditionalFormatting sqref="Q28">
    <cfRule type="duplicateValues" dxfId="3822" priority="4337"/>
  </conditionalFormatting>
  <conditionalFormatting sqref="Q29">
    <cfRule type="duplicateValues" dxfId="3821" priority="4336"/>
  </conditionalFormatting>
  <conditionalFormatting sqref="Q30">
    <cfRule type="duplicateValues" dxfId="3820" priority="4335"/>
  </conditionalFormatting>
  <conditionalFormatting sqref="Q31">
    <cfRule type="duplicateValues" dxfId="3819" priority="4334"/>
  </conditionalFormatting>
  <conditionalFormatting sqref="Q32">
    <cfRule type="duplicateValues" dxfId="3818" priority="4333"/>
    <cfRule type="duplicateValues" dxfId="3817" priority="4358"/>
  </conditionalFormatting>
  <conditionalFormatting sqref="R26">
    <cfRule type="duplicateValues" dxfId="3815" priority="8666"/>
    <cfRule type="duplicateValues" dxfId="3814" priority="8667"/>
    <cfRule type="duplicateValues" dxfId="3813" priority="8668"/>
    <cfRule type="duplicateValues" dxfId="3812" priority="8669"/>
  </conditionalFormatting>
  <conditionalFormatting sqref="S64:S70 V4:V62">
    <cfRule type="colorScale" priority="9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62">
    <cfRule type="dataBar" priority="8683">
      <dataBar>
        <cfvo type="num" val="0"/>
        <cfvo type="num" val="16"/>
        <color rgb="FF00FF30"/>
      </dataBar>
      <extLst>
        <ext xmlns:x14="http://schemas.microsoft.com/office/spreadsheetml/2009/9/main" uri="{B025F937-C7B1-47D3-B67F-A62EFF666E3E}">
          <x14:id>{572855E7-6DCB-4C8A-96FC-C6AEEBA503E3}</x14:id>
        </ext>
      </extLst>
    </cfRule>
  </conditionalFormatting>
  <conditionalFormatting sqref="X63">
    <cfRule type="colorScale" priority="8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62">
    <dataValidation type="list" allowBlank="1" showInputMessage="1" sqref="N17 H17 F17 L17" xr:uid="{00000000-0002-0000-0100-000000000000}">
      <formula1>$Y$100:$Y$107</formula1>
    </dataValidation>
    <dataValidation type="list" allowBlank="1" showInputMessage="1" sqref="F25 H25 L25 N25" xr:uid="{00000000-0002-0000-0100-000001000000}">
      <formula1>$I$88:$I$95</formula1>
    </dataValidation>
    <dataValidation type="list" allowBlank="1" showInputMessage="1" sqref="F23 H23 L23 N23" xr:uid="{00000000-0002-0000-0100-000002000000}">
      <formula1>$E$88:$E$95</formula1>
    </dataValidation>
    <dataValidation type="list" allowBlank="1" showInputMessage="1" sqref="F21 L21 H21 N21" xr:uid="{00000000-0002-0000-0100-000003000000}">
      <formula1>$A$88:$A$95</formula1>
    </dataValidation>
    <dataValidation type="list" allowBlank="1" showInputMessage="1" sqref="F33 L33 H33 N33" xr:uid="{00000000-0002-0000-0100-000004000000}">
      <formula1>$Y$88:$Y$95</formula1>
    </dataValidation>
    <dataValidation type="list" allowBlank="1" showInputMessage="1" sqref="F31 L31 H31 N31" xr:uid="{00000000-0002-0000-0100-000005000000}">
      <formula1>$U$88:$U$95</formula1>
    </dataValidation>
    <dataValidation type="list" allowBlank="1" showInputMessage="1" sqref="F30 L30 H30 N30" xr:uid="{00000000-0002-0000-0100-000006000000}">
      <formula1>$S$88:$S$95</formula1>
    </dataValidation>
    <dataValidation type="list" allowBlank="1" showInputMessage="1" sqref="F29 L29 H29 N29" xr:uid="{00000000-0002-0000-0100-000007000000}">
      <formula1>$Q$88:$Q$94</formula1>
    </dataValidation>
    <dataValidation type="list" allowBlank="1" showInputMessage="1" sqref="F28 L28 H28 N28" xr:uid="{00000000-0002-0000-0100-000008000000}">
      <formula1>$O$88:$O$95</formula1>
    </dataValidation>
    <dataValidation type="list" allowBlank="1" showInputMessage="1" sqref="F22 L22 H22 N22" xr:uid="{00000000-0002-0000-0100-000009000000}">
      <formula1>$C$88:$C$95</formula1>
    </dataValidation>
    <dataValidation type="list" allowBlank="1" showInputMessage="1" sqref="F26 N26 L26 H26" xr:uid="{00000000-0002-0000-0100-00000A000000}">
      <formula1>$K$88:$K$94</formula1>
    </dataValidation>
    <dataValidation type="list" allowBlank="1" showInputMessage="1" sqref="H24 N24 L24 F24" xr:uid="{00000000-0002-0000-0100-00000B000000}">
      <formula1>$G$88:$G$94</formula1>
    </dataValidation>
    <dataValidation type="list" allowBlank="1" showInputMessage="1" sqref="F15 N15 L15 H15" xr:uid="{00000000-0002-0000-0100-00000C000000}">
      <formula1>$U$100:$U$107</formula1>
    </dataValidation>
    <dataValidation type="list" allowBlank="1" showInputMessage="1" sqref="F10 N10 L10 H10" xr:uid="{00000000-0002-0000-0100-00000D000000}">
      <formula1>$K$100:$K$107</formula1>
    </dataValidation>
    <dataValidation type="list" allowBlank="1" showInputMessage="1" sqref="F9 N9 L9 H9" xr:uid="{00000000-0002-0000-0100-00000E000000}">
      <formula1>$I$100:$I$107</formula1>
    </dataValidation>
    <dataValidation type="list" allowBlank="1" showInputMessage="1" sqref="F8 N8 L8 H8" xr:uid="{00000000-0002-0000-0100-00000F000000}">
      <formula1>$G$100:$G$107</formula1>
    </dataValidation>
    <dataValidation type="list" allowBlank="1" showInputMessage="1" sqref="F6 N6 L6 H6" xr:uid="{00000000-0002-0000-0100-000010000000}">
      <formula1>$C$100:$C$107</formula1>
    </dataValidation>
    <dataValidation type="list" allowBlank="1" showInputMessage="1" sqref="F7 N7 L7 H7" xr:uid="{00000000-0002-0000-0100-000011000000}">
      <formula1>$E$100:$E$107</formula1>
    </dataValidation>
    <dataValidation type="list" allowBlank="1" showInputMessage="1" sqref="L16 N16 H16 F16 R26" xr:uid="{00000000-0002-0000-0100-000012000000}">
      <formula1>$W$100:$W$107</formula1>
    </dataValidation>
    <dataValidation type="list" allowBlank="1" showInputMessage="1" sqref="F13 N13 L13 H13" xr:uid="{00000000-0002-0000-0100-000013000000}">
      <formula1>$Q$100:$Q$107</formula1>
    </dataValidation>
    <dataValidation type="list" allowBlank="1" showInputMessage="1" sqref="F12 N12 L12 H12" xr:uid="{00000000-0002-0000-0100-000014000000}">
      <formula1>$O$100:$O$107</formula1>
    </dataValidation>
    <dataValidation type="list" allowBlank="1" showInputMessage="1" sqref="F11 L11 N11 H11" xr:uid="{00000000-0002-0000-0100-000015000000}">
      <formula1>$M$100:$M$107</formula1>
    </dataValidation>
    <dataValidation type="list" allowBlank="1" showInputMessage="1" sqref="F5 H5 L5 N5" xr:uid="{00000000-0002-0000-0100-000016000000}">
      <formula1>$A$100:$A$107</formula1>
    </dataValidation>
    <dataValidation type="list" allowBlank="1" showInputMessage="1" sqref="F14 H14 L14 N14" xr:uid="{00000000-0002-0000-0100-000017000000}">
      <formula1>$S$100:$S$106</formula1>
    </dataValidation>
    <dataValidation type="list" allowBlank="1" showInputMessage="1" sqref="F34 N34 L34 H34" xr:uid="{00000000-0002-0000-0100-000018000000}">
      <formula1>$AA$88:$AA$94</formula1>
    </dataValidation>
    <dataValidation type="list" allowBlank="1" showInputMessage="1" sqref="Q25" xr:uid="{00000000-0002-0000-0100-000019000000}">
      <formula1>$I$1048534:$I$1048541</formula1>
    </dataValidation>
    <dataValidation type="list" allowBlank="1" showInputMessage="1" sqref="Q23" xr:uid="{00000000-0002-0000-0100-00001A000000}">
      <formula1>$E$1048534:$E$1048541</formula1>
    </dataValidation>
    <dataValidation type="list" allowBlank="1" showInputMessage="1" sqref="Q21" xr:uid="{00000000-0002-0000-0100-00001B000000}">
      <formula1>$A$1048534:$A$1048541</formula1>
    </dataValidation>
    <dataValidation type="list" allowBlank="1" showInputMessage="1" sqref="Q30" xr:uid="{00000000-0002-0000-0100-00001C000000}">
      <formula1>$S$1048534:$S$1048541</formula1>
    </dataValidation>
    <dataValidation type="list" allowBlank="1" showInputMessage="1" sqref="Q29" xr:uid="{00000000-0002-0000-0100-00001D000000}">
      <formula1>$Q$1048534:$Q$1048540</formula1>
    </dataValidation>
    <dataValidation type="list" allowBlank="1" showInputMessage="1" sqref="Q28" xr:uid="{00000000-0002-0000-0100-00001E000000}">
      <formula1>$O$1048534:$O$1048541</formula1>
    </dataValidation>
    <dataValidation type="list" allowBlank="1" showInputMessage="1" sqref="Q22" xr:uid="{00000000-0002-0000-0100-00001F000000}">
      <formula1>$C$1048534:$C$1048541</formula1>
    </dataValidation>
    <dataValidation type="list" allowBlank="1" showInputMessage="1" sqref="Q27" xr:uid="{00000000-0002-0000-0100-000020000000}">
      <formula1>$M$1048534:$M$1048540</formula1>
    </dataValidation>
    <dataValidation type="list" allowBlank="1" showInputMessage="1" sqref="Q26" xr:uid="{00000000-0002-0000-0100-000021000000}">
      <formula1>$K$1048534:$K$1048540</formula1>
    </dataValidation>
    <dataValidation type="list" allowBlank="1" showInputMessage="1" sqref="Q24" xr:uid="{00000000-0002-0000-0100-000022000000}">
      <formula1>$G$1048534:$G$1048540</formula1>
    </dataValidation>
    <dataValidation type="list" allowBlank="1" showInputMessage="1" sqref="Q32" xr:uid="{00000000-0002-0000-0100-000023000000}">
      <formula1>$W$1048534:$W$1048540</formula1>
    </dataValidation>
    <dataValidation type="list" allowBlank="1" showInputMessage="1" sqref="Q31" xr:uid="{00000000-0002-0000-0100-000024000000}">
      <formula1>$U$1048534:$U$1048541</formula1>
    </dataValidation>
    <dataValidation type="list" allowBlank="1" showInputMessage="1" sqref="F32 H32 L32 N32" xr:uid="{00000000-0002-0000-0100-000025000000}">
      <formula1>$W$88:$W$95</formula1>
    </dataValidation>
    <dataValidation type="list" allowBlank="1" showInputMessage="1" sqref="F27 H27 L27 N27" xr:uid="{00000000-0002-0000-0100-000026000000}">
      <formula1>$M$88:$M$95</formula1>
    </dataValidation>
    <dataValidation type="list" allowBlank="1" showInputMessage="1" showErrorMessage="1" sqref="N51 F51 H51 L51" xr:uid="{00000000-0002-0000-0100-000027000000}">
      <formula1>$AA$74:$AA$79</formula1>
    </dataValidation>
    <dataValidation type="list" allowBlank="1" showInputMessage="1" showErrorMessage="1" sqref="N50 F50 H50 L50" xr:uid="{00000000-0002-0000-0100-000028000000}">
      <formula1>$Y$74:$Y$79</formula1>
    </dataValidation>
    <dataValidation type="list" allowBlank="1" showInputMessage="1" showErrorMessage="1" sqref="N49 F49 H49 L49" xr:uid="{00000000-0002-0000-0100-000029000000}">
      <formula1>$W$74:$W$79</formula1>
    </dataValidation>
    <dataValidation type="list" allowBlank="1" showInputMessage="1" showErrorMessage="1" sqref="N48 F48 H48 L48" xr:uid="{00000000-0002-0000-0100-00002A000000}">
      <formula1>$U$74:$U$79</formula1>
    </dataValidation>
    <dataValidation type="list" allowBlank="1" showInputMessage="1" showErrorMessage="1" sqref="N47 F47 H47 L47" xr:uid="{00000000-0002-0000-0100-00002B000000}">
      <formula1>$S$74:$S$79</formula1>
    </dataValidation>
    <dataValidation type="list" allowBlank="1" showInputMessage="1" showErrorMessage="1" sqref="N46 F46 H46 L46" xr:uid="{00000000-0002-0000-0100-00002C000000}">
      <formula1>$Q$74:$Q$79</formula1>
    </dataValidation>
    <dataValidation type="list" allowBlank="1" showInputMessage="1" showErrorMessage="1" sqref="N45 F45 H45 L45" xr:uid="{00000000-0002-0000-0100-00002D000000}">
      <formula1>$O$74:$O$79</formula1>
    </dataValidation>
    <dataValidation type="list" allowBlank="1" showInputMessage="1" showErrorMessage="1" sqref="N44 F44 H44 L44" xr:uid="{00000000-0002-0000-0100-00002E000000}">
      <formula1>$M$74:$M$79</formula1>
    </dataValidation>
    <dataValidation type="list" allowBlank="1" showInputMessage="1" showErrorMessage="1" sqref="N43 F43 H43 L43" xr:uid="{00000000-0002-0000-0100-00002F000000}">
      <formula1>$K$74:$K$79</formula1>
    </dataValidation>
    <dataValidation type="list" allowBlank="1" showInputMessage="1" showErrorMessage="1" sqref="N42 F42 H42 L42" xr:uid="{00000000-0002-0000-0100-000030000000}">
      <formula1>$I$74:$I$79</formula1>
    </dataValidation>
    <dataValidation type="list" allowBlank="1" showInputMessage="1" showErrorMessage="1" sqref="N41 F41 H41 L41" xr:uid="{00000000-0002-0000-0100-000031000000}">
      <formula1>$G$74:$G$79</formula1>
    </dataValidation>
    <dataValidation type="list" allowBlank="1" showInputMessage="1" showErrorMessage="1" sqref="N40 F40 H40 L40" xr:uid="{00000000-0002-0000-0100-000032000000}">
      <formula1>$E$74:$E$79</formula1>
    </dataValidation>
    <dataValidation type="list" allowBlank="1" showInputMessage="1" showErrorMessage="1" sqref="N39 F39 H39 L39" xr:uid="{00000000-0002-0000-0100-000033000000}">
      <formula1>$C$74:$C$79</formula1>
    </dataValidation>
    <dataValidation type="list" allowBlank="1" showInputMessage="1" showErrorMessage="1" sqref="N38 F38 H38 L38" xr:uid="{00000000-0002-0000-0100-000034000000}">
      <formula1>$A$74:$A$79</formula1>
    </dataValidation>
    <dataValidation type="list" allowBlank="1" showInputMessage="1" showErrorMessage="1" sqref="E52:E53 G52:G53 K52:K53 M52:M53" xr:uid="{00000000-0002-0000-0100-000035000000}">
      <formula1>$AD$74:$AD$83</formula1>
    </dataValidation>
    <dataValidation type="list" allowBlank="1" showInputMessage="1" showErrorMessage="1" sqref="F52:F53 H52:H53 L52:L53 N52:N53" xr:uid="{00000000-0002-0000-0100-000036000000}">
      <formula1>$AC$74:$AC$83</formula1>
    </dataValidation>
    <dataValidation type="list" allowBlank="1" showInputMessage="1" showErrorMessage="1" sqref="N35:N36 H35:H36 L35:L36" xr:uid="{00000000-0002-0000-0100-000037000000}">
      <formula1>$AC$88:$AC$95</formula1>
    </dataValidation>
    <dataValidation type="list" allowBlank="1" showInputMessage="1" showErrorMessage="1" sqref="E35:E36 G35:G36 K35:K36 M35:M36" xr:uid="{00000000-0002-0000-0100-000038000000}">
      <formula1>$AD$88:$AD$95</formula1>
    </dataValidation>
    <dataValidation type="list" allowBlank="1" showInputMessage="1" showErrorMessage="1" sqref="F18:F19 H18:H19 L18:L19" xr:uid="{00000000-0002-0000-0100-000039000000}">
      <formula1>$AA$100:$AA$107</formula1>
    </dataValidation>
    <dataValidation type="list" allowBlank="1" showInputMessage="1" showErrorMessage="1" sqref="E18:E19 G18:G19 K18:K19 M18:M19" xr:uid="{00000000-0002-0000-0100-00003A000000}">
      <formula1>$AB$100:$AB$107</formula1>
    </dataValidation>
    <dataValidation type="list" allowBlank="1" showInputMessage="1" showErrorMessage="1" sqref="F35:F36" xr:uid="{00000000-0002-0000-0100-00003B000000}">
      <formula1>$AC$88:$AC$96</formula1>
    </dataValidation>
    <dataValidation type="list" allowBlank="1" showInputMessage="1" showErrorMessage="1" sqref="N18" xr:uid="{00000000-0002-0000-0100-00003C000000}">
      <formula1>"$AA$99:$AA$107"</formula1>
    </dataValidation>
    <dataValidation type="list" allowBlank="1" showInputMessage="1" showErrorMessage="1" sqref="N19" xr:uid="{00000000-0002-0000-0100-00003D000000}">
      <formula1>$AA$99:$AA$107</formula1>
    </dataValidation>
  </dataValidations>
  <pageMargins left="0.75" right="0.75" top="0.28000000000000003" bottom="0.17" header="0.5" footer="0.5"/>
  <pageSetup scale="85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01" operator="containsText" id="{AE68FF16-2287-4587-9C97-1D8B2A9548F1}">
            <xm:f>NOT(ISERROR(SEARCH($O$12,F5)))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523" operator="containsText" id="{5B78385A-AA10-4398-BCAC-341F1600C2AD}">
            <xm:f>NOT(ISERROR(SEARCH($O$15,F5)))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3" operator="containsText" id="{1AADC710-8C7E-4E66-928B-C0018D0BCB0B}">
            <xm:f>NOT(ISERROR(SEARCH($O$14,F5)))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2" operator="containsText" id="{82AC4F65-E0EC-42CD-A0AA-25FB89493408}">
            <xm:f>NOT(ISERROR(SEARCH($O$13,F5)))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0" operator="containsText" id="{605F3481-D7C9-48FF-BAE5-877291213ADD}">
            <xm:f>NOT(ISERROR(SEARCH($O$11,F5)))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F5:F16 H5:H16 L5:L16 N5:N14 N16</xm:sqref>
        </x14:conditionalFormatting>
        <x14:conditionalFormatting xmlns:xm="http://schemas.microsoft.com/office/excel/2006/main">
          <x14:cfRule type="containsText" priority="1499" operator="containsText" id="{D1384693-2D80-4B5F-9347-C6FA2F16E079}">
            <xm:f>NOT(ISERROR(SEARCH($O$9,F5)))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495" operator="containsText" id="{050977E7-555C-4F13-84F1-8A71F18601A4}">
            <xm:f>NOT(ISERROR(SEARCH($O$5,F5)))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496" operator="containsText" id="{449A257C-734C-4370-85F9-E94B86CE1BFD}">
            <xm:f>NOT(ISERROR(SEARCH($O$6,F5)))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497" operator="containsText" id="{7B432F77-6F0A-4D2B-A6C0-50DC643EFE2C}">
            <xm:f>NOT(ISERROR(SEARCH($O$7,F5)))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498" operator="containsText" id="{804F15A4-5132-405F-9996-AD2B378C4B0C}">
            <xm:f>NOT(ISERROR(SEARCH($O$8,F5)))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F5:F16 H5:H16 L5:L16</xm:sqref>
        </x14:conditionalFormatting>
        <x14:conditionalFormatting xmlns:xm="http://schemas.microsoft.com/office/excel/2006/main">
          <x14:cfRule type="containsText" priority="390" operator="containsText" id="{D71A1F4A-B416-4DDF-AED3-854B802E6426}">
            <xm:f>NOT(ISERROR(SEARCH($O$5,F18)))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91" operator="containsText" id="{7ADDA91A-21F7-4C7D-B638-8DDF05363D1C}">
            <xm:f>NOT(ISERROR(SEARCH($O$6,F18)))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92" operator="containsText" id="{C73DBEF7-580C-4253-AD26-532124D5BEE0}">
            <xm:f>NOT(ISERROR(SEARCH($O$7,F18)))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93" operator="containsText" id="{FD239DA6-F749-4A82-BF5C-C0DF0ABBFB6F}">
            <xm:f>NOT(ISERROR(SEARCH($O$8,F18)))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94" operator="containsText" id="{8477AC3A-C423-44B8-9099-67CC880BD06A}">
            <xm:f>NOT(ISERROR(SEARCH($O$9,F18)))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95" operator="containsText" id="{8BB33057-48C0-494F-B22D-165D35915E2B}">
            <xm:f>NOT(ISERROR(SEARCH($O$11,F18)))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96" operator="containsText" id="{CC0F9A57-A8B9-4B32-BC8C-B4E710AD0D55}">
            <xm:f>NOT(ISERROR(SEARCH($O$12,F18)))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97" operator="containsText" id="{0B6E975B-2C36-456F-903E-66215AF1E895}">
            <xm:f>NOT(ISERROR(SEARCH($O$13,F18)))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98" operator="containsText" id="{BE8DA5C4-E690-44F2-B946-38573F505DEC}">
            <xm:f>NOT(ISERROR(SEARCH($O$14,F18)))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99" operator="containsText" id="{EF66C1CF-B146-4193-B71A-233AA156195C}">
            <xm:f>NOT(ISERROR(SEARCH($O$15,F18)))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712" operator="containsText" id="{941ED627-AA88-4E53-BDE5-5CE8F7556561}">
            <xm:f>NOT(ISERROR(SEARCH($O$15,F21)))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3" operator="containsText" id="{DC5A7D37-6D1C-467A-9BB5-1F9C998752CF}">
            <xm:f>NOT(ISERROR(SEARCH($O$11,F21)))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F21:F33 H21:H33 L21:L33 N21:N33</xm:sqref>
        </x14:conditionalFormatting>
        <x14:conditionalFormatting xmlns:xm="http://schemas.microsoft.com/office/excel/2006/main">
          <x14:cfRule type="containsText" priority="1003" operator="containsText" id="{E762C608-2130-4332-BFA7-D4030B39F978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4" operator="containsText" id="{21F81ADE-7378-4A65-B194-B967F5DD4600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99" operator="containsText" id="{39CAD170-6F88-48AD-8015-9F68E578C550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8" operator="containsText" id="{8F5DA30F-D19B-4435-92A3-F87242910B20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989" operator="containsText" id="{8DBEA547-A68D-4F32-AD70-F7BBF5C56685}">
            <xm:f>NOT(ISERROR(SEARCH($O$13,F34)))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88" operator="containsText" id="{A76EB148-7AD9-4949-92C0-639BD7CCDF2A}">
            <xm:f>NOT(ISERROR(SEARCH($O$14,F34)))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96" operator="containsText" id="{7B8858CB-C5FC-4F77-8F4E-63E165DF771A}">
            <xm:f>NOT(ISERROR(SEARCH($O$15,F34)))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995" operator="containsText" id="{62183B3A-D213-47A1-9D7B-F9D92BDAE00C}">
            <xm:f>NOT(ISERROR(SEARCH($O$5,F34)))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994" operator="containsText" id="{D788884A-D2E2-4D46-9290-93BC89B22284}">
            <xm:f>NOT(ISERROR(SEARCH($O$6,F34)))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93" operator="containsText" id="{D45D9F89-637A-4D0C-A1C8-1B23FAD5757C}">
            <xm:f>NOT(ISERROR(SEARCH($O$7,F34)))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992" operator="containsText" id="{3D4C0B56-326E-457C-893B-EBCBE999EB67}">
            <xm:f>NOT(ISERROR(SEARCH($O$8,F34)))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91" operator="containsText" id="{55E07CFF-0E9F-4F34-B996-9C6191F8551C}">
            <xm:f>NOT(ISERROR(SEARCH($O$9,F34)))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90" operator="containsText" id="{A825A212-8EB2-429C-847A-561AF58B6CB0}">
            <xm:f>NOT(ISERROR(SEARCH($O$12,F34)))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997" operator="containsText" id="{323991B4-ADB1-483C-AEEC-2D9526DC9360}">
            <xm:f>NOT(ISERROR(SEARCH($O$11,F34)))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635" operator="containsText" id="{CCF5FADA-9F1C-40F3-A838-D2D1F097923F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640" operator="containsText" id="{ABF8BC94-9045-418E-BDC4-F061B690E6B1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639" operator="containsText" id="{19514514-2BE0-4581-9DB8-472D0A084FFC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37" operator="containsText" id="{1F61CD8E-33BE-4D0F-9F11-DB1B122822E6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36" operator="containsText" id="{0B85C3F3-D3D6-4754-9ABE-EBA77FEC2C96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31" operator="containsText" id="{63E39931-661D-4FBD-B3DD-58AC240FCDC1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630" operator="containsText" id="{2B8C2680-9AC7-4933-B638-EE31344B3FD4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32" operator="containsText" id="{4E75DDD0-F9B6-414F-8883-5EE74D3E139B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633" operator="containsText" id="{28D2A803-D435-440F-AADD-7A8347D93F65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34" operator="containsText" id="{63D3DDE4-26D2-4D31-8682-98152B824E09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601" operator="containsText" id="{FCDF0882-A4AA-441D-AFA7-B38A040AA9D4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602" operator="containsText" id="{0CBCA5EF-581F-465F-ACB2-93F4E8047749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04" operator="containsText" id="{BF316D79-05A2-4B09-8312-E6E6ECADD122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605" operator="containsText" id="{68FA9A65-A68F-4163-B810-1CB75A898FC0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08" operator="containsText" id="{D06A3EA3-2C09-4AAE-9D43-16B17F6B2C25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99" operator="containsText" id="{7D17FEB5-551C-4759-AC89-72461D43AE30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07" operator="containsText" id="{1A55B16A-D66F-4924-A048-243B3ED80683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06" operator="containsText" id="{1A8E39F4-CEB9-47C8-885D-17F4AAC1B0F4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03" operator="containsText" id="{7A74B82D-6CC7-400A-BFB4-3F2DEA825150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00" operator="containsText" id="{3BCF4B08-6817-40F7-AEF6-593105BB8267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2228" operator="containsText" id="{3F63C1C5-68FE-4EE0-AFC6-9D2EE27F7E46}">
            <xm:f>NOT(ISERROR(SEARCH($O$5,F38)))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229" operator="containsText" id="{94F38534-F8E5-4270-AC90-03D7373D8D0D}">
            <xm:f>NOT(ISERROR(SEARCH($O$6,F38)))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0" operator="containsText" id="{D0B3F452-9A6E-457B-8083-DB39DD014DDC}">
            <xm:f>NOT(ISERROR(SEARCH($O$8,F38)))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1" operator="containsText" id="{2C212283-7A9A-4A43-BACF-4C15F25FF35F}">
            <xm:f>NOT(ISERROR(SEARCH($O$9,F38)))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7" operator="containsText" id="{DF92FDB2-AA85-469B-8DE7-F4977CC6CF30}">
            <xm:f>NOT(ISERROR(SEARCH($O$13,F38)))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5" operator="containsText" id="{13BB7574-7B3D-46E3-8E10-4EB97C48A5F8}">
            <xm:f>NOT(ISERROR(SEARCH($O$15,F38)))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4" operator="containsText" id="{D6E76250-C138-4223-9C5E-E87946D98DAD}">
            <xm:f>NOT(ISERROR(SEARCH($O$14,F38)))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3" operator="containsText" id="{365B833C-E0E1-4CF9-A08A-6B06BF353F3D}">
            <xm:f>NOT(ISERROR(SEARCH($O$12,F38)))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2" operator="containsText" id="{A7837C21-7D01-48A4-A0CD-8589BA234224}">
            <xm:f>NOT(ISERROR(SEARCH($O$11,F38)))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6" operator="containsText" id="{ABB23F93-23F3-46A5-81A4-964411B7A1E4}">
            <xm:f>NOT(ISERROR(SEARCH($O$7,F38)))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156" operator="containsText" id="{86B6369D-09F5-4090-974E-88184C5D4D6C}">
            <xm:f>NOT(ISERROR(SEARCH($O$7,F49)))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155" operator="containsText" id="{14D0CDBC-A481-4832-AC5D-4A30A4650B85}">
            <xm:f>NOT(ISERROR(SEARCH($O$6,F49)))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157" operator="containsText" id="{16BB4231-33B4-48C9-953D-B23B01AA3144}">
            <xm:f>NOT(ISERROR(SEARCH($O$8,F49)))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158" operator="containsText" id="{4EF44BFA-A285-4CD4-8105-AB6FBC35B797}">
            <xm:f>NOT(ISERROR(SEARCH($O$9,F49)))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023" operator="containsText" id="{79DEB323-7338-4BD4-9A05-5B86984B7B8C}">
            <xm:f>NOT(ISERROR(SEARCH($O$6,F50)))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4" operator="containsText" id="{C20FE02A-7C22-4810-8CE8-E67146DBF700}">
            <xm:f>NOT(ISERROR(SEARCH($O$7,F50)))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5" operator="containsText" id="{27368294-C989-4197-8C4A-884E65D95643}">
            <xm:f>NOT(ISERROR(SEARCH($O$8,F50)))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6" operator="containsText" id="{AD5EC1E5-4559-4010-B99B-98A5EB41B22F}">
            <xm:f>NOT(ISERROR(SEARCH($O$9,F50)))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878" operator="containsText" id="{3F890798-83D3-4132-A660-1526239B1A15}">
            <xm:f>NOT(ISERROR(SEARCH($O$6,F51)))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881" operator="containsText" id="{7099C9A1-47FA-4850-BACD-EC5B5E0529D4}">
            <xm:f>NOT(ISERROR(SEARCH($O$9,F51)))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879" operator="containsText" id="{ABC8F605-EC17-42CB-BE98-828839A1D449}">
            <xm:f>NOT(ISERROR(SEARCH($O$7,F51)))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880" operator="containsText" id="{C3CFAA8B-84B0-4F37-8804-0D7FDC4FCF1E}">
            <xm:f>NOT(ISERROR(SEARCH($O$8,F51)))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797" operator="containsText" id="{EB8A15F5-A922-4E57-B061-E35C45956502}">
            <xm:f>NOT(ISERROR(SEARCH($O$5,F52)))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98" operator="containsText" id="{AA884381-CC2C-4C98-938E-4034F665191C}">
            <xm:f>NOT(ISERROR(SEARCH($O$6,F52)))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99" operator="containsText" id="{3D6A4E75-F8AC-4B31-B289-420E2066D74B}">
            <xm:f>NOT(ISERROR(SEARCH($O$8,F52)))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00" operator="containsText" id="{644F163E-5BAF-4B4E-B9E7-B575D53F6C29}">
            <xm:f>NOT(ISERROR(SEARCH($O$9,F52)))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02" operator="containsText" id="{453522C2-6DC1-44F0-A94C-AA6CD3A90376}">
            <xm:f>NOT(ISERROR(SEARCH($O$12,F52)))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03" operator="containsText" id="{C371FB74-F11E-418B-BAAD-3D173512FB6C}">
            <xm:f>NOT(ISERROR(SEARCH($O$14,F52)))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05" operator="containsText" id="{1C02B8F3-3C7C-4773-8AFC-74298CE1CC48}">
            <xm:f>NOT(ISERROR(SEARCH($O$7,F52)))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06" operator="containsText" id="{842A2004-7027-4285-B3B5-BC18128D8B4D}">
            <xm:f>NOT(ISERROR(SEARCH($O$13,F52)))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801" operator="containsText" id="{A5BE7A55-EBEC-467C-B87A-C9CFA76E6987}">
            <xm:f>NOT(ISERROR(SEARCH($O$11,F52)))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04" operator="containsText" id="{1F81FFBD-8EAE-41C0-B3E4-864BBDC6A777}">
            <xm:f>NOT(ISERROR(SEARCH($O$15,F52)))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357" operator="containsText" id="{5780BF53-D6FF-40D0-BA02-1081DE0FBD49}">
            <xm:f>NOT(ISERROR(SEARCH($O$7,H18)))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56" operator="containsText" id="{91BC78CC-D0F3-4640-B11F-0401863FED3F}">
            <xm:f>NOT(ISERROR(SEARCH($O$6,H18)))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62" operator="containsText" id="{39908543-6019-4988-B112-B4EFA3D4CCE6}">
            <xm:f>NOT(ISERROR(SEARCH($O$13,H18)))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64" operator="containsText" id="{85113E91-C61F-4C44-BC43-DE664F3CEC5C}">
            <xm:f>NOT(ISERROR(SEARCH($O$15,H18)))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63" operator="containsText" id="{CD857942-DE15-4441-B594-A8218C0F6BA0}">
            <xm:f>NOT(ISERROR(SEARCH($O$14,H18)))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61" operator="containsText" id="{941BE6F7-CE96-4303-B336-B9C5899299A7}">
            <xm:f>NOT(ISERROR(SEARCH($O$12,H18)))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60" operator="containsText" id="{2F02B1BA-ADE6-4085-BF4E-5598690B8D8B}">
            <xm:f>NOT(ISERROR(SEARCH($O$11,H18)))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59" operator="containsText" id="{EF1D5F0E-60FD-4493-B179-B52485364CD2}">
            <xm:f>NOT(ISERROR(SEARCH($O$9,H18)))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55" operator="containsText" id="{CD2B81A7-663A-4CFF-BE32-EED2320438E0}">
            <xm:f>NOT(ISERROR(SEARCH($O$5,H18)))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58" operator="containsText" id="{1793E4FE-B8CD-4D4B-A7B9-4764C244CD96}">
            <xm:f>NOT(ISERROR(SEARCH($O$8,H18)))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696" operator="containsText" id="{B8C73669-EBEA-4501-9BA0-6191370C325C}">
            <xm:f>NOT(ISERROR(SEARCH($O$9,F21)))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698" operator="containsText" id="{BB2B563B-2BCB-453D-9430-C6C3237BD789}">
            <xm:f>NOT(ISERROR(SEARCH($O$7,F21)))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694" operator="containsText" id="{5AB76C77-F484-440A-82EE-C925201AB18A}">
            <xm:f>NOT(ISERROR(SEARCH($O$13,F21)))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693" operator="containsText" id="{3AF93BB7-E92E-44A9-91CD-82C93BE6E2AF}">
            <xm:f>NOT(ISERROR(SEARCH($O$14,F21)))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695" operator="containsText" id="{0935854C-1871-4F20-AF65-D36EF917AF79}">
            <xm:f>NOT(ISERROR(SEARCH($O$12,F21)))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700" operator="containsText" id="{A66F049E-4D46-43FC-BCBA-E124BDF5DCAF}">
            <xm:f>NOT(ISERROR(SEARCH($O$5,F21)))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99" operator="containsText" id="{CE692BA2-B29D-4F37-BBD4-CB8F28C6F04C}">
            <xm:f>NOT(ISERROR(SEARCH($O$6,F21)))</xm:f>
            <xm:f>$O$6</xm:f>
            <x14:dxf>
              <fill>
                <patternFill>
                  <bgColor rgb="FFFF0000"/>
                </patternFill>
              </fill>
            </x14:dxf>
          </x14:cfRule>
          <xm:sqref>H21:H33 L21:L33 N21:N33 F21:F33</xm:sqref>
        </x14:conditionalFormatting>
        <x14:conditionalFormatting xmlns:xm="http://schemas.microsoft.com/office/excel/2006/main">
          <x14:cfRule type="containsText" priority="1676" operator="containsText" id="{26149AB0-9F09-41DD-870B-C2686C81C614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8" operator="containsText" id="{9B7AD833-576C-46CE-B264-2DD23940D9D3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014" operator="containsText" id="{B1CC50CD-8103-4547-B36E-AF18F8DB9F50}">
            <xm:f>NOT(ISERROR(SEARCH($O$8,H23)))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036" operator="containsText" id="{00776C70-5F29-45EC-AE29-8B0E66E75926}">
            <xm:f>NOT(ISERROR(SEARCH($O$8,H27)))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1046" operator="containsText" id="{AB093CC8-F835-49A6-B2FF-EE04CA488A8D}">
            <xm:f>NOT(ISERROR(SEARCH($O$8,H32)))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H32</xm:sqref>
        </x14:conditionalFormatting>
        <x14:conditionalFormatting xmlns:xm="http://schemas.microsoft.com/office/excel/2006/main">
          <x14:cfRule type="containsText" priority="970" operator="containsText" id="{B6172B77-546E-4683-8161-D56BD2C77FC6}">
            <xm:f>NOT(ISERROR(SEARCH($O$12,H34)))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976" operator="containsText" id="{6EA7ED52-8044-4F5E-AE90-444AED28104C}">
            <xm:f>NOT(ISERROR(SEARCH($O$11,H34)))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975" operator="containsText" id="{22B4DF2D-49FD-473A-A4D0-BB31A2FCCE95}">
            <xm:f>NOT(ISERROR(SEARCH($O$15,H34)))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974" operator="containsText" id="{05953FB9-8B9E-433E-B144-4433DE3092DD}">
            <xm:f>NOT(ISERROR(SEARCH($O$5,H34)))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973" operator="containsText" id="{9A34E57D-B83A-4CBA-B8E0-D95783C84A53}">
            <xm:f>NOT(ISERROR(SEARCH($O$6,H34)))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72" operator="containsText" id="{B2A84D55-DC54-489A-9E4D-02F90B0A4E61}">
            <xm:f>NOT(ISERROR(SEARCH($O$7,H34)))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971" operator="containsText" id="{C46CFD0D-D965-41C4-A67F-96BE1D325C9B}">
            <xm:f>NOT(ISERROR(SEARCH($O$9,H34)))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69" operator="containsText" id="{D8C79E92-1046-4195-92C0-BA558E9FD04B}">
            <xm:f>NOT(ISERROR(SEARCH($O$13,H34)))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68" operator="containsText" id="{2D2EA011-364A-42E7-B757-9E5A57A3671A}">
            <xm:f>NOT(ISERROR(SEARCH($O$14,H34)))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67" operator="containsText" id="{C585D027-8CA0-4281-90E3-F3AAEF8658A5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582" operator="containsText" id="{6D285281-24B8-48B1-A805-33B727F29BE6}">
            <xm:f>NOT(ISERROR(SEARCH($O$11,H35)))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81" operator="containsText" id="{8522E731-702E-41F1-9484-29AC4FC92886}">
            <xm:f>NOT(ISERROR(SEARCH($O$15,H35)))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79" operator="containsText" id="{62CF3D4A-2196-4B1D-A048-3D2C92CE561D}">
            <xm:f>NOT(ISERROR(SEARCH($O$5,H35)))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78" operator="containsText" id="{0CF08293-B02F-4709-8E41-453865F48690}">
            <xm:f>NOT(ISERROR(SEARCH($O$6,H35)))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72" operator="containsText" id="{D8FCF297-A9D0-45A9-A27C-A899392E31E8}">
            <xm:f>NOT(ISERROR(SEARCH($O$14,H35)))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77" operator="containsText" id="{E536FE57-CDE5-4F5A-AAA2-9B15A658E7D5}">
            <xm:f>NOT(ISERROR(SEARCH($O$7,H35)))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76" operator="containsText" id="{268CF0E2-ABFC-40AF-A20E-381423E623A4}">
            <xm:f>NOT(ISERROR(SEARCH($O$8,H35)))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75" operator="containsText" id="{B64BBE7D-D4E4-4CAE-A0E3-3A7A07BABCB9}">
            <xm:f>NOT(ISERROR(SEARCH($O$9,H35)))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74" operator="containsText" id="{86FB15D8-3117-4855-A601-DEF1CCC9C6DC}">
            <xm:f>NOT(ISERROR(SEARCH($O$12,H35)))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73" operator="containsText" id="{30C46A9A-8D3F-49CF-B8BF-D53266C083D0}">
            <xm:f>NOT(ISERROR(SEARCH($O$13,H35)))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550" operator="containsText" id="{D5B3B94F-3BA3-4031-8A25-A9B48FC7F2C3}">
            <xm:f>NOT(ISERROR(SEARCH($O$11,H36)))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49" operator="containsText" id="{74874727-0A14-47DE-8301-6AF6DE179A73}">
            <xm:f>NOT(ISERROR(SEARCH($O$15,H36)))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48" operator="containsText" id="{69E16A9B-B665-4C7A-B822-0DCFF1848E5D}">
            <xm:f>NOT(ISERROR(SEARCH($O$5,H36)))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47" operator="containsText" id="{6B1ABFB5-44A8-44CB-ADC0-3ABE962E4B4F}">
            <xm:f>NOT(ISERROR(SEARCH($O$6,H36)))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46" operator="containsText" id="{4FE345F4-4022-413D-9B41-A472B5D3BD8A}">
            <xm:f>NOT(ISERROR(SEARCH($O$7,H36)))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44" operator="containsText" id="{4E0AB429-9F01-4F6F-9341-416F8D18BD6A}">
            <xm:f>NOT(ISERROR(SEARCH($O$9,H36)))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43" operator="containsText" id="{94641775-75D5-41BA-9D43-5F0578A930DC}">
            <xm:f>NOT(ISERROR(SEARCH($O$12,H36)))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42" operator="containsText" id="{CFF18432-59C0-4553-9D0E-5CC96BD37608}">
            <xm:f>NOT(ISERROR(SEARCH($O$13,H36)))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41" operator="containsText" id="{6FBA04AB-F43A-4CA4-8348-0D852862CD29}">
            <xm:f>NOT(ISERROR(SEARCH($O$14,H36)))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45" operator="containsText" id="{188BF7E7-270E-49A7-930C-E1DBED16387F}">
            <xm:f>NOT(ISERROR(SEARCH($O$8,H36)))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183" operator="containsText" id="{42CF74C0-3017-4817-B820-E1DE6F0FBC2E}">
            <xm:f>NOT(ISERROR(SEARCH($O$15,F49)))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6" operator="containsText" id="{D886A132-3CA4-400B-884D-DBDD90D16349}">
            <xm:f>NOT(ISERROR(SEARCH($O$14,F49)))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7" operator="containsText" id="{D4761E60-87FD-44AC-B85F-F965258DC55C}">
            <xm:f>NOT(ISERROR(SEARCH($O$13,F49)))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184" operator="containsText" id="{9A7ADA39-9CEB-425D-9BFE-4FF06EFAA1E2}">
            <xm:f>NOT(ISERROR(SEARCH($O$5,F49)))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82" operator="containsText" id="{39646F14-081D-4F30-8439-4BEB47C6566B}">
            <xm:f>NOT(ISERROR(SEARCH($O$12,F49)))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181" operator="containsText" id="{43CA8E0B-F89A-4DBA-823C-13A0AFFACC99}">
            <xm:f>NOT(ISERROR(SEARCH($O$11,F49)))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049" operator="containsText" id="{C6D3B703-541B-4D27-848F-B6EBA09AA37D}">
            <xm:f>NOT(ISERROR(SEARCH($O$11,F50)))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0" operator="containsText" id="{5F25FF0C-CA40-45A5-BE43-4272C54DA884}">
            <xm:f>NOT(ISERROR(SEARCH($O$12,F50)))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1" operator="containsText" id="{24BCAF32-B868-4C07-A823-515807092107}">
            <xm:f>NOT(ISERROR(SEARCH($O$15,F50)))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2" operator="containsText" id="{7A8CBC1A-D728-41C5-B6F5-2F2A10E141F5}">
            <xm:f>NOT(ISERROR(SEARCH($O$5,F50)))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14" operator="containsText" id="{69099D3F-54DF-4829-B103-07E3756CAFDF}">
            <xm:f>NOT(ISERROR(SEARCH($O$14,F50)))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15" operator="containsText" id="{99B1C99E-5B9E-477C-B134-EFE636E3A49A}">
            <xm:f>NOT(ISERROR(SEARCH($O$13,F50)))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905" operator="containsText" id="{8838DD28-762B-4385-ADE0-4BB4CE120431}">
            <xm:f>NOT(ISERROR(SEARCH($O$12,F51)))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69" operator="containsText" id="{EDED4D56-7133-4DEF-B181-398921C3C0C5}">
            <xm:f>NOT(ISERROR(SEARCH($O$14,F51)))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870" operator="containsText" id="{967B953C-2B1C-4D01-9E7E-060D11EA2841}">
            <xm:f>NOT(ISERROR(SEARCH($O$13,F51)))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6" operator="containsText" id="{F378E1CE-DAC0-45D7-AE94-8F7767FC0DFD}">
            <xm:f>NOT(ISERROR(SEARCH($O$15,F51)))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4" operator="containsText" id="{C61F093B-25AB-432D-A9D7-2D6D9BC4C66F}">
            <xm:f>NOT(ISERROR(SEARCH($O$11,F51)))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7" operator="containsText" id="{EF2D8A7A-9C77-4AA7-BEDA-7FC98CDDAE02}">
            <xm:f>NOT(ISERROR(SEARCH($O$5,F51)))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770" operator="containsText" id="{8FD69DB0-B49F-402B-979C-D619E9583D9F}">
            <xm:f>NOT(ISERROR(SEARCH($O$15,H52)))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764" operator="containsText" id="{9DD484AD-553E-45B9-8484-BAF63C71ECA3}">
            <xm:f>NOT(ISERROR(SEARCH($O$6,H52)))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69" operator="containsText" id="{59A8D40A-A923-4173-A598-C41AC7BB6F6C}">
            <xm:f>NOT(ISERROR(SEARCH($O$14,H52)))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63" operator="containsText" id="{C32BB0DE-B516-4822-9F3E-669AFA0593ED}">
            <xm:f>NOT(ISERROR(SEARCH($O$5,H52)))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72" operator="containsText" id="{E7FF63B9-CA8A-4A64-8EF5-7AC204E90517}">
            <xm:f>NOT(ISERROR(SEARCH($O$13,H52)))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71" operator="containsText" id="{8107FCD4-4B99-4D84-A2AA-EB2886F33A2B}">
            <xm:f>NOT(ISERROR(SEARCH($O$7,H52)))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68" operator="containsText" id="{01BE1050-D6BD-4597-A9E4-D4D2F2574D7C}">
            <xm:f>NOT(ISERROR(SEARCH($O$12,H52)))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67" operator="containsText" id="{D03227BF-976A-443B-AE7D-878B9678326F}">
            <xm:f>NOT(ISERROR(SEARCH($O$11,H52)))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766" operator="containsText" id="{CBEE0E5E-D3AD-4513-8CDA-CC998EDCDC76}">
            <xm:f>NOT(ISERROR(SEARCH($O$9,H52)))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65" operator="containsText" id="{37790C88-5600-469A-B971-F1F25BDA2F8C}">
            <xm:f>NOT(ISERROR(SEARCH($O$8,H52)))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326" operator="containsText" id="{DFCAFBEE-0355-4716-944A-A6CF9EB111FF}">
            <xm:f>NOT(ISERROR(SEARCH($O$12,L18)))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25" operator="containsText" id="{20B423F1-E484-475D-ADB9-BBA399B5BBE0}">
            <xm:f>NOT(ISERROR(SEARCH($O$11,L18)))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22" operator="containsText" id="{97761540-8FED-49E9-93E0-8B397CB35C2E}">
            <xm:f>NOT(ISERROR(SEARCH($O$7,L18)))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24" operator="containsText" id="{F23BBF62-3B75-4413-907E-AC50FDDE045E}">
            <xm:f>NOT(ISERROR(SEARCH($O$9,L18)))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23" operator="containsText" id="{B306EBAF-FA48-40C7-A889-8C6DA7C79F72}">
            <xm:f>NOT(ISERROR(SEARCH($O$8,L18)))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20" operator="containsText" id="{1F9D5873-8E56-473B-AF06-25E82DD75CE1}">
            <xm:f>NOT(ISERROR(SEARCH($O$5,L18)))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21" operator="containsText" id="{7DFC23BE-B267-410F-B185-3674F96D33A4}">
            <xm:f>NOT(ISERROR(SEARCH($O$6,L18)))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27" operator="containsText" id="{E65C9BC4-7357-46AD-BF12-1CCE11EFD21C}">
            <xm:f>NOT(ISERROR(SEARCH($O$13,L18)))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28" operator="containsText" id="{290F55C6-76C5-4FBB-800B-EED6843441D5}">
            <xm:f>NOT(ISERROR(SEARCH($O$14,L18)))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29" operator="containsText" id="{C2D6854B-3451-4FDA-8B71-ABEFACE5876C}">
            <xm:f>NOT(ISERROR(SEARCH($O$15,L18)))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675" operator="containsText" id="{49D34335-E33A-48E6-9941-1F0829817355}">
            <xm:f>NOT(ISERROR(SEARCH($O$8,L21)))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1697" operator="containsText" id="{48A02BEC-12C4-46A3-8B83-29CC34E6CC0B}">
            <xm:f>NOT(ISERROR(SEARCH($O$8,F21)))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L21:L33 N21:N33 F21:F33</xm:sqref>
        </x14:conditionalFormatting>
        <x14:conditionalFormatting xmlns:xm="http://schemas.microsoft.com/office/excel/2006/main">
          <x14:cfRule type="containsText" priority="935" operator="containsText" id="{3A9B53E8-3AA9-43D4-8135-EDF1BD958329}">
            <xm:f>NOT(ISERROR(SEARCH($O$14,L34)))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36" operator="containsText" id="{9A14D185-2A95-4BB2-AB17-9BF2DD62D902}">
            <xm:f>NOT(ISERROR(SEARCH($O$13,L34)))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37" operator="containsText" id="{653ACDBB-0D31-4B76-80FD-EB6BEC635909}">
            <xm:f>NOT(ISERROR(SEARCH($O$12,L34)))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938" operator="containsText" id="{06C31BB9-7FA1-4A5D-A4A3-63D1BE08C053}">
            <xm:f>NOT(ISERROR(SEARCH($O$9,L34)))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46" operator="containsText" id="{DD908A95-DF0A-48C2-B6E0-DA29A76D1F1D}">
            <xm:f>NOT(ISERROR(SEARCH($O$11,L34)))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945" operator="containsText" id="{571E572C-9381-4E8B-9137-12A423B93EFD}">
            <xm:f>NOT(ISERROR(SEARCH($O$15,L34)))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939" operator="containsText" id="{47C624F5-AB81-4F35-B7D8-AD0C33DEC0C9}">
            <xm:f>NOT(ISERROR(SEARCH($O$8,L34)))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" operator="containsText" id="{8402144E-F9AB-467C-8F6C-3E00AAAA8BF7}">
            <xm:f>NOT(ISERROR(SEARCH($O$6,L34)))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42" operator="containsText" id="{5D022452-A041-484D-A95E-0ADDF3483148}">
            <xm:f>NOT(ISERROR(SEARCH($O$5,L34)))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940" operator="containsText" id="{36A76086-EE22-4A97-9D0A-08611F4E6972}">
            <xm:f>NOT(ISERROR(SEARCH($O$7,L34)))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511" operator="containsText" id="{94AB9A7E-1DD4-441E-B50F-B4C4E07BB430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08" operator="containsText" id="{9552D2C8-3698-4D15-8A30-488D6910020F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04" operator="containsText" id="{AB9AB696-1D1F-431A-8F1B-30BD033CC1A0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05" operator="containsText" id="{E9684A6E-ED3F-4344-8C0B-85FED763D5B2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10" operator="containsText" id="{CE967F3A-D8C6-442F-96D5-ACAAE5926485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13" operator="containsText" id="{C1141235-EA40-4C67-A739-E95C63BD1BEA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06" operator="containsText" id="{5C27ACC5-AC99-49A0-8B9F-1CE6199AE774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07" operator="containsText" id="{8C9F1D68-03ED-4FA4-84A5-94CD345AB9C8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14" operator="containsText" id="{E6C3AC60-76C4-410A-BC54-996321EBE414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09" operator="containsText" id="{68FC07C2-28FB-4998-A967-8E394EA8BBB1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474" operator="containsText" id="{0CC86F98-F3A7-4CA2-BBA8-9AA5251E497B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73" operator="containsText" id="{E2B0475C-5F31-4240-9357-87C69393D11D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76" operator="containsText" id="{4EA70083-6C8F-4622-9275-E37828C1212D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79" operator="containsText" id="{0009AA65-9309-4F1A-95A7-59191C5BB8AF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82" operator="containsText" id="{C21D2DE8-9B19-4305-BA83-A32FA65266D6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81" operator="containsText" id="{5702B043-33B2-494B-BE83-A2E02B5E4BE0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80" operator="containsText" id="{89205FEA-441D-4B77-A255-1DFB53AB46E2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78" operator="containsText" id="{A88FFCBE-CC12-4160-859D-E2C128AB42E0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77" operator="containsText" id="{D93539A2-93AF-4A97-9941-88B2515B6904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75" operator="containsText" id="{74116E03-5E72-4A3E-9DFC-D436241E5D12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16" operator="containsText" id="{01700EE3-15CA-4B01-A397-991DC79CBDB9}">
            <xm:f>NOT(ISERROR(SEARCH($O$9,L49)))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115" operator="containsText" id="{B3086CC8-E139-4F8A-BA4D-0340404BF1C8}">
            <xm:f>NOT(ISERROR(SEARCH($O$8,L49)))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114" operator="containsText" id="{6BB04A94-E9F3-48BE-A74A-9CFACD5DCAAF}">
            <xm:f>NOT(ISERROR(SEARCH($O$7,L49)))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113" operator="containsText" id="{C44BBC8E-5D1E-43BB-B97A-93C1F3B72EB0}">
            <xm:f>NOT(ISERROR(SEARCH($O$6,L49)))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8" operator="containsText" id="{5C6F149B-8AD6-42F8-BB0A-7765474C9918}">
            <xm:f>NOT(ISERROR(SEARCH($O$13,L49)))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7" operator="containsText" id="{ACCC1D51-9831-422E-B91F-B2C8BD4BD1B4}">
            <xm:f>NOT(ISERROR(SEARCH($O$14,L49)))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138" operator="containsText" id="{51761452-2B9E-49EC-9438-AB618DB10674}">
            <xm:f>NOT(ISERROR(SEARCH($O$11,L49)))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1" operator="containsText" id="{AE597F7A-9D75-4749-BF73-A6A8EABF909F}">
            <xm:f>NOT(ISERROR(SEARCH($O$5,L49)))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0" operator="containsText" id="{F4FBC7C5-1C7C-49DD-B115-542E11A3C1BD}">
            <xm:f>NOT(ISERROR(SEARCH($O$15,L49)))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39" operator="containsText" id="{D9D4662A-094F-49CD-8BB7-1F2D9C27FCB5}">
            <xm:f>NOT(ISERROR(SEARCH($O$12,L49)))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2006" operator="containsText" id="{859D2C3C-7DA3-48B4-8D29-83433A7E8040}">
            <xm:f>NOT(ISERROR(SEARCH($O$11,L50)))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976" operator="containsText" id="{1E47427D-BFF4-42D9-A61C-30FC3DF1D6AB}">
            <xm:f>NOT(ISERROR(SEARCH($O$13,L50)))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009" operator="containsText" id="{5D7554F3-FAE8-4D00-9D06-5CD551741AC2}">
            <xm:f>NOT(ISERROR(SEARCH($O$5,L50)))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08" operator="containsText" id="{84E0D52C-9E51-44D5-8CFF-B3D847C289A2}">
            <xm:f>NOT(ISERROR(SEARCH($O$15,L50)))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07" operator="containsText" id="{3FACB57D-2BEB-4CCF-BC73-4BECA98F28E4}">
            <xm:f>NOT(ISERROR(SEARCH($O$12,L50)))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75" operator="containsText" id="{0AB35509-CAFD-4A9D-A5F7-C3587F92731A}">
            <xm:f>NOT(ISERROR(SEARCH($O$14,L50)))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4" operator="containsText" id="{0BC65CFB-5F36-4F76-8EA4-337E08745E1A}">
            <xm:f>NOT(ISERROR(SEARCH($O$9,L50)))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3" operator="containsText" id="{8FB366C0-6F9D-415E-8657-0BFA57433A62}">
            <xm:f>NOT(ISERROR(SEARCH($O$8,L50)))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2" operator="containsText" id="{0B3140B9-3990-4A68-BB44-11AE527F4E4A}">
            <xm:f>NOT(ISERROR(SEARCH($O$7,L50)))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1" operator="containsText" id="{D2AC66A0-D8BA-4D52-B094-BD16079B2A11}">
            <xm:f>NOT(ISERROR(SEARCH($O$6,L50)))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61" operator="containsText" id="{03A17FBC-8DCD-41D3-9AA3-DC7FD8DF17BA}">
            <xm:f>NOT(ISERROR(SEARCH($O$11,L51)))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862" operator="containsText" id="{4493B6B7-742D-4FF1-B4CC-3603EEC8D255}">
            <xm:f>NOT(ISERROR(SEARCH($O$12,L51)))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63" operator="containsText" id="{B795569E-2245-4F44-83DA-30232CAE55DD}">
            <xm:f>NOT(ISERROR(SEARCH($O$15,L51)))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64" operator="containsText" id="{C5344F19-8672-4752-86F9-ED4E659F16A3}">
            <xm:f>NOT(ISERROR(SEARCH($O$5,L51)))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7" operator="containsText" id="{71464E1C-D64F-4F51-878D-C1BC09DB6558}">
            <xm:f>NOT(ISERROR(SEARCH($O$7,L51)))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8" operator="containsText" id="{04DD216A-5A74-4BC5-BC8E-AAEC3F3C00F9}">
            <xm:f>NOT(ISERROR(SEARCH($O$8,L51)))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9" operator="containsText" id="{B025220D-2A01-4960-97E9-8BBE50F0BDA9}">
            <xm:f>NOT(ISERROR(SEARCH($O$9,L51)))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6" operator="containsText" id="{DDB25244-6059-4532-A754-D6B3B7D7679C}">
            <xm:f>NOT(ISERROR(SEARCH($O$6,L51)))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1" operator="containsText" id="{045E4FFB-9C49-47AF-818C-DBE1060E374B}">
            <xm:f>NOT(ISERROR(SEARCH($O$13,L51)))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0" operator="containsText" id="{5A21EC7C-63E8-4CA3-9BE0-7FC8212BD129}">
            <xm:f>NOT(ISERROR(SEARCH($O$14,L51)))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712" operator="containsText" id="{406EDB55-175D-48CB-ACC0-499D8EF5A23D}">
            <xm:f>NOT(ISERROR(SEARCH($O$5,L52)))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13" operator="containsText" id="{1DE3A560-8FED-4C2C-9CB6-39FD417C87A1}">
            <xm:f>NOT(ISERROR(SEARCH($O$6,L52)))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14" operator="containsText" id="{51703922-95B7-4CB3-BC68-2FACEDBD3E0B}">
            <xm:f>NOT(ISERROR(SEARCH($O$8,L52)))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18" operator="containsText" id="{D42EFF3E-2E0C-4C30-9C01-4F303AF57F9C}">
            <xm:f>NOT(ISERROR(SEARCH($O$14,L52)))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15" operator="containsText" id="{7F80011D-E28A-433B-B9D2-CD1AD54AA8F2}">
            <xm:f>NOT(ISERROR(SEARCH($O$9,L52)))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16" operator="containsText" id="{6C9C4A12-4D35-4B64-A575-4B8C637F1BA3}">
            <xm:f>NOT(ISERROR(SEARCH($O$11,L52)))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717" operator="containsText" id="{ABA91EAB-B14E-47C9-936E-831A308FFFA4}">
            <xm:f>NOT(ISERROR(SEARCH($O$12,L52)))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21" operator="containsText" id="{88FF28F6-382C-41C5-9B8F-2AB16085E3F0}">
            <xm:f>NOT(ISERROR(SEARCH($O$13,L52)))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20" operator="containsText" id="{6B8BCF84-3428-4D38-8E7E-F67270EC369D}">
            <xm:f>NOT(ISERROR(SEARCH($O$7,L52)))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19" operator="containsText" id="{818874A5-CF4E-49FD-9EC5-AB681A285637}">
            <xm:f>NOT(ISERROR(SEARCH($O$15,L52)))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1507" operator="containsText" id="{AB3E5261-7E7F-4FE0-9A2A-08588BAB0D2B}">
            <xm:f>NOT(ISERROR(SEARCH($O$8,N5)))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6" operator="containsText" id="{CD98D57C-B329-4C53-82B7-FC5627E584E6}">
            <xm:f>NOT(ISERROR(SEARCH($O$7,N5)))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5" operator="containsText" id="{4165A938-D1E6-4594-BEFC-E5B5B5853E54}">
            <xm:f>NOT(ISERROR(SEARCH($O$6,N5)))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4" operator="containsText" id="{FB2911CA-24ED-46D7-9718-5BFD8A8CB0B7}">
            <xm:f>NOT(ISERROR(SEARCH($O$5,N5)))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8" operator="containsText" id="{6D377C7B-65EE-47B4-9903-493B3E82D298}">
            <xm:f>NOT(ISERROR(SEARCH($O$9,N5)))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N5:N16</xm:sqref>
        </x14:conditionalFormatting>
        <x14:conditionalFormatting xmlns:xm="http://schemas.microsoft.com/office/excel/2006/main">
          <x14:cfRule type="containsText" priority="1521" stopIfTrue="1" operator="containsText" id="{9F8E4F9A-2815-406A-BA34-E2FA5EC4618F}">
            <xm:f>NOT(ISERROR(SEARCH($O$13,N15)))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524" stopIfTrue="1" operator="containsText" id="{A6C8ABE7-F56F-4C2C-82AA-7F975287F53E}">
            <xm:f>NOT(ISERROR(SEARCH($O$15,N15)))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522" stopIfTrue="1" operator="containsText" id="{6CA9F249-C5CE-4AAD-9778-4436D66E0221}">
            <xm:f>NOT(ISERROR(SEARCH($O$14,N15)))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19" stopIfTrue="1" operator="containsText" id="{220BD087-ECC3-4793-821C-CF9A136C59C9}">
            <xm:f>NOT(ISERROR(SEARCH($O$11,N15)))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520" stopIfTrue="1" operator="containsText" id="{84002D6C-CC7E-4F31-B592-99B90DDB0F17}">
            <xm:f>NOT(ISERROR(SEARCH($O$12,N15)))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285" operator="containsText" id="{E7311DAE-3A84-4323-BBB4-D79F8A1A80A7}">
            <xm:f>NOT(ISERROR(SEARCH($O$5,N18)))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88" operator="containsText" id="{6EC62621-6918-4CC2-A94B-681F3ABCEAC9}">
            <xm:f>NOT(ISERROR(SEARCH($O$8,N18)))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86" operator="containsText" id="{21B53092-5C60-4A7B-8B99-AED1C358D12D}">
            <xm:f>NOT(ISERROR(SEARCH($O$6,N18)))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87" operator="containsText" id="{55016396-6463-47B8-B2D9-C21EA12BD918}">
            <xm:f>NOT(ISERROR(SEARCH($O$7,N18)))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90" operator="containsText" id="{33E8F802-B9CB-4DDA-941D-B3957BEBF7E0}">
            <xm:f>NOT(ISERROR(SEARCH($O$11,N18)))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91" operator="containsText" id="{C4B97CA8-2E76-45BF-89A2-48F45A3D3A94}">
            <xm:f>NOT(ISERROR(SEARCH($O$12,N18)))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92" operator="containsText" id="{D301D6BD-5B90-478B-B6A7-97B81655D9B8}">
            <xm:f>NOT(ISERROR(SEARCH($O$13,N18)))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93" operator="containsText" id="{095FD3FB-7331-400B-93CD-8FB98E005014}">
            <xm:f>NOT(ISERROR(SEARCH($O$14,N18)))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89" operator="containsText" id="{46502DF7-02B1-4DAD-817F-CFFCF755D306}">
            <xm:f>NOT(ISERROR(SEARCH($O$9,N18)))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94" operator="containsText" id="{E8E24F4B-6BE5-4B7B-8CC2-133BB8D186F5}">
            <xm:f>NOT(ISERROR(SEARCH($O$15,N18)))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007" operator="containsText" id="{014539EB-633C-4EB3-B351-992C7BAE845B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7" operator="containsText" id="{7CC7CEEC-8DE1-413A-A51F-57FF44BC3D57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446" operator="containsText" id="{72D6B01D-CB8B-49DF-B139-182C46D3730A}">
            <xm:f>NOT(ISERROR(SEARCH($O$14,N35)))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55" operator="containsText" id="{24DDDF0F-2430-4FBF-8903-7965A6751E11}">
            <xm:f>NOT(ISERROR(SEARCH($O$15,N35)))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52" operator="containsText" id="{2B93BBB7-46C2-4D53-8A10-A33B329F2A81}">
            <xm:f>NOT(ISERROR(SEARCH($O$6,N35)))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56" operator="containsText" id="{03D31D27-D97C-4B47-81D7-5A50A4868B91}">
            <xm:f>NOT(ISERROR(SEARCH($O$11,N35)))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49" operator="containsText" id="{D34D6668-56F9-4974-8093-9C8447F7DC1B}">
            <xm:f>NOT(ISERROR(SEARCH($O$9,N35)))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53" operator="containsText" id="{C84F60BC-9608-4392-BD74-44BE39969DB1}">
            <xm:f>NOT(ISERROR(SEARCH($O$5,N35)))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51" operator="containsText" id="{FDFAFC61-33FA-4C14-8E79-735014D92029}">
            <xm:f>NOT(ISERROR(SEARCH($O$7,N35)))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50" operator="containsText" id="{67DC1322-484B-43DC-9F97-A6C0BCC82C96}">
            <xm:f>NOT(ISERROR(SEARCH($O$8,N35)))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48" operator="containsText" id="{683A2011-4E92-4BA2-9309-67146300E660}">
            <xm:f>NOT(ISERROR(SEARCH($O$12,N35)))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47" operator="containsText" id="{4B5EB44E-5C6F-4360-A621-D0736B97063F}">
            <xm:f>NOT(ISERROR(SEARCH($O$13,N35)))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421" operator="containsText" id="{6828A4FB-9403-4C27-9E64-177D92B809A3}">
            <xm:f>NOT(ISERROR(SEARCH($O$6,N36)))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24" operator="containsText" id="{C0E83BE0-2A36-4B2F-907B-A843F22D4E1F}">
            <xm:f>NOT(ISERROR(SEARCH($O$11,N36)))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20" operator="containsText" id="{DA7FDD74-8212-48F4-A27E-74D409604832}">
            <xm:f>NOT(ISERROR(SEARCH($O$7,N36)))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19" operator="containsText" id="{A3BB88AB-8BB4-401A-AE20-5542EA9BB3E9}">
            <xm:f>NOT(ISERROR(SEARCH($O$8,N36)))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18" operator="containsText" id="{7A012AB0-ADF8-4CA6-B3FA-DF3F5A86756B}">
            <xm:f>NOT(ISERROR(SEARCH($O$9,N36)))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17" operator="containsText" id="{262E5C0D-02D6-4439-8514-B943D4391DE1}">
            <xm:f>NOT(ISERROR(SEARCH($O$12,N36)))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16" operator="containsText" id="{46F6C95B-34A3-4694-B399-6B61316713A9}">
            <xm:f>NOT(ISERROR(SEARCH($O$13,N36)))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15" operator="containsText" id="{6D43FFE6-18D8-4C33-80AE-1E320F6F66FB}">
            <xm:f>NOT(ISERROR(SEARCH($O$14,N36)))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22" operator="containsText" id="{E59C4CC0-299C-4632-8105-31A7F42908A0}">
            <xm:f>NOT(ISERROR(SEARCH($O$5,N36)))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23" operator="containsText" id="{ACC192A8-8F1B-4D41-B5FC-16835EAC894D}">
            <xm:f>NOT(ISERROR(SEARCH($O$15,N36)))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072" operator="containsText" id="{BC732A25-87A4-435F-9B63-8F482E1F1613}">
            <xm:f>NOT(ISERROR(SEARCH($O$13,N49)))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5" operator="containsText" id="{E6E81B70-8EF2-487C-9409-67483A49A2AE}">
            <xm:f>NOT(ISERROR(SEARCH($O$5,N49)))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80" operator="containsText" id="{238970A5-0518-4F34-90DE-9621E749776B}">
            <xm:f>NOT(ISERROR(SEARCH($O$9,N49)))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9" operator="containsText" id="{68786468-5C3C-437A-92F9-0234A1F3BF4A}">
            <xm:f>NOT(ISERROR(SEARCH($O$8,N49)))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8" operator="containsText" id="{A1400DC6-4CFA-4D1B-B3C3-9250F1B34BCB}">
            <xm:f>NOT(ISERROR(SEARCH($O$7,N49)))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1" operator="containsText" id="{5BD0FCD9-6251-42E5-B83B-0569A64A7253}">
            <xm:f>NOT(ISERROR(SEARCH($O$14,N49)))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4" operator="containsText" id="{570DA4F9-1B51-4428-B502-8609A7E41DF0}">
            <xm:f>NOT(ISERROR(SEARCH($O$15,N49)))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3" operator="containsText" id="{A52A25C9-F24C-4667-BB1D-4B6D21A8ED07}">
            <xm:f>NOT(ISERROR(SEARCH($O$12,N49)))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2" operator="containsText" id="{B4C540BF-A97D-41F8-98D4-065316A3FE80}">
            <xm:f>NOT(ISERROR(SEARCH($O$11,N49)))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7" operator="containsText" id="{485DEB74-1669-47DC-8EAA-06BF828C73C2}">
            <xm:f>NOT(ISERROR(SEARCH($O$6,N49)))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70" operator="containsText" id="{253232D0-CA43-4992-97D9-4765FD2FB79C}">
            <xm:f>NOT(ISERROR(SEARCH($O$11,N50)))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971" operator="containsText" id="{36566071-1B6C-472A-BB7D-7E181BF2F18A}">
            <xm:f>NOT(ISERROR(SEARCH($O$12,N50)))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72" operator="containsText" id="{E3CDEECB-53F4-43CA-8A18-FC08F4C5CCB0}">
            <xm:f>NOT(ISERROR(SEARCH($O$15,N50)))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73" operator="containsText" id="{38EF3CC0-6711-4C7B-9776-58AF03E67D51}">
            <xm:f>NOT(ISERROR(SEARCH($O$5,N50)))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5" operator="containsText" id="{0F46E373-E6AE-4440-958C-5936A9B51AB0}">
            <xm:f>NOT(ISERROR(SEARCH($O$6,N50)))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939" operator="containsText" id="{06F2DCEB-B363-43A7-ACE0-460B2E4AFFEA}">
            <xm:f>NOT(ISERROR(SEARCH($O$14,N50)))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0" operator="containsText" id="{442378D4-6437-4C66-9E44-DA5B20CDB53A}">
            <xm:f>NOT(ISERROR(SEARCH($O$13,N50)))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6" operator="containsText" id="{E5654D6D-FB0A-4DE1-8F00-6EF025FF7757}">
            <xm:f>NOT(ISERROR(SEARCH($O$7,N50)))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7" operator="containsText" id="{1247A0DE-7199-45E7-B340-EB9A7F1CBB79}">
            <xm:f>NOT(ISERROR(SEARCH($O$8,N50)))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8" operator="containsText" id="{2EAC5B98-6DF7-4210-AE35-133D4DB18B1A}">
            <xm:f>NOT(ISERROR(SEARCH($O$9,N50)))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795" operator="containsText" id="{D703DCE4-6379-4C0B-904D-BE51C52A3FED}">
            <xm:f>NOT(ISERROR(SEARCH($O$13,N51)))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794" operator="containsText" id="{93D1A68F-6A6A-4E0A-902C-A4CF44EB2213}">
            <xm:f>NOT(ISERROR(SEARCH($O$14,N51)))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800" operator="containsText" id="{FDACB875-964D-48DE-A082-689380CAA748}">
            <xm:f>NOT(ISERROR(SEARCH($O$6,N51)))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801" operator="containsText" id="{9690FADF-546F-4679-A1E7-BBFA00DB1A67}">
            <xm:f>NOT(ISERROR(SEARCH($O$7,N51)))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802" operator="containsText" id="{4DE0F8B8-757B-49B9-9133-D3628E4F6011}">
            <xm:f>NOT(ISERROR(SEARCH($O$8,N51)))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803" operator="containsText" id="{59C066DA-88D8-448E-BAC5-F7A96B025FDA}">
            <xm:f>NOT(ISERROR(SEARCH($O$9,N51)))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5" operator="containsText" id="{4D1FE676-FCF5-4A09-B664-375643670BAC}">
            <xm:f>NOT(ISERROR(SEARCH($O$11,N51)))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6" operator="containsText" id="{A429D78A-9DE7-47F2-BF03-37B89107B54E}">
            <xm:f>NOT(ISERROR(SEARCH($O$12,N51)))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7" operator="containsText" id="{639637CB-A78A-4F2F-A708-94E9D5A84049}">
            <xm:f>NOT(ISERROR(SEARCH($O$15,N51)))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8" operator="containsText" id="{A2DE414F-2040-41B8-BA2C-249E482486B5}">
            <xm:f>NOT(ISERROR(SEARCH($O$5,N51)))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678" operator="containsText" id="{34EA8EC9-D599-481E-ACFC-0F9617CC8238}">
            <xm:f>NOT(ISERROR(SEARCH($O$5,N52)))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79" operator="containsText" id="{29308B16-BAD3-4451-9F16-9705C3461804}">
            <xm:f>NOT(ISERROR(SEARCH($O$6,N52)))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80" operator="containsText" id="{251A6D81-F1C3-4503-A78F-578B6C4F5DF1}">
            <xm:f>NOT(ISERROR(SEARCH($O$8,N52)))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81" operator="containsText" id="{D199EEB9-44C3-4DA4-862E-FDEF7CE8F386}">
            <xm:f>NOT(ISERROR(SEARCH($O$9,N52)))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82" operator="containsText" id="{98889EC9-DCD0-4255-A62A-9221F7CBCB63}">
            <xm:f>NOT(ISERROR(SEARCH($O$11,N52)))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683" operator="containsText" id="{ED8CBE8E-753F-461F-A292-6A4EBD272254}">
            <xm:f>NOT(ISERROR(SEARCH($O$12,N52)))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684" operator="containsText" id="{1F1975DA-B7E4-4852-9D78-01B5099E7F98}">
            <xm:f>NOT(ISERROR(SEARCH($O$14,N52)))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85" operator="containsText" id="{06D2F2F5-B886-48AF-A47C-E25B5C9525D0}">
            <xm:f>NOT(ISERROR(SEARCH($O$15,N52)))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86" operator="containsText" id="{A0B7F375-E21A-4858-A0C4-8A53EEECC83B}">
            <xm:f>NOT(ISERROR(SEARCH($O$7,N52)))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687" operator="containsText" id="{332A83A0-76D9-49AC-8BD4-411E124B7314}">
            <xm:f>NOT(ISERROR(SEARCH($O$13,N52)))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4362" operator="containsText" id="{62BC5761-A25D-42C2-A1C6-1BBF55EAFC77}">
            <xm:f>NOT(ISERROR(SEARCH($O$8,Q21)))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Q21</xm:sqref>
        </x14:conditionalFormatting>
        <x14:conditionalFormatting xmlns:xm="http://schemas.microsoft.com/office/excel/2006/main">
          <x14:cfRule type="containsText" priority="4351" operator="containsText" id="{BBD1E20C-1D8B-4351-8273-8113F3291354}">
            <xm:f>NOT(ISERROR(SEARCH($O$13,Q21)))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5" operator="containsText" id="{54585F3A-5635-41DA-BC78-ADA4FDD36C2F}">
            <xm:f>NOT(ISERROR(SEARCH($O$7,Q21)))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6" operator="containsText" id="{03A3539C-13A5-44AB-B06C-49B312840F3D}">
            <xm:f>NOT(ISERROR(SEARCH($O$6,Q21)))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7" operator="containsText" id="{002635BC-B316-4146-A0C0-3557FD849184}">
            <xm:f>NOT(ISERROR(SEARCH($O$5,Q21)))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361" operator="containsText" id="{D03F8F06-1E8A-4DC2-95C3-84DC3FF8DB4F}">
            <xm:f>NOT(ISERROR(SEARCH($O$11,Q21)))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0" operator="containsText" id="{B293C202-4FF0-45D7-BAB9-0838B0830FF6}">
            <xm:f>NOT(ISERROR(SEARCH($O$14,Q21)))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360" operator="containsText" id="{F07B4CA8-F039-4409-AE26-24EC02C27642}">
            <xm:f>NOT(ISERROR(SEARCH($O$15,Q21)))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2" operator="containsText" id="{E1F0E2ED-A49B-45BA-BA7E-EA85B50DCF51}">
            <xm:f>NOT(ISERROR(SEARCH($O$12,Q21)))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3" operator="containsText" id="{4CA60E51-383A-4A98-AA3C-409E58807D7B}">
            <xm:f>NOT(ISERROR(SEARCH($O$9,Q21)))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4" operator="containsText" id="{E3C05CA4-0F21-469A-9CEE-64008AC07D8F}">
            <xm:f>NOT(ISERROR(SEARCH($O$8,Q21)))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Q21:Q32</xm:sqref>
        </x14:conditionalFormatting>
        <x14:conditionalFormatting xmlns:xm="http://schemas.microsoft.com/office/excel/2006/main">
          <x14:cfRule type="containsText" priority="9409" operator="containsText" id="{04D37B2C-46C0-41CF-8066-8F6CB9300492}">
            <xm:f>NOT(ISERROR(SEARCH($O$5,R26)))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0" operator="containsText" id="{C500FB0A-0480-4B87-AB77-9814C6EC19A2}">
            <xm:f>NOT(ISERROR(SEARCH($O$6,R26)))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1" operator="containsText" id="{064701EF-75EC-4905-8463-7F4B07C45346}">
            <xm:f>NOT(ISERROR(SEARCH($O$7,R26)))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2" operator="containsText" id="{FC8CC691-3562-42A0-89D6-F86C5C8C4686}">
            <xm:f>NOT(ISERROR(SEARCH($O$8,R26)))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3" operator="containsText" id="{7149A34E-2F3D-4644-91A3-043B959A88A3}">
            <xm:f>NOT(ISERROR(SEARCH($O$9,R26)))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4" operator="containsText" id="{8336F0A4-C636-48C6-A2AC-5822DAC5A69C}">
            <xm:f>NOT(ISERROR(SEARCH($O$11,R26)))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5" operator="containsText" id="{7E00EBAC-CA19-44F3-B66D-F994685E863A}">
            <xm:f>NOT(ISERROR(SEARCH($O$12,R26)))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6" operator="containsText" id="{2381D055-081E-4B7F-8B68-E3C83CC6C170}">
            <xm:f>NOT(ISERROR(SEARCH($O$13,R26)))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7" operator="containsText" id="{3AFB2B85-C9E6-4545-B26D-D6FE756F8312}">
            <xm:f>NOT(ISERROR(SEARCH($O$14,R26)))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418" operator="containsText" id="{9DBC83A5-8E0E-46E7-B8F9-3791BC61DB5B}">
            <xm:f>NOT(ISERROR(SEARCH($O$15,R26)))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dataBar" id="{572855E7-6DCB-4C8A-96FC-C6AEEBA503E3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W4:W62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30"/>
  <sheetViews>
    <sheetView showGridLines="0" topLeftCell="B21" zoomScale="109" zoomScaleNormal="109" workbookViewId="0">
      <selection activeCell="K21" sqref="K21:K34"/>
    </sheetView>
  </sheetViews>
  <sheetFormatPr defaultColWidth="8.81640625" defaultRowHeight="14.5" x14ac:dyDescent="0.35"/>
  <cols>
    <col min="1" max="1" width="9.453125" bestFit="1" customWidth="1"/>
    <col min="2" max="2" width="19.453125" bestFit="1" customWidth="1"/>
    <col min="3" max="3" width="9.26953125" customWidth="1"/>
    <col min="4" max="4" width="4.81640625" customWidth="1"/>
    <col min="8" max="8" width="8.81640625" customWidth="1"/>
    <col min="11" max="11" width="10.7265625" customWidth="1"/>
    <col min="12" max="12" width="10.54296875" customWidth="1"/>
    <col min="13" max="13" width="11" customWidth="1"/>
    <col min="14" max="14" width="11.26953125" customWidth="1"/>
    <col min="15" max="15" width="2.1796875" customWidth="1"/>
    <col min="16" max="16" width="11.81640625" customWidth="1"/>
    <col min="17" max="17" width="9.453125" customWidth="1"/>
    <col min="18" max="18" width="9.1796875" customWidth="1"/>
    <col min="19" max="19" width="11.1796875" customWidth="1"/>
    <col min="20" max="20" width="8" customWidth="1"/>
    <col min="21" max="37" width="9.453125" customWidth="1"/>
  </cols>
  <sheetData>
    <row r="1" spans="1:79" ht="19" thickBot="1" x14ac:dyDescent="0.4">
      <c r="A1" s="1"/>
      <c r="B1" s="1"/>
      <c r="C1" s="1"/>
      <c r="D1" s="1"/>
      <c r="E1" s="1"/>
      <c r="F1" s="1"/>
      <c r="G1" s="1"/>
      <c r="H1" s="2"/>
      <c r="I1" s="1"/>
      <c r="J1" s="1"/>
      <c r="AC1" s="379" t="s">
        <v>220</v>
      </c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1"/>
    </row>
    <row r="2" spans="1:79" ht="15" thickBot="1" x14ac:dyDescent="0.4">
      <c r="Y2" s="382" t="s">
        <v>1</v>
      </c>
      <c r="Z2" s="383"/>
      <c r="AA2" s="383"/>
      <c r="AB2" s="384"/>
      <c r="AC2" s="385" t="s">
        <v>2</v>
      </c>
      <c r="AD2" s="386"/>
      <c r="AE2" s="386"/>
      <c r="AF2" s="387"/>
      <c r="AG2" s="385" t="s">
        <v>3</v>
      </c>
      <c r="AH2" s="386"/>
      <c r="AI2" s="386"/>
      <c r="AJ2" s="387"/>
      <c r="AK2" s="385" t="s">
        <v>4</v>
      </c>
      <c r="AL2" s="386"/>
      <c r="AM2" s="386"/>
      <c r="AN2" s="387"/>
    </row>
    <row r="3" spans="1:79" ht="30" customHeight="1" thickBot="1" x14ac:dyDescent="0.4">
      <c r="A3" s="369" t="s">
        <v>5</v>
      </c>
      <c r="B3" s="370"/>
      <c r="C3" s="370"/>
      <c r="D3" s="370"/>
      <c r="E3" s="370"/>
      <c r="F3" s="370"/>
      <c r="G3" s="370"/>
      <c r="H3" s="370"/>
      <c r="I3" s="371">
        <f>Mon!I3+2</f>
        <v>43999</v>
      </c>
      <c r="J3" s="371"/>
      <c r="K3" s="371"/>
      <c r="L3" s="371"/>
      <c r="M3" s="371"/>
      <c r="N3" s="372"/>
      <c r="O3" s="37"/>
      <c r="P3" s="150" t="s">
        <v>6</v>
      </c>
      <c r="Q3" s="28"/>
      <c r="R3" s="28"/>
      <c r="S3" s="28"/>
      <c r="U3" s="168" t="s">
        <v>7</v>
      </c>
      <c r="V3" s="10" t="s">
        <v>8</v>
      </c>
      <c r="W3" s="168" t="s">
        <v>218</v>
      </c>
      <c r="X3" s="168" t="s">
        <v>7</v>
      </c>
      <c r="Y3" s="10" t="s">
        <v>9</v>
      </c>
      <c r="Z3" s="10" t="s">
        <v>10</v>
      </c>
      <c r="AA3" s="10" t="s">
        <v>11</v>
      </c>
      <c r="AB3" s="10" t="s">
        <v>12</v>
      </c>
      <c r="AC3" s="10" t="s">
        <v>13</v>
      </c>
      <c r="AD3" s="10" t="s">
        <v>14</v>
      </c>
      <c r="AE3" s="10" t="s">
        <v>15</v>
      </c>
      <c r="AF3" s="10" t="s">
        <v>16</v>
      </c>
      <c r="AG3" s="10" t="s">
        <v>17</v>
      </c>
      <c r="AH3" s="10" t="s">
        <v>18</v>
      </c>
      <c r="AI3" s="10" t="s">
        <v>19</v>
      </c>
      <c r="AJ3" s="10" t="s">
        <v>20</v>
      </c>
      <c r="AK3" s="10" t="s">
        <v>21</v>
      </c>
      <c r="AL3" s="10" t="s">
        <v>22</v>
      </c>
      <c r="AM3" s="10" t="s">
        <v>23</v>
      </c>
      <c r="AN3" s="10" t="s">
        <v>24</v>
      </c>
      <c r="BX3" s="364" t="s">
        <v>25</v>
      </c>
      <c r="BY3" s="365"/>
      <c r="BZ3" s="365"/>
      <c r="CA3" s="366"/>
    </row>
    <row r="4" spans="1:79" ht="18.75" customHeight="1" thickBot="1" x14ac:dyDescent="0.4">
      <c r="A4" s="101" t="s">
        <v>26</v>
      </c>
      <c r="B4" s="299"/>
      <c r="C4" s="94" t="s">
        <v>27</v>
      </c>
      <c r="D4" s="95" t="s">
        <v>136</v>
      </c>
      <c r="E4" s="352" t="s">
        <v>28</v>
      </c>
      <c r="F4" s="353"/>
      <c r="G4" s="354" t="s">
        <v>29</v>
      </c>
      <c r="H4" s="353"/>
      <c r="I4" s="354" t="s">
        <v>30</v>
      </c>
      <c r="J4" s="353"/>
      <c r="K4" s="354" t="s">
        <v>31</v>
      </c>
      <c r="L4" s="353"/>
      <c r="M4" s="354" t="s">
        <v>32</v>
      </c>
      <c r="N4" s="358"/>
      <c r="O4" s="126" t="s">
        <v>33</v>
      </c>
      <c r="P4" s="38" t="s">
        <v>33</v>
      </c>
      <c r="Q4" s="331"/>
      <c r="R4" s="75"/>
      <c r="S4" s="75"/>
      <c r="U4" s="165" t="str">
        <f>Mon!U4</f>
        <v>(AB)</v>
      </c>
      <c r="V4" s="9">
        <f>SUM(COUNTIF($E$5:$N$55,U4),IF(T4&lt;&gt;0,COUNTIF($E$5:$N$55,T4),0),IF(S4&lt;&gt;0,COUNTIF($E$5:$N$55,S4),0))</f>
        <v>1</v>
      </c>
      <c r="W4" s="36">
        <f>SUM(Mon!V4,Tue!V4,Wed!V4)</f>
        <v>4</v>
      </c>
      <c r="X4" s="165" t="str">
        <f>Mon!U4</f>
        <v>(AB)</v>
      </c>
      <c r="Y4" s="20">
        <f t="shared" ref="Y4:Y52" si="0">SUM((COUNTIF($E$5:$F$55,$U4)),IF($T4&lt;&gt;0,(COUNTIF($E$5:$F$55,$T4))),IF($S4&lt;&gt;0,(COUNTIF($E$5:$F$55,$S4))))</f>
        <v>0</v>
      </c>
      <c r="Z4" s="21">
        <f t="shared" ref="Z4:Z52" si="1">SUM(COUNTIF($G$5:$J$55,$U4),IF($T4&lt;&gt;0,(COUNTIF($G$5:$J$55,$T4))),IF($S4&lt;&gt;0,(COUNTIF($G$5:$J$55,$S4))))</f>
        <v>0</v>
      </c>
      <c r="AA4" s="21">
        <f t="shared" ref="AA4:AA52" si="2">SUM(COUNTIF($K$5:$L$55,$U4),IF($T4&lt;&gt;0,(COUNTIF($K$5:$L$55,$T4))),IF($S4&lt;&gt;0,(COUNTIF($K$5:$L$55,$S4))))</f>
        <v>0</v>
      </c>
      <c r="AB4" s="22">
        <f t="shared" ref="AB4:AB52" si="3">SUM(COUNTIF($M$5:$N$55,$U4),IF($T4&lt;&gt;0,(COUNTIF($M$5:$N$55,$T4))),IF($S4&lt;&gt;0,(COUNTIF($M$5:$N$55,$S4))))</f>
        <v>1</v>
      </c>
      <c r="AC4" s="25" t="str">
        <f>CONCATENATE(IF($U4=$F$5,$E$5,IF($U4=$F$6,$E$6,IF($U4=$F$7,$E$7,IF($U4=$F$8,$E$8,IF($U4=$F$9,$E$9,IF($U4=$F$10,$E$10,IF($U4=$F$11,$E$11,IF($U4=$F$12,$E$12,IF($U4=$F$13,$E$13,IF($U4=$F$14,$E$14,IF($U4=$F$15,$E$15,IF($U4=$F$16,$E$16,IF($U4=$F$17,$E$17,"")))))))))))))&amp;" "&amp;IF($U4=$F$5,"(A)",IF($U4=$F$6,"(B)",IF($U4=$F$7,"(C)",IF($U4=$F$8,"(D)",IF($U4=$F$9,"(E)",IF($U4=$F$10,"(F)",IF($U4=$F$11,"(G)",IF($U4=$F$12,"(H)",IF($U4=$F$13,"(I)",IF($U4=$F$14,"(J)",IF($U4=$F$15,"(K)",IF($U4=$F$16,"(L)",IF($U4=$F$17,"(L)",""))))))))))))))</f>
        <v xml:space="preserve"> </v>
      </c>
      <c r="AD4" s="26" t="str">
        <f>CONCATENATE(IF($U4=$H$5,$G$5,IF($U4=$H$6,$G$6,IF($U4=$H$7,$G$7,IF($U4=$H$8,$G$8,IF($U4=$H$9,$G$9,IF($U4=$H$10,$G$10,IF($U4=$H$11,$G$11,IF($U4=$H$12,$G$12,IF($U4=$H$13,$G$13,IF($U4=$H$14,$G$14,IF($U4=$H$15,$G$15,IF($U4=$H$16,$G$16,IF($U4=$H$17,$G$17,"")))))))))))))&amp;" "&amp;IF($U4=$H$5,"(A)",IF($U4=$H$6,"(B)",IF($U4=$H$7,"(C)",IF($U4=$H$8,"(D)",IF($U4=$H$9,"(E)",IF($U4=$H$10,"(F)",IF($U4=$H$11,"(G)",IF($U4=$H$12,"(H)",IF($U4=$H$13,"(I)",IF($U4=$H$14,"(J)",IF($U4=$H$15,"(K)",IF($U4=$H$16,"(L)",IF($U4=$H$17,"(L)",""))))))))))))))</f>
        <v xml:space="preserve"> </v>
      </c>
      <c r="AE4" s="26" t="str">
        <f>CONCATENATE(IF($U4=$L$5,$K$5,IF($U4=$L$6,$K$6,IF($U4=$L$7,$K$7,IF($U4=$L$8,$K$8,IF($U4=$L$9,$K$9,IF($U4=$L$10,$K$10,IF($U4=$L$11,$K$11,IF($U4=$L$12,$K$12,IF($U4=$L$13,$K$13,IF($U4=$L$14,$K$14,IF($U4=$L$15,$K$15,IF($U4=$L$16,$K$16,IF($U4=$L$17,$K$17,"")))))))))))))&amp;" "&amp;IF($U4=$L$5,"(A)",IF($U4=$L$6,"(B)",IF($U4=$L$7,"(C)",IF($U4=$L$8,"(D)",IF($U4=$L$9,"(E)",IF($U4=$L$10,"(F)",IF($U4=$L$11,"(G)",IF($U4=$L$12,"(H)",IF($U4=$L$13,"(I)",IF($U4=$L$14,"(J)",IF($U4=$L$15,"(K)",IF($U4=$L$16,"(L)",IF($U4=$L$17,"(L)",""))))))))))))))</f>
        <v xml:space="preserve"> </v>
      </c>
      <c r="AF4" s="27" t="str">
        <f>CONCATENATE(IF($U4=$N$5,$M$5,IF($U4=$N$6,$M$6,IF($U4=$N$7,$M$7,IF($U4=$N$8,$M$8,IF($U4=$N$9,$M$9,IF($U4=$N$10,$M$10,IF($U4=$N$11,$M$11,IF($U4=$N$12,$M$12,IF($U4=$N$13,$M$13,IF($U4=$N$14,$M$14,IF($U4=$N$15,$M$15,IF($U4=$N$16,$M$16,IF($U4=$N$17,$M$17,"")))))))))))))&amp;" "&amp;(IF($U4=$N$5,"(A)",IF($U4=$N$6,"(B)",IF($U4=$N$7,"(C)",IF($U4=$N$8,"(D)",IF($U4=$N$9,"(E)",IF($U4=$N$10,"(F)",IF($U4=$N$11,"(G)",IF($U4=$N$12,"(H)",IF($U4=$N$13,"(I)",IF($U4=$N$14,"(J)",IF($U4=$N$15,"(K)",IF($U4=$N$16,"(L)",IF($U4=$N$17,"(L)","")))))))))))))))</f>
        <v xml:space="preserve"> </v>
      </c>
      <c r="AG4" s="178" t="str">
        <f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f>
        <v xml:space="preserve"> </v>
      </c>
      <c r="AH4" s="177" t="str">
        <f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f>
        <v xml:space="preserve"> </v>
      </c>
      <c r="AI4" s="177" t="str">
        <f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f>
        <v xml:space="preserve"> </v>
      </c>
      <c r="AJ4" s="180" t="str">
        <f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f>
        <v xml:space="preserve"> </v>
      </c>
      <c r="AK4" s="178" t="str">
        <f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f>
        <v xml:space="preserve"> </v>
      </c>
      <c r="AL4" s="177" t="str">
        <f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f>
        <v xml:space="preserve"> </v>
      </c>
      <c r="AM4" s="177" t="str">
        <f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f>
        <v xml:space="preserve"> </v>
      </c>
      <c r="AN4" s="179" t="str">
        <f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f>
        <v>BT (J)</v>
      </c>
      <c r="BV4" t="s">
        <v>35</v>
      </c>
      <c r="BX4" s="4" t="s">
        <v>36</v>
      </c>
      <c r="BY4" s="4" t="s">
        <v>37</v>
      </c>
      <c r="BZ4" s="4" t="s">
        <v>38</v>
      </c>
      <c r="CA4" s="4" t="s">
        <v>39</v>
      </c>
    </row>
    <row r="5" spans="1:79" ht="18.75" customHeight="1" thickBot="1" x14ac:dyDescent="0.4">
      <c r="A5" s="373">
        <v>5</v>
      </c>
      <c r="B5" s="18" t="str">
        <f>Mon!B5</f>
        <v>F+ECOM</v>
      </c>
      <c r="C5" s="90" t="s">
        <v>41</v>
      </c>
      <c r="D5" s="91"/>
      <c r="E5" s="33" t="str">
        <f>IF(F5=$A$100,$B$100,IF(F5=$A$101,$B$101,IF(F5=$A$102,$B$102,IF(F5=$A$103,$B$103,IF(F5=$A$104,$B$104,IF(F5=$A$105,$B$105,IF(F5=$A$106,$B$106,IF(F5=$A$107,$B$107,"Training"))))))))</f>
        <v>IB</v>
      </c>
      <c r="F5" s="92" t="s">
        <v>46</v>
      </c>
      <c r="G5" s="33" t="str">
        <f>IF(H5=$A$100,$B$100,IF(H5=$A$101,$B$101,IF(H5=$A$102,$B$102,IF(H5=$A$103,$B$103,IF(H5=$A$104,$B$104,IF(H5=$A$105,$B$105,IF(H5=$A$106,$B$106,IF(H5=$A$107,$B$107,"Training"))))))))</f>
        <v>IF</v>
      </c>
      <c r="H5" s="92" t="s">
        <v>58</v>
      </c>
      <c r="I5" s="375" t="s">
        <v>143</v>
      </c>
      <c r="J5" s="375"/>
      <c r="K5" s="33" t="str">
        <f>IF(L5=$A$100,$B$100,IF(L5=$A$101,$B$101,IF(L5=$A$102,$B$102,IF(L5=$A$103,$B$103,IF(L5=$A$104,$B$104,IF(L5=$A$105,$B$105,IF(L5=$A$106,$B$106,IF(L5=$A$107,$B$107,"Training"))))))))</f>
        <v>ECOM</v>
      </c>
      <c r="L5" s="92" t="s">
        <v>56</v>
      </c>
      <c r="M5" s="33" t="str">
        <f>IF(N5=$A$100,$B$100,IF(N5=$A$101,$B$101,IF(N5=$A$102,$B$102,IF(N5=$A$103,$B$103,IF(N5=$A$104,$B$104,IF(N5=$A$105,$B$105,IF(N5=$A$106,$B$106,IF(N5=$A$107,$B$107,"Training"))))))))</f>
        <v>MA</v>
      </c>
      <c r="N5" s="93" t="s">
        <v>42</v>
      </c>
      <c r="O5" s="70" t="str">
        <f>IF(P5="",".",P5)</f>
        <v>.</v>
      </c>
      <c r="P5" s="12"/>
      <c r="Q5" s="331"/>
      <c r="R5" s="29"/>
      <c r="S5" s="331"/>
      <c r="U5" s="165" t="str">
        <f>Mon!U5</f>
        <v>(AD)</v>
      </c>
      <c r="V5" s="9">
        <f t="shared" ref="V5:V58" si="4">SUM(COUNTIF($E$5:$N$55,U5),IF(T5&lt;&gt;0,COUNTIF($E$5:$N$55,T5),0),IF(S5&lt;&gt;0,COUNTIF($E$5:$N$55,S5),0))</f>
        <v>3</v>
      </c>
      <c r="W5" s="36">
        <f>SUM(Mon!V5,Tue!V5,Wed!V5)</f>
        <v>9</v>
      </c>
      <c r="X5" s="165" t="str">
        <f>Mon!U5</f>
        <v>(AD)</v>
      </c>
      <c r="Y5" s="20">
        <f t="shared" si="0"/>
        <v>1</v>
      </c>
      <c r="Z5" s="21">
        <f t="shared" si="1"/>
        <v>1</v>
      </c>
      <c r="AA5" s="21">
        <f t="shared" si="2"/>
        <v>1</v>
      </c>
      <c r="AB5" s="22">
        <f t="shared" si="3"/>
        <v>0</v>
      </c>
      <c r="AC5" s="25" t="str">
        <f t="shared" ref="AC5:AC8" si="5">CONCATENATE(IF($U5=$F$5,$E$5,IF($U5=$F$6,$E$6,IF($U5=$F$7,$E$7,IF($U5=$F$8,$E$8,IF($U5=$F$9,$E$9,IF($U5=$F$10,$E$10,IF($U5=$F$11,$E$11,IF($U5=$F$12,$E$12,IF($U5=$F$13,$E$13,IF($U5=$F$14,$E$14,IF($U5=$F$15,$E$15,IF($U5=$F$16,$E$16,IF($U5=$F$17,$E$17,"")))))))))))))&amp;" "&amp;IF($U5=$F$5,"(A)",IF($U5=$F$6,"(B)",IF($U5=$F$7,"(C)",IF($U5=$F$8,"(D)",IF($U5=$F$9,"(E)",IF($U5=$F$10,"(F)",IF($U5=$F$11,"(G)",IF($U5=$F$12,"(H)",IF($U5=$F$13,"(I)",IF($U5=$F$14,"(J)",IF($U5=$F$15,"(K)",IF($U5=$F$16,"(L)",IF($U5=$F$17,"(L)",""))))))))))))))</f>
        <v>IT (K)</v>
      </c>
      <c r="AD5" s="26" t="str">
        <f t="shared" ref="AD5:AD8" si="6">CONCATENATE(IF($U5=$H$5,$G$5,IF($U5=$H$6,$G$6,IF($U5=$H$7,$G$7,IF($U5=$H$8,$G$8,IF($U5=$H$9,$G$9,IF($U5=$H$10,$G$10,IF($U5=$H$11,$G$11,IF($U5=$H$12,$G$12,IF($U5=$H$13,$G$13,IF($U5=$H$14,$G$14,IF($U5=$H$15,$G$15,IF($U5=$H$16,$G$16,IF($U5=$H$17,$G$17,"")))))))))))))&amp;" "&amp;IF($U5=$H$5,"(A)",IF($U5=$H$6,"(B)",IF($U5=$H$7,"(C)",IF($U5=$H$8,"(D)",IF($U5=$H$9,"(E)",IF($U5=$H$10,"(F)",IF($U5=$H$11,"(G)",IF($U5=$H$12,"(H)",IF($U5=$H$13,"(I)",IF($U5=$H$14,"(J)",IF($U5=$H$15,"(K)",IF($U5=$H$16,"(L)",IF($U5=$H$17,"(L)",""))))))))))))))</f>
        <v>IT (E)</v>
      </c>
      <c r="AE5" s="26" t="str">
        <f t="shared" ref="AE5:AE8" si="7">CONCATENATE(IF($U5=$L$5,$K$5,IF($U5=$L$6,$K$6,IF($U5=$L$7,$K$7,IF($U5=$L$8,$K$8,IF($U5=$L$9,$K$9,IF($U5=$L$10,$K$10,IF($U5=$L$11,$K$11,IF($U5=$L$12,$K$12,IF($U5=$L$13,$K$13,IF($U5=$L$14,$K$14,IF($U5=$L$15,$K$15,IF($U5=$L$16,$K$16,IF($U5=$L$17,$K$17,"")))))))))))))&amp;" "&amp;IF($U5=$L$5,"(A)",IF($U5=$L$6,"(B)",IF($U5=$L$7,"(C)",IF($U5=$L$8,"(D)",IF($U5=$L$9,"(E)",IF($U5=$L$10,"(F)",IF($U5=$L$11,"(G)",IF($U5=$L$12,"(H)",IF($U5=$L$13,"(I)",IF($U5=$L$14,"(J)",IF($U5=$L$15,"(K)",IF($U5=$L$16,"(L)",IF($U5=$L$17,"(L)",""))))))))))))))</f>
        <v>RM (I)</v>
      </c>
      <c r="AF5" s="27" t="str">
        <f t="shared" ref="AF5:AF8" si="8">CONCATENATE(IF($U5=$N$5,$M$5,IF($U5=$N$6,$M$6,IF($U5=$N$7,$M$7,IF($U5=$N$8,$M$8,IF($U5=$N$9,$M$9,IF($U5=$N$10,$M$10,IF($U5=$N$11,$M$11,IF($U5=$N$12,$M$12,IF($U5=$N$13,$M$13,IF($U5=$N$14,$M$14,IF($U5=$N$15,$M$15,IF($U5=$N$16,$M$16,IF($U5=$N$17,$M$17,"")))))))))))))&amp;" "&amp;(IF($U5=$N$5,"(A)",IF($U5=$N$6,"(B)",IF($U5=$N$7,"(C)",IF($U5=$N$8,"(D)",IF($U5=$N$9,"(E)",IF($U5=$N$10,"(F)",IF($U5=$N$11,"(G)",IF($U5=$N$12,"(H)",IF($U5=$N$13,"(I)",IF($U5=$N$14,"(J)",IF($U5=$N$15,"(K)",IF($U5=$N$16,"(L)",IF($U5=$N$17,"(L)","")))))))))))))))</f>
        <v xml:space="preserve"> </v>
      </c>
      <c r="AG5" s="178" t="str">
        <f t="shared" ref="AG5:AG59" si="9">CONCATENATE(IF($U5=$F$21,$E$21,IF($U5=$F$22,$E$22,IF($U5=$F$23,$E$23,IF($U5=$F$24,$E$24,IF($U5=$F$25,$E$25,IF($U5=$F$26,$E$26,IF($U5=$F$27,$E$27,IF($U5=$F$28,$E$28,IF($U5=$F$29,$E$29,IF($U5=$F$30,$E$30,IF($U5=$F$31,$E$31,IF($U5=$F$32,$E$32,IF($U5=$F$33,$E$33,IF($U5=$F$34,$E$34,"")))))))))))))&amp;" "&amp;(IF($U5=$F$21,"(A)",IF($U5=$F$22,"(B)",IF($U5=$F$23,"(C)",IF($U5=$F$24,"(D)",IF($U5=$F$25,"(E)",IF($U5=$F$26,"(F)",IF($U5=$F$27,"(G)",IF($U5=$F$28,"(H)",IF($U5=$F$29,"(I)",IF($U5=$F$30,"(J)",IF($U5=$D$63,"(K)",IF($U5=$F$32,"(L)",IF($U5=$F$33,"(M)",IF($U5=$F$34,"(N)","")))))))))))))))))</f>
        <v xml:space="preserve"> </v>
      </c>
      <c r="AH5" s="177" t="str">
        <f t="shared" ref="AH5:AH59" si="10">CONCATENATE(IF($U5=$H$21,$G$21,IF($U5=$H$22,$G$22,IF($U5=$H$23,$G$23,IF($U5=$H$24,$G$24,IF($U5=$H$25,$G$25,IF($U5=$H$26,$G$26,IF($U5=$H$27,$G$27,IF($U5=$H$28,$G$28,IF($U5=$H$29,$G$29,IF($U5=$H$30,$G$30,IF($U5=$H$31,$G$31,IF($U5=$H$32,$G$32,IF($U5=$H$33,$G$33,IF($U5=$H$34,$G$34,""))))))))))))))&amp;" "&amp;(IF($U5=$H$21,"(A)",IF($U5=$H$22,"(B)",IF($U5=$H$23,"(C)",IF($U5=$H$24,"(D)",IF($U5=$H$25,"(E)",IF($U5=$H$26,"(F)",IF($U5=$H$27,"(G)",IF($U5=$H$28,"(H)",IF($U5=$H$29,"(I)",IF($U5=$H$30,"(J)",IF($U5=$H$31,"(K)",IF($U5=$H$32,"(L)",IF($U5=$H$33,"(M)",IF($U5=$H$34,"(N)",""))))))))))))))))</f>
        <v xml:space="preserve"> </v>
      </c>
      <c r="AI5" s="177" t="str">
        <f t="shared" ref="AI5:AI59" si="11">CONCATENATE(IF($U5=$L$21,$K$21,IF($U5=$L$22,$K$22,IF($U5=$L$23,$K$23,IF($U5=$L$24,$K$24,IF($U5=$L$25,$K$25,IF($U5=$L$26,$K$26,IF($U5=$L$27,$K$27,IF($U5=$L$28,$K$28,IF($U5=$L$29,$K$29,IF($U5=$L$30,$K$30,IF($U5=$L$31,$K$31,IF($U5=$L$32,$K$32,IF($U5=$L$33,$K$33,IF($U5=$L$34,$K$34,""))))))))))))))&amp;" "&amp;IF($U5=$L$21,"(A)",IF($U5=$L$22,"(B)",IF($U5=$L$23,"(C)",IF($U5=$L$24,"(D)",IF($U5=$L$25,"(E)",IF($U5=$L$26,"(F)",IF($U5=$L$27,"(G)",IF($U5=$L$28,"(H)",IF($U5=$L$29,"(I)",IF($U5=$L$30,"(J)",IF($U5=$L$31,"(K)",IF($U5=$L$32,"(L)",IF($U5=$L$33,"(M)",IF($U5=$L$34,"(N)","")))))))))))))))</f>
        <v xml:space="preserve"> </v>
      </c>
      <c r="AJ5" s="180" t="str">
        <f t="shared" ref="AJ5:AJ59" si="12">CONCATENATE(IF($U5=$N$21,$M$21,IF($U5=$N$22,$M$22,IF($U5=$N$23,$M$23,IF($U5=$N$24,$M$24,IF($U5=$N$25,$M$25,IF($U5=$N$26,$M$26,IF($U5=$N$27,$M$27,IF($U5=$N$28,$M$28,IF($U5=$N$29,$M$29,IF($U5=$N$30,$M$30,IF($U5=$N$31,$M$31,IF($U5=$N$32,$M$32,IF($U5=$N$33,$M$33,IF($U5=$N$34,$M$34,""))))))))))))))&amp;" "&amp;(IF($U5=$N$21,"(A)",IF($U5=$N$22,"(B)",IF($U5=$N$23,"(C)",IF($U5=$N$24,"(D)",IF($U5=$N$25,"(E)",IF($U5=$N$26,"(F)",IF($U5=$N$27,"(G)",IF($U5=$N$28,"(H)",IF($U5=$N$29,"(I)",IF($U5=$N$30,"(J)",IF($U5=$N$31,"(K)",IF($U5=$N$32,"(L)",IF($U5=$N$33,"(M)",IF($U5=$N$34,"(N)",""))))))))))))))))</f>
        <v xml:space="preserve"> </v>
      </c>
      <c r="AK5" s="178" t="str">
        <f t="shared" ref="AK5:AK59" si="13">CONCATENATE(IF($U5=$F$37,$E$37,IF($U5=$F$38,$E$38,IF($U5=$F$39,$E$39,IF($U5=$F$40,$E$40,IF($U5=$F$41,$E$41,IF($U5=$F$42,$E$42,IF($U5=$F$43,$E$43,IF($U5=$F$44,$E$44,IF($U5=$F$45,$E$45,IF($U5=$F$46,$E$46,IF($U5=$F$47,$E$47,IF($U5=$F$48,$E$48,IF($U5=$F$49,$E$49,IF($U5=$F$50,$E$50,IF($U5=$F$51,$E$51,""))))))))))))))&amp;" "&amp;IF($U5=$F$38,"(A)",IF($U5=$F$39,"(B)",IF($U5=$F$40,"(C)",IF($U5=$F$41,"(D)",IF($U5=$F$42,"(E)",IF($U5=$F$43,"(F)",IF($U5=$F$44,"(G)",IF($U5=$F$45,"(H)",IF($U5=$F$46,"(I)",IF($U5=$F$47,"(J)",IF($U5=$F$48,"(K)",IF($U5=$F$49,"(L)",IF($U5=$F$50,"(M)",IF($U5=$F$51,"(N)",""))))))))))))))))</f>
        <v xml:space="preserve"> </v>
      </c>
      <c r="AL5" s="177" t="str">
        <f t="shared" ref="AL5:AL59" si="14">CONCATENATE(IF($U5=$H$37,$G$37,IF($U5=$H$38,$G$38,IF($U5=$H$39,$G$39,IF($U5=$H$40,$G$40,IF($U5=$H$41,$G$41,IF($U5=$H$42,$G$42,IF($U5=$H$43,$G$43,IF($U5=$H$44,$G$44,IF($U5=$H$45,$G$45,IF($U5=$H$46,$G$46,IF($U5=$H$47,$G$47,IF($U5=$H$48,$G$48,IF($U5=$H$49,$G$49,IF($U5=$H$50,$G$50,IF($U5=$H$51,$G$51,"")))))))))))))))&amp;" "&amp;IF($U5=$H$38,"(A)",IF($U5=$H$39,"(B)",IF($U5=$H$40,"(C)",IF($U5=$H$41,"(D)",IF($U5=$H$42,"(E)",IF($U5=$H$43,"(F)",IF($U5=$H$44,"(G)",IF($U5=$H$45,"(H)",IF($U5=$H$46,"(I)",IF($U5=$H$47,"(J)",IF($U5=$H$48,"(K)",IF($U5=$H$49,"(L)",IF($U5=$H$50,"(M)",IF($U5=$H$51,"(N)","")))))))))))))))</f>
        <v xml:space="preserve"> </v>
      </c>
      <c r="AM5" s="177" t="str">
        <f t="shared" ref="AM5:AM59" si="15">CONCATENATE(IF($U5=$L$37,$K$37,IF($U5=$L$38,$K$38,IF($U5=$L$39,$K$39,IF($U5=$L$40,$K$40,IF($U5=$L$41,$K$41,IF($U5=$L$42,$K$42,IF($U5=$L$43,$K$43,IF($U5=$L$44,$K$44,IF($U5=$L$45,$K$45,IF($U5=$L$46,$K$46,IF($U5=$L$47,$K$47,IF($U5=$L$48,$K$48,IF($U5=$L$49,$K$49,IF($U5=$L$50,$K$50,IF($U5=$L$51,$K$51,"")))))))))))))))&amp;" "&amp;IF($U5=$L$38,"(A)",IF($U5=$L$39,"(B)",IF($U5=$L$40,"(C)",IF($U5=$L$41,"(D)",IF($U5=$L$42,"(E)",IF($U5=$L$43,"(F)",IF($U5=$L$44,"(G)",IF($U5=$L$45,"(H)",IF($U5=$L$46,"(I)",IF($U5=$L$47,"(J)",IF($U5=$L$48,"(K)",IF($U5=$L$49,"(L)",IF($U5=$L$50,"(M)",IF($U5=$L$51,"(N)","")))))))))))))))</f>
        <v xml:space="preserve"> </v>
      </c>
      <c r="AN5" s="179" t="str">
        <f t="shared" ref="AN5:AN59" si="16">CONCATENATE(IF($U5=$N$37,$M$37,IF($U5=$N$38,$M$38,IF($U5=$N$39,$M$39,IF($U5=$N$40,$M$40,IF($U5=$N$41,$M$41,IF($U5=$N$42,$M$42,IF($U5=$N$43,$M$43,IF($U5=$N$44,$M$44,IF($U5=$N$45,$M$45,IF($U5=$N$46,$M$46,IF($U5=$N$47,$M$47,IF($U5=$N$48,$M$48,IF($U5=$N$49,$M$49,IF($U5=$N$50,$M$50,IF($U5=$N$51,$M$51,"")))))))))))))))&amp;" "&amp;IF($U5=$N$38,"(A)",IF($U5=$N$39,"(B)",IF($U5=$N$40,"(C)",IF($U5=$N$41,"(D)",IF($U5=$N$42,"(E)",IF($U5=$N$43,"(F)",IF($U5=$N$44,"(G)",IF($U5=$N$45,"(H)",IF($U5=$N$46,"(I)",IF($U5=$N$47,"(J)",IF($U5=$N$48,"(K)",IF($U5=$N$49,"(L)",IF($U5=$N$50,"(M)",IF($U5=$N$51,"(N)","")))))))))))))))</f>
        <v xml:space="preserve"> </v>
      </c>
      <c r="BV5" t="s">
        <v>48</v>
      </c>
    </row>
    <row r="6" spans="1:79" ht="18.75" customHeight="1" thickBot="1" x14ac:dyDescent="0.4">
      <c r="A6" s="374"/>
      <c r="B6" s="162" t="str">
        <f>Mon!B6</f>
        <v>F+ECOM</v>
      </c>
      <c r="C6" s="3" t="s">
        <v>49</v>
      </c>
      <c r="D6" s="76"/>
      <c r="E6" s="6" t="str">
        <f>IF(F6=$C$100,$D$100,IF(F6=$C$101,$D$101,IF(F6=$C$102,$D$102,IF(F6=$C$103,$D$103,IF(F6=$C$104,$D$104,IF(F6=$C$105,$D$105,IF(F6=$C$106,$D$106,IF(F6=$C$107,$D$107,"Training"))))))))</f>
        <v>IF</v>
      </c>
      <c r="F6" s="7" t="s">
        <v>50</v>
      </c>
      <c r="G6" s="6" t="str">
        <f>IF(H6=$C$100,$D$100,IF(H6=$C$101,$D$101,IF(H6=$C$102,$D$102,IF(H6=$C$103,$D$103,IF(H6=$C$104,$D$104,IF(H6=$C$105,$D$105,IF(H6=$C$106,$D$106,IF(H6=$C$107,$D$107,"Training"))))))))</f>
        <v>FMS</v>
      </c>
      <c r="H6" s="7" t="s">
        <v>53</v>
      </c>
      <c r="I6" s="375"/>
      <c r="J6" s="375"/>
      <c r="K6" s="6" t="str">
        <f>IF(L6=$C$100,$D$100,IF(L6=$C$101,$D$101,IF(L6=$C$102,$D$102,IF(L6=$C$103,$D$103,IF(L6=$C$104,$D$104,IF(L6=$C$105,$D$105,IF(L6=$C$106,$D$106,IF(L6=$C$107,$D$107,"Training"))))))))</f>
        <v>AA</v>
      </c>
      <c r="L6" s="7" t="s">
        <v>58</v>
      </c>
      <c r="M6" s="6" t="str">
        <f>IF(N6=$C$100,$D$100,IF(N6=$C$101,$D$101,IF(N6=$C$102,$D$102,IF(N6=$C$103,$D$103,IF(N6=$C$104,$D$104,IF(N6=$C$105,$D$105,IF(N6=$C$106,$D$106,IF(N6=$C$107,$D$107,"Training"))))))))</f>
        <v>MA</v>
      </c>
      <c r="N6" s="107" t="s">
        <v>106</v>
      </c>
      <c r="O6" s="71" t="str">
        <f t="shared" ref="O6:O9" si="17">IF(P6="",".",P6)</f>
        <v>.</v>
      </c>
      <c r="P6" s="13"/>
      <c r="Q6" s="331"/>
      <c r="R6" s="29"/>
      <c r="S6" s="331"/>
      <c r="U6" s="165" t="str">
        <f>Mon!U6</f>
        <v>(AG)</v>
      </c>
      <c r="V6" s="9">
        <f t="shared" si="4"/>
        <v>4</v>
      </c>
      <c r="W6" s="36">
        <f>SUM(Mon!V6,Tue!V6,Wed!V6)</f>
        <v>10</v>
      </c>
      <c r="X6" s="165" t="str">
        <f>Mon!U6</f>
        <v>(AG)</v>
      </c>
      <c r="Y6" s="20">
        <f t="shared" si="0"/>
        <v>1</v>
      </c>
      <c r="Z6" s="21">
        <f t="shared" si="1"/>
        <v>2</v>
      </c>
      <c r="AA6" s="21">
        <f t="shared" si="2"/>
        <v>0</v>
      </c>
      <c r="AB6" s="22">
        <f t="shared" si="3"/>
        <v>1</v>
      </c>
      <c r="AC6" s="25" t="str">
        <f t="shared" si="5"/>
        <v xml:space="preserve"> </v>
      </c>
      <c r="AD6" s="26" t="str">
        <f t="shared" si="6"/>
        <v xml:space="preserve"> </v>
      </c>
      <c r="AE6" s="26" t="str">
        <f t="shared" si="7"/>
        <v xml:space="preserve"> </v>
      </c>
      <c r="AF6" s="27" t="str">
        <f t="shared" si="8"/>
        <v xml:space="preserve"> </v>
      </c>
      <c r="AG6" s="178" t="str">
        <f t="shared" si="9"/>
        <v xml:space="preserve"> </v>
      </c>
      <c r="AH6" s="177" t="str">
        <f t="shared" si="10"/>
        <v>EVS (M)</v>
      </c>
      <c r="AI6" s="177" t="str">
        <f t="shared" si="11"/>
        <v xml:space="preserve"> </v>
      </c>
      <c r="AJ6" s="180" t="str">
        <f t="shared" si="12"/>
        <v xml:space="preserve"> </v>
      </c>
      <c r="AK6" s="178" t="str">
        <f t="shared" si="13"/>
        <v>BM (K)</v>
      </c>
      <c r="AL6" s="177" t="str">
        <f t="shared" si="14"/>
        <v>BM (N)</v>
      </c>
      <c r="AM6" s="177" t="str">
        <f t="shared" si="15"/>
        <v xml:space="preserve"> </v>
      </c>
      <c r="AN6" s="179" t="str">
        <f t="shared" si="16"/>
        <v>BM (G)</v>
      </c>
    </row>
    <row r="7" spans="1:79" ht="18.75" customHeight="1" thickBot="1" x14ac:dyDescent="0.4">
      <c r="A7" s="374"/>
      <c r="B7" s="162" t="str">
        <f>Mon!B7</f>
        <v>F+ECOM</v>
      </c>
      <c r="C7" s="3" t="s">
        <v>55</v>
      </c>
      <c r="D7" s="76"/>
      <c r="E7" s="6" t="str">
        <f>IF(F7=$E$100,$F$100,IF(F7=$E$101,$F$101,IF(F7=$E$102,$F$102,IF(F7=$E$103,$F$103,IF(F7=$E$104,$F$104,IF(F7=$E$105,$F$105,IF(F7=$E$106,$F$106,IF(F7=$E$107,$F$107,"Training"))))))))</f>
        <v>IF</v>
      </c>
      <c r="F7" s="7" t="s">
        <v>58</v>
      </c>
      <c r="G7" s="6" t="str">
        <f>IF(H7=$E$100,$F$100,IF(H7=$E$101,$F$101,IF(H7=$E$102,$F$102,IF(H7=$E$103,$F$103,IF(H7=$E$104,$F$104,IF(H7=$E$105,$F$105,IF(H7=$E$106,$F$106,IF(H7=$E$107,$F$107,"Training"))))))))</f>
        <v>MA</v>
      </c>
      <c r="H7" s="7" t="s">
        <v>57</v>
      </c>
      <c r="I7" s="375"/>
      <c r="J7" s="375"/>
      <c r="K7" s="6" t="str">
        <f>IF(L7=$E$100,$F$100,IF(L7=$E$101,$F$101,IF(L7=$E$102,$F$102,IF(L7=$E$103,$F$103,IF(L7=$E$104,$F$104,IF(L7=$E$105,$F$105,IF(L7=$E$106,$F$106,IF(L7=$E$107,$F$107,"Training"))))))))</f>
        <v>AA</v>
      </c>
      <c r="L7" s="7" t="s">
        <v>53</v>
      </c>
      <c r="M7" s="6" t="str">
        <f>IF(N7=$E$100,$F$100,IF(N7=$E$101,$F$101,IF(N7=$E$102,$F$102,IF(N7=$E$103,$F$103,IF(N7=$E$104,$F$104,IF(N7=$E$105,$F$105,IF(N7=$E$106,$F$106,IF(N7=$E$107,$F$107,"Training"))))))))</f>
        <v>IT</v>
      </c>
      <c r="N7" s="11" t="s">
        <v>45</v>
      </c>
      <c r="O7" s="71" t="str">
        <f t="shared" si="17"/>
        <v>.</v>
      </c>
      <c r="P7" s="13"/>
      <c r="Q7" s="331"/>
      <c r="R7" s="29"/>
      <c r="S7" s="331"/>
      <c r="U7" s="165" t="str">
        <f>Mon!U7</f>
        <v>(ANU)</v>
      </c>
      <c r="V7" s="9">
        <f t="shared" si="4"/>
        <v>0</v>
      </c>
      <c r="W7" s="36">
        <f>SUM(Mon!V7,Tue!V7,Wed!V7)</f>
        <v>0</v>
      </c>
      <c r="X7" s="165" t="str">
        <f>Mon!U7</f>
        <v>(ANU)</v>
      </c>
      <c r="Y7" s="20">
        <f t="shared" si="0"/>
        <v>0</v>
      </c>
      <c r="Z7" s="21">
        <f t="shared" si="1"/>
        <v>0</v>
      </c>
      <c r="AA7" s="21">
        <f t="shared" si="2"/>
        <v>0</v>
      </c>
      <c r="AB7" s="22">
        <f t="shared" si="3"/>
        <v>0</v>
      </c>
      <c r="AC7" s="25" t="str">
        <f t="shared" si="5"/>
        <v xml:space="preserve"> </v>
      </c>
      <c r="AD7" s="26" t="str">
        <f t="shared" si="6"/>
        <v xml:space="preserve"> </v>
      </c>
      <c r="AE7" s="26" t="str">
        <f t="shared" si="7"/>
        <v xml:space="preserve"> </v>
      </c>
      <c r="AF7" s="27" t="str">
        <f t="shared" si="8"/>
        <v xml:space="preserve"> </v>
      </c>
      <c r="AG7" s="178" t="str">
        <f t="shared" si="9"/>
        <v xml:space="preserve"> </v>
      </c>
      <c r="AH7" s="177" t="str">
        <f t="shared" si="10"/>
        <v xml:space="preserve"> </v>
      </c>
      <c r="AI7" s="177" t="str">
        <f t="shared" si="11"/>
        <v xml:space="preserve"> </v>
      </c>
      <c r="AJ7" s="180" t="str">
        <f t="shared" si="12"/>
        <v xml:space="preserve"> </v>
      </c>
      <c r="AK7" s="178" t="str">
        <f t="shared" si="13"/>
        <v xml:space="preserve"> </v>
      </c>
      <c r="AL7" s="177" t="str">
        <f t="shared" si="14"/>
        <v xml:space="preserve"> </v>
      </c>
      <c r="AM7" s="177" t="str">
        <f t="shared" si="15"/>
        <v xml:space="preserve"> </v>
      </c>
      <c r="AN7" s="179" t="str">
        <f t="shared" si="16"/>
        <v xml:space="preserve"> </v>
      </c>
    </row>
    <row r="8" spans="1:79" ht="18.75" customHeight="1" thickBot="1" x14ac:dyDescent="0.4">
      <c r="A8" s="374"/>
      <c r="B8" s="162" t="str">
        <f>Mon!B8</f>
        <v>F+ECOM</v>
      </c>
      <c r="C8" s="3" t="s">
        <v>37</v>
      </c>
      <c r="D8" s="76"/>
      <c r="E8" s="6" t="str">
        <f>IF(F8=$G$100,$H$100,IF(F8=$G$101,$H$101,IF(F8=$G$102,$H$102,IF(F8=$G$103,$H$103,IF(F8=$G$104,$H$104,IF(F8=$G$105,$H$105,IF(F8=$G$106,$H$106,IF(F8=$G$107,$H$107,"Training"))))))))</f>
        <v>AA</v>
      </c>
      <c r="F8" s="7" t="s">
        <v>45</v>
      </c>
      <c r="G8" s="6" t="str">
        <f>IF(H8=$G$100,$H$100,IF(H8=$G$101,$H$101,IF(H8=$G$102,$H$102,IF(H8=$G$103,$H$103,IF(H8=$G$104,$H$104,IF(H8=$G$105,$H$105,IF(H8=$G$106,$H$106,IF(H8=$G$107,$H$107,"Training"))))))))</f>
        <v>FMS</v>
      </c>
      <c r="H8" s="7" t="s">
        <v>43</v>
      </c>
      <c r="I8" s="375"/>
      <c r="J8" s="375"/>
      <c r="K8" s="6" t="str">
        <f>IF(L8=$G$100,$H$100,IF(L8=$G$101,$H$101,IF(L8=$G$102,$H$102,IF(L8=$G$103,$H$103,IF(L8=$G$104,$H$104,IF(L8=$G$105,$H$105,IF(L8=$G$106,$H$106,IF(L8=$G$107,$H$107,"Training"))))))))</f>
        <v>IT</v>
      </c>
      <c r="L8" s="7" t="s">
        <v>50</v>
      </c>
      <c r="M8" s="6" t="str">
        <f>IF(N8=$G$100,$H$100,IF(N8=$G$101,$H$101,IF(N8=$G$102,$H$102,IF(N8=$G$103,$H$103,IF(N8=$G$104,$H$104,IF(N8=$G$105,$H$105,IF(N8=$G$106,$H$106,IF(N8=$G$107,$H$107,"Training"))))))))</f>
        <v>MA</v>
      </c>
      <c r="N8" s="11" t="s">
        <v>60</v>
      </c>
      <c r="O8" s="71" t="str">
        <f t="shared" si="17"/>
        <v>.</v>
      </c>
      <c r="P8" s="13"/>
      <c r="Q8" s="331"/>
      <c r="R8" s="29"/>
      <c r="S8" s="331"/>
      <c r="U8" s="165" t="str">
        <f>Mon!U8</f>
        <v>(AS)</v>
      </c>
      <c r="V8" s="9">
        <f t="shared" si="4"/>
        <v>2</v>
      </c>
      <c r="W8" s="36">
        <f>SUM(Mon!V8,Tue!V8,Wed!V8)</f>
        <v>9</v>
      </c>
      <c r="X8" s="165" t="str">
        <f>Mon!U8</f>
        <v>(AS)</v>
      </c>
      <c r="Y8" s="20">
        <f t="shared" si="0"/>
        <v>1</v>
      </c>
      <c r="Z8" s="21">
        <f t="shared" si="1"/>
        <v>0</v>
      </c>
      <c r="AA8" s="21">
        <f t="shared" si="2"/>
        <v>1</v>
      </c>
      <c r="AB8" s="22">
        <f t="shared" si="3"/>
        <v>0</v>
      </c>
      <c r="AC8" s="25" t="str">
        <f t="shared" si="5"/>
        <v xml:space="preserve"> </v>
      </c>
      <c r="AD8" s="26" t="str">
        <f t="shared" si="6"/>
        <v xml:space="preserve"> </v>
      </c>
      <c r="AE8" s="26" t="str">
        <f t="shared" si="7"/>
        <v xml:space="preserve"> </v>
      </c>
      <c r="AF8" s="27" t="str">
        <f t="shared" si="8"/>
        <v xml:space="preserve"> </v>
      </c>
      <c r="AG8" s="178" t="str">
        <f t="shared" si="9"/>
        <v>HR (J)</v>
      </c>
      <c r="AH8" s="177" t="str">
        <f t="shared" si="10"/>
        <v xml:space="preserve"> </v>
      </c>
      <c r="AI8" s="177" t="str">
        <f t="shared" si="11"/>
        <v xml:space="preserve"> </v>
      </c>
      <c r="AJ8" s="180" t="str">
        <f t="shared" si="12"/>
        <v xml:space="preserve"> </v>
      </c>
      <c r="AK8" s="178" t="str">
        <f t="shared" si="13"/>
        <v xml:space="preserve"> </v>
      </c>
      <c r="AL8" s="177" t="str">
        <f t="shared" si="14"/>
        <v xml:space="preserve"> </v>
      </c>
      <c r="AM8" s="177" t="str">
        <f t="shared" si="15"/>
        <v>BM (A)</v>
      </c>
      <c r="AN8" s="179" t="str">
        <f t="shared" si="16"/>
        <v xml:space="preserve"> </v>
      </c>
    </row>
    <row r="9" spans="1:79" ht="18.75" customHeight="1" thickBot="1" x14ac:dyDescent="0.4">
      <c r="A9" s="374"/>
      <c r="B9" s="162" t="str">
        <f>Mon!B9</f>
        <v>F+ECOM</v>
      </c>
      <c r="C9" s="3" t="s">
        <v>38</v>
      </c>
      <c r="D9" s="76"/>
      <c r="E9" s="6" t="str">
        <f>IF(F9=$I$100,$J$100,IF(F9=$I$101,$J$101,IF(F9=$I$102,$J$102,IF(F9=$I$103,$J$103,IF(F9=$I$104,$J$104,IF(F9=$I$105,$J$105,IF(F9=$I$106,$J$106,IF(F9=$I$107,$J$107,"Training"))))))))</f>
        <v>MA</v>
      </c>
      <c r="F9" s="7" t="s">
        <v>42</v>
      </c>
      <c r="G9" s="6" t="str">
        <f>IF(H9=$I$100,$J$100,IF(H9=$I$101,$J$101,IF(H9=$I$102,$J$102,IF(H9=$I$103,$J$103,IF(H9=$I$104,$J$104,IF(H9=$I$105,$J$105,IF(H9=$I$106,$J$106,IF(H9=$I$107,$J$107,"Training"))))))))</f>
        <v>IT</v>
      </c>
      <c r="H9" s="7" t="s">
        <v>47</v>
      </c>
      <c r="I9" s="375"/>
      <c r="J9" s="375"/>
      <c r="K9" s="6" t="str">
        <f>IF(L9=$I$100,$J$100,IF(L9=$I$101,$J$101,IF(L9=$I$102,$J$102,IF(L9=$I$103,$J$103,IF(L9=$I$104,$J$104,IF(L9=$I$105,$J$105,IF(L9=$I$106,$J$106,IF(L9=$I$107,$J$107,"Training"))))))))</f>
        <v>AA</v>
      </c>
      <c r="L9" s="7" t="s">
        <v>45</v>
      </c>
      <c r="M9" s="6" t="str">
        <f>IF(N9=$I$100,$J$100,IF(N9=$I$101,$J$101,IF(N9=$I$102,$J$102,IF(N9=$I$103,$J$103,IF(N9=$I$104,$J$104,IF(N9=$I$105,$J$105,IF(N9=$I$106,$J$106,IF(N9=$I$107,$J$107,"Training"))))))))</f>
        <v>IB</v>
      </c>
      <c r="N9" s="11" t="s">
        <v>63</v>
      </c>
      <c r="O9" s="72" t="str">
        <f t="shared" si="17"/>
        <v>.</v>
      </c>
      <c r="P9" s="14"/>
      <c r="Q9" s="331"/>
      <c r="R9" s="29"/>
      <c r="S9" s="331"/>
      <c r="T9" s="87"/>
      <c r="U9" s="165" t="str">
        <f>Mon!U9</f>
        <v>(AV)</v>
      </c>
      <c r="V9" s="9">
        <f t="shared" si="4"/>
        <v>3</v>
      </c>
      <c r="W9" s="36">
        <f>SUM(Mon!V9,Tue!V9,Wed!V9)</f>
        <v>9</v>
      </c>
      <c r="X9" s="165" t="str">
        <f>Mon!U9</f>
        <v>(AV)</v>
      </c>
      <c r="Y9" s="20">
        <f t="shared" si="0"/>
        <v>1</v>
      </c>
      <c r="Z9" s="21">
        <f t="shared" si="1"/>
        <v>1</v>
      </c>
      <c r="AA9" s="21">
        <f t="shared" si="2"/>
        <v>1</v>
      </c>
      <c r="AB9" s="22">
        <f t="shared" si="3"/>
        <v>0</v>
      </c>
      <c r="AC9" s="116" t="str">
        <f>CONCATENATE(IF($U9=$F$5,$E$5,IF($U9=$F$6,$E$6,IF($U9=$F$7,$E$7,IF($U9=$F$8,$E$8,IF($U9=$F$9,$E$9,IF($U9=$F$10,$E$10,IF($U9=$F$11,$E$11,IF($U9=$F$12,$E$12,IF($U9=$F$13,$E$13,IF($U9=$F$14,$E$14,IF($U9=$F$15,$E$15,IF($U9=$F$16,$E$16,IF($T$9=$F$10,$E$10,""))))))))))))))&amp;" "&amp;IF($U9=$F$5,"(A)",IF($U9=$F$6,"(B)",IF($U9=$F$7,"(C)",IF($U9=$F$8,"(D)",IF($U9=$F$9,"(E)",IF($U9=$F$10,"(F)",IF($U9=$F$11,"(G)",IF($U9=$F$12,"(H)",IF($U9=$F$13,"(I)",IF($U9=$F$14,"(J)",IF($U9=$F$15,"(K)",IF($U9=$F$16,"(L)",IF($T$9=$F$10,"(F)","")))))))))))))</f>
        <v>IB (A)</v>
      </c>
      <c r="AD9" s="117" t="str">
        <f>CONCATENATE(IF($U9=$H$5,$G$5,IF($U9=$H$6,$G$6,IF($U9=$H$7,$G$7,IF($U9=$H$8,$G$8,IF($U9=$H$9,$G$9,IF($U9=$H$10,$G$10,IF($U9=$H$11,$G$11,IF($U9=$H$12,$G$12,IF($U9=$H$13,$G$13,IF($U9=$H$14,$G$14,IF($U9=$H$15,$G$15,IF($U9=$H$16,$G$16,IF($T$9=$H$10,$G$10,"")))))))))))))&amp;" "&amp;IF($U9=$H$5,"(A)",IF($U9=$H$6,"(B)",IF($U9=$H$7,"(C)",IF($U9=$H$8,"(D)",IF($U9=$H$9,"(E)",IF($U9=$H$10,"(F)",IF($U9=$H$11,"(G)",IF($U9=$H$12,"(H)",IF($U9=$H$13,"(I)",IF($U9=$H$14,"(J)",IF($U9=$H$15,"(K)",IF($U9=$H$16,"(L)",IF($T$9=$H$10,"(F)",""))))))))))))))</f>
        <v>IB (L)</v>
      </c>
      <c r="AE9" s="117" t="str">
        <f>CONCATENATE(IF($U9=$L$5,$K$5,IF($U9=$L$6,$K$6,IF($U9=$L$7,$K$7,IF($U9=$L$8,$K$8,IF($U9=$L$9,$K$9,IF($U9=$L$10,$K$10,IF($U9=$L$11,$K$11,IF($U9=$L$12,$K$12,IF($U9=$L$13,$K$13,IF($U9=$L$14,$K$14,IF($U9=$L$15,$K$15,IF($U9=$L$16,$K$16,IF($T$9=$L$10,$K$10,""))))))))))))&amp;" "&amp;IF($U9=$L$5,"(A)",IF($U9=$L$6,"(B)",IF($U9=$L$7,"(C)",IF($U9=$L$8,"(D)",IF($U9=$L$9,"(E)",IF($U9=$L$10,"(F)",IF($U9=$L$11,"(G)",IF($U9=$L$12,"(H)",IF($U9=$L$13,"(I)",IF($U9=$L$14,"(J)",IF($U9=$L$15,"(K)",IF($U9=$L$16,"(L)",IF($T$9=$L$10,"(F)","")))))))))))))))</f>
        <v>MIP (J)</v>
      </c>
      <c r="AF9" s="118" t="str">
        <f>CONCATENATE(IF($U9=$N$5,$M$5,IF($U9=$N$6,$M$6,IF($U9=$N$7,$M$7,IF($U9=$N$8,$M$8,IF($U9=$N$9,$M$9,IF($U9=$N$10,$M$10,IF($U9=$N$11,$M$11,IF($U9=$N$12,$M$12,IF($U9=$N$13,$M$13,IF($U9=$N$14,$M$14,IF($U9=$N$15,$M$15,IF($U9=$N$16,$M$16,IF($T$9=$N$10,$M$10,"")))))))))))))&amp;" "&amp;(IF($U9=$N$5,"(A)",IF($U9=$N$6,"(B)",IF($U9=$N$7,"(C)",IF($U9=$N$8,"(D)",IF($U9=$N$9,"(E)",IF($U9=$N$10,"(F)",IF($U9=$N$11,"(G)",IF($U9=$N$12,"(H)",IF($U9=$N$13,"(I)",IF($U9=$N$14,"(J)",IF($U9=$N$15,"(K)",IF($U9=$N$16,"(L)",IF($T$9=$N$10,"(F)","")))))))))))))))</f>
        <v xml:space="preserve"> </v>
      </c>
      <c r="AG9" s="178" t="str">
        <f t="shared" si="9"/>
        <v xml:space="preserve"> </v>
      </c>
      <c r="AH9" s="177" t="str">
        <f t="shared" si="10"/>
        <v xml:space="preserve"> </v>
      </c>
      <c r="AI9" s="177" t="str">
        <f t="shared" si="11"/>
        <v xml:space="preserve"> </v>
      </c>
      <c r="AJ9" s="180" t="str">
        <f t="shared" si="12"/>
        <v xml:space="preserve"> </v>
      </c>
      <c r="AK9" s="178" t="str">
        <f t="shared" si="13"/>
        <v xml:space="preserve"> </v>
      </c>
      <c r="AL9" s="177" t="str">
        <f t="shared" si="14"/>
        <v xml:space="preserve"> </v>
      </c>
      <c r="AM9" s="177" t="str">
        <f t="shared" si="15"/>
        <v xml:space="preserve"> </v>
      </c>
      <c r="AN9" s="179" t="str">
        <f t="shared" si="16"/>
        <v xml:space="preserve"> </v>
      </c>
    </row>
    <row r="10" spans="1:79" ht="18.75" customHeight="1" thickBot="1" x14ac:dyDescent="0.4">
      <c r="A10" s="374"/>
      <c r="B10" s="162" t="str">
        <f>Mon!B10</f>
        <v>F+PR</v>
      </c>
      <c r="C10" s="3" t="s">
        <v>65</v>
      </c>
      <c r="D10" s="76"/>
      <c r="E10" s="6" t="str">
        <f>IF(F10=$K$100,$L$100,IF(F10=$K$101,$L$101,IF(F10=$K$102,$L$102,IF(F10=$K$103,$L$103,IF(F10=$K$104,$L$104,IF(F10=$K$105,$L$105,IF(F10=$K$106,$L$106,IF(F10=$K$107,$L$107,"Training"))))))))</f>
        <v>PR</v>
      </c>
      <c r="F10" s="7" t="s">
        <v>82</v>
      </c>
      <c r="G10" s="6" t="str">
        <f>IF(H10=$K$100,$L$100,IF(H10=$K$101,$L$101,IF(H10=$K$102,$L$102,IF(H10=$K$103,$L$103,IF(H10=$K$104,$L$104,IF(H10=$K$105,$L$105,IF(H10=$K$106,$L$106,IF(H10=$K$107,$L$107,"Training"))))))))</f>
        <v>IB</v>
      </c>
      <c r="H10" s="7" t="s">
        <v>103</v>
      </c>
      <c r="I10" s="375"/>
      <c r="J10" s="375"/>
      <c r="K10" s="6" t="str">
        <f>IF(L10=$K$100,$L$100,IF(L10=$K$101,$L$101,IF(L10=$K$102,$L$102,IF(L10=$K$103,$L$103,IF(L10=$K$104,$L$104,IF(L10=$K$105,$L$105,IF(L10=$K$106,$L$106,IF(L10=$K$107,$L$107,"Training"))))))))</f>
        <v>IT</v>
      </c>
      <c r="L10" s="7" t="s">
        <v>52</v>
      </c>
      <c r="M10" s="6" t="str">
        <f>IF(N10=$K$100,$L$100,IF(N10=$K$101,$L$101,IF(N10=$K$102,$L$102,IF(N10=$K$103,$L$103,IF(N10=$K$104,$L$104,IF(N10=$K$105,$L$105,IF(N10=$K$106,$L$106,IF(N10=$K$107,$L$107,"Training"))))))))</f>
        <v>FMS</v>
      </c>
      <c r="N10" s="11" t="s">
        <v>66</v>
      </c>
      <c r="O10" s="123" t="s">
        <v>67</v>
      </c>
      <c r="P10" s="32" t="s">
        <v>67</v>
      </c>
      <c r="Q10" s="331"/>
      <c r="R10" s="29"/>
      <c r="S10" s="331"/>
      <c r="U10" s="165" t="str">
        <f>Mon!U10</f>
        <v>(AW)</v>
      </c>
      <c r="V10" s="9">
        <f t="shared" si="4"/>
        <v>3</v>
      </c>
      <c r="W10" s="36">
        <f>SUM(Mon!V10,Tue!V10,Wed!V10)</f>
        <v>9</v>
      </c>
      <c r="X10" s="165" t="str">
        <f>Mon!U10</f>
        <v>(AW)</v>
      </c>
      <c r="Y10" s="20">
        <f t="shared" si="0"/>
        <v>1</v>
      </c>
      <c r="Z10" s="21">
        <f t="shared" si="1"/>
        <v>0</v>
      </c>
      <c r="AA10" s="21">
        <f t="shared" si="2"/>
        <v>2</v>
      </c>
      <c r="AB10" s="22">
        <f t="shared" si="3"/>
        <v>0</v>
      </c>
      <c r="AC10" s="25" t="str">
        <f>CONCATENATE(IF($U10=$F$5,$E$5,IF($U10=$F$6,$E$6,IF($U10=$F$7,$E$7,IF($U10=$F$8,$E$8,IF($U10=$F$9,$E$9,IF($U10=$F$10,$E$10,IF($U10=$F$11,$E$11,IF($U10=$F$12,$E$12,IF($U10=$F$13,$E$13,IF($U10=$F$14,$E$14,IF($U10=$F$15,$E$15,IF($U10=$F$16,$E$16,IF($U10=$F$17,$E$17,"")))))))))))))&amp;" "&amp;IF($U10=$F$5,"(A)",IF($U10=$F$6,"(B)",IF($U10=$F$7,"(C)",IF($U10=$F$8,"(D)",IF($U10=$F$9,"(E)",IF($U10=$F$10,"(F)",IF($U10=$F$11,"(G)",IF($U10=$F$12,"(H)",IF($U10=$F$13,"(I)",IF($U10=$F$14,"(J)",IF($U10=$F$15,"(K)",IF($U10=$F$16,"(L)",IF($U10=$F$17,"(L)",""))))))))))))))</f>
        <v xml:space="preserve"> </v>
      </c>
      <c r="AD10" s="26" t="str">
        <f>CONCATENATE(IF($U10=$H$5,$G$5,IF($U10=$H$6,$G$6,IF($U10=$H$7,$G$7,IF($U10=$H$8,$G$8,IF($U10=$H$9,$G$9,IF($U10=$H$10,$G$10,IF($U10=$H$11,$G$11,IF($U10=$H$12,$G$12,IF($U10=$H$13,$G$13,IF($U10=$H$14,$G$14,IF($U10=$H$15,$G$15,IF($U10=$H$16,$G$16,IF($U10=$H$17,$G$17,"")))))))))))))&amp;" "&amp;IF($U10=$H$5,"(A)",IF($U10=$H$6,"(B)",IF($U10=$H$7,"(C)",IF($U10=$H$8,"(D)",IF($U10=$H$9,"(E)",IF($U10=$H$10,"(F)",IF($U10=$H$11,"(G)",IF($U10=$H$12,"(H)",IF($U10=$H$13,"(I)",IF($U10=$H$14,"(J)",IF($U10=$H$15,"(K)",IF($U10=$H$16,"(L)",IF($U10=$H$17,"(L)",""))))))))))))))</f>
        <v xml:space="preserve"> </v>
      </c>
      <c r="AE10" s="26" t="str">
        <f>CONCATENATE(IF($U10=$L$5,$K$5,IF($U10=$L$6,$K$6,IF($U10=$L$7,$K$7,IF($U10=$L$8,$K$8,IF($U10=$L$9,$K$9,IF($U10=$L$10,$K$10,IF($U10=$L$11,$K$11,IF($U10=$L$12,$K$12,IF($U10=$L$13,$K$13,IF($U10=$L$14,$K$14,IF($U10=$L$15,$K$15,IF($U10=$L$16,$K$16,IF($U10=$L$17,$K$17,"")))))))))))))&amp;" "&amp;IF($U10=$L$5,"(A)",IF($U10=$L$6,"(B)",IF($U10=$L$7,"(C)",IF($U10=$L$8,"(D)",IF($U10=$L$9,"(E)",IF($U10=$L$10,"(F)",IF($U10=$L$11,"(G)",IF($U10=$L$12,"(H)",IF($U10=$L$13,"(I)",IF($U10=$L$14,"(J)",IF($U10=$L$15,"(K)",IF($U10=$L$16,"(L)",IF($U10=$L$17,"(L)",""))))))))))))))</f>
        <v>ECOM (A)</v>
      </c>
      <c r="AF10" s="27" t="str">
        <f>CONCATENATE(IF($U10=$N$5,$M$5,IF($U10=$N$6,$M$6,IF($U10=$N$7,$M$7,IF($U10=$N$8,$M$8,IF($U10=$N$9,$M$9,IF($U10=$N$10,$M$10,IF($U10=$N$11,$M$11,IF($U10=$N$12,$M$12,IF($U10=$N$13,$M$13,IF($U10=$N$14,$M$14,IF($U10=$N$15,$M$15,IF($U10=$N$16,$M$16,IF($U10=$N$17,$M$17,"")))))))))))))&amp;" "&amp;(IF($U10=$N$5,"(A)",IF($U10=$N$6,"(B)",IF($U10=$N$7,"(C)",IF($U10=$N$8,"(D)",IF($U10=$N$9,"(E)",IF($U10=$N$10,"(F)",IF($U10=$N$11,"(G)",IF($U10=$N$12,"(H)",IF($U10=$N$13,"(I)",IF($U10=$N$14,"(J)",IF($U10=$N$15,"(K)",IF($U10=$N$16,"(L)",IF($U10=$N$17,"(L)","")))))))))))))))</f>
        <v xml:space="preserve"> </v>
      </c>
      <c r="AG10" s="178" t="str">
        <f t="shared" si="9"/>
        <v xml:space="preserve"> </v>
      </c>
      <c r="AH10" s="177" t="str">
        <f t="shared" si="10"/>
        <v xml:space="preserve"> </v>
      </c>
      <c r="AI10" s="177" t="str">
        <f t="shared" si="11"/>
        <v xml:space="preserve"> </v>
      </c>
      <c r="AJ10" s="180" t="str">
        <f t="shared" si="12"/>
        <v xml:space="preserve"> </v>
      </c>
      <c r="AK10" s="178" t="str">
        <f t="shared" si="13"/>
        <v>BT (H)</v>
      </c>
      <c r="AL10" s="177" t="str">
        <f t="shared" si="14"/>
        <v xml:space="preserve"> </v>
      </c>
      <c r="AM10" s="177" t="str">
        <f t="shared" si="15"/>
        <v>BT (K)</v>
      </c>
      <c r="AN10" s="179" t="str">
        <f t="shared" si="16"/>
        <v xml:space="preserve"> </v>
      </c>
    </row>
    <row r="11" spans="1:79" ht="18.75" customHeight="1" thickBot="1" x14ac:dyDescent="0.4">
      <c r="A11" s="374"/>
      <c r="B11" s="19" t="str">
        <f>Mon!B11</f>
        <v>MKG+ECOM</v>
      </c>
      <c r="C11" s="98" t="s">
        <v>69</v>
      </c>
      <c r="D11" s="76"/>
      <c r="E11" s="6" t="str">
        <f>IF(F11=$M$100,$N$100,IF(F11=$M$101,$N$101,IF(F11=$M$102,$N$102,IF(F11=$M$103,$N$103,IF(F11=$M$104,$N$104,IF(F11=$M$105,$N$105,IF(F11=$M$106,$N$106,IF(F11=$M$107,$N$107,"Training"))))))))</f>
        <v>MIP</v>
      </c>
      <c r="F11" s="7" t="s">
        <v>62</v>
      </c>
      <c r="G11" s="6" t="str">
        <f>IF(H11=$M$100,$N$100,IF(H11=$M$101,$N$101,IF(H11=$M$102,$N$102,IF(H11=$M$103,$N$103,IF(H11=$M$104,$N$104,IF(H11=$M$105,$N$105,IF(H11=$M$106,$N$106,IF(H11=$M$107,$N$107,"Training"))))))))</f>
        <v>IT</v>
      </c>
      <c r="H11" s="7" t="s">
        <v>52</v>
      </c>
      <c r="I11" s="375"/>
      <c r="J11" s="375"/>
      <c r="K11" s="6" t="str">
        <f>IF(L11=$M$100,$N$100,IF(L11=$M$101,$N$101,IF(L11=$M$102,$N$102,IF(L11=$M$103,$N$103,IF(L11=$M$104,$N$104,IF(L11=$M$105,$N$105,IF(L11=$M$106,$N$106,IF(L11=$M$107,$N$107,"Training"))))))))</f>
        <v>MA</v>
      </c>
      <c r="L11" s="7" t="s">
        <v>66</v>
      </c>
      <c r="M11" s="6" t="str">
        <f>IF(N11=$M$100,$N$100,IF(N11=$M$101,$N$101,IF(N11=$M$102,$N$102,IF(N11=$M$103,$N$103,IF(N11=$M$104,$N$104,IF(N11=$M$105,$N$105,IF(N11=$M$106,$N$106,IF(N11=$M$107,$N$107,"Training"))))))))</f>
        <v>RM</v>
      </c>
      <c r="N11" s="11" t="s">
        <v>73</v>
      </c>
      <c r="O11" s="70" t="str">
        <f>IF(P11="",".",P11)</f>
        <v>.</v>
      </c>
      <c r="P11" s="12"/>
      <c r="Q11" s="331"/>
      <c r="R11" s="29"/>
      <c r="S11" s="331"/>
      <c r="U11" s="165" t="str">
        <f>Mon!U11</f>
        <v>(BB)</v>
      </c>
      <c r="V11" s="9">
        <f t="shared" si="4"/>
        <v>3</v>
      </c>
      <c r="W11" s="36">
        <f>SUM(Mon!V11,Tue!V11,Wed!V11)</f>
        <v>10</v>
      </c>
      <c r="X11" s="165" t="str">
        <f>Mon!U11</f>
        <v>(BB)</v>
      </c>
      <c r="Y11" s="20">
        <f t="shared" si="0"/>
        <v>1</v>
      </c>
      <c r="Z11" s="21">
        <f t="shared" si="1"/>
        <v>1</v>
      </c>
      <c r="AA11" s="21">
        <f t="shared" si="2"/>
        <v>0</v>
      </c>
      <c r="AB11" s="22">
        <f t="shared" si="3"/>
        <v>1</v>
      </c>
      <c r="AC11" s="25" t="str">
        <f t="shared" ref="AC11:AC62" si="18">CONCATENATE(IF($U11=$F$5,$E$5,IF($U11=$F$6,$E$6,IF($U11=$F$7,$E$7,IF($U11=$F$8,$E$8,IF($U11=$F$9,$E$9,IF($U11=$F$10,$E$10,IF($U11=$F$11,$E$11,IF($U11=$F$12,$E$12,IF($U11=$F$13,$E$13,IF($U11=$F$14,$E$14,IF($U11=$F$15,$E$15,IF($U11=$F$16,$E$16,IF($U11=$F$17,$E$17,"")))))))))))))&amp;" "&amp;IF($U11=$F$5,"(A)",IF($U11=$F$6,"(B)",IF($U11=$F$7,"(C)",IF($U11=$F$8,"(D)",IF($U11=$F$9,"(E)",IF($U11=$F$10,"(F)",IF($U11=$F$11,"(G)",IF($U11=$F$12,"(H)",IF($U11=$F$13,"(I)",IF($U11=$F$14,"(J)",IF($U11=$F$15,"(K)",IF($U11=$F$16,"(L)",IF($U11=$F$17,"(L)",""))))))))))))))</f>
        <v xml:space="preserve"> </v>
      </c>
      <c r="AD11" s="26" t="str">
        <f t="shared" ref="AD11:AD62" si="19">CONCATENATE(IF($U11=$H$5,$G$5,IF($U11=$H$6,$G$6,IF($U11=$H$7,$G$7,IF($U11=$H$8,$G$8,IF($U11=$H$9,$G$9,IF($U11=$H$10,$G$10,IF($U11=$H$11,$G$11,IF($U11=$H$12,$G$12,IF($U11=$H$13,$G$13,IF($U11=$H$14,$G$14,IF($U11=$H$15,$G$15,IF($U11=$H$16,$G$16,IF($U11=$H$17,$G$17,"")))))))))))))&amp;" "&amp;IF($U11=$H$5,"(A)",IF($U11=$H$6,"(B)",IF($U11=$H$7,"(C)",IF($U11=$H$8,"(D)",IF($U11=$H$9,"(E)",IF($U11=$H$10,"(F)",IF($U11=$H$11,"(G)",IF($U11=$H$12,"(H)",IF($U11=$H$13,"(I)",IF($U11=$H$14,"(J)",IF($U11=$H$15,"(K)",IF($U11=$H$16,"(L)",IF($U11=$H$17,"(L)",""))))))))))))))</f>
        <v xml:space="preserve"> </v>
      </c>
      <c r="AE11" s="26" t="str">
        <f t="shared" ref="AE11:AE62" si="20">CONCATENATE(IF($U11=$L$5,$K$5,IF($U11=$L$6,$K$6,IF($U11=$L$7,$K$7,IF($U11=$L$8,$K$8,IF($U11=$L$9,$K$9,IF($U11=$L$10,$K$10,IF($U11=$L$11,$K$11,IF($U11=$L$12,$K$12,IF($U11=$L$13,$K$13,IF($U11=$L$14,$K$14,IF($U11=$L$15,$K$15,IF($U11=$L$16,$K$16,IF($U11=$L$17,$K$17,"")))))))))))))&amp;" "&amp;IF($U11=$L$5,"(A)",IF($U11=$L$6,"(B)",IF($U11=$L$7,"(C)",IF($U11=$L$8,"(D)",IF($U11=$L$9,"(E)",IF($U11=$L$10,"(F)",IF($U11=$L$11,"(G)",IF($U11=$L$12,"(H)",IF($U11=$L$13,"(I)",IF($U11=$L$14,"(J)",IF($U11=$L$15,"(K)",IF($U11=$L$16,"(L)",IF($U11=$L$17,"(L)",""))))))))))))))</f>
        <v xml:space="preserve"> </v>
      </c>
      <c r="AF11" s="27" t="str">
        <f t="shared" ref="AF11:AF62" si="21">CONCATENATE(IF($U11=$N$5,$M$5,IF($U11=$N$6,$M$6,IF($U11=$N$7,$M$7,IF($U11=$N$8,$M$8,IF($U11=$N$9,$M$9,IF($U11=$N$10,$M$10,IF($U11=$N$11,$M$11,IF($U11=$N$12,$M$12,IF($U11=$N$13,$M$13,IF($U11=$N$14,$M$14,IF($U11=$N$15,$M$15,IF($U11=$N$16,$M$16,IF($U11=$N$17,$M$17,"")))))))))))))&amp;" "&amp;(IF($U11=$N$5,"(A)",IF($U11=$N$6,"(B)",IF($U11=$N$7,"(C)",IF($U11=$N$8,"(D)",IF($U11=$N$9,"(E)",IF($U11=$N$10,"(F)",IF($U11=$N$11,"(G)",IF($U11=$N$12,"(H)",IF($U11=$N$13,"(I)",IF($U11=$N$14,"(J)",IF($U11=$N$15,"(K)",IF($U11=$N$16,"(L)",IF($U11=$N$17,"(L)","")))))))))))))))</f>
        <v xml:space="preserve"> </v>
      </c>
      <c r="AG11" s="178" t="str">
        <f t="shared" si="9"/>
        <v xml:space="preserve"> </v>
      </c>
      <c r="AH11" s="177" t="str">
        <f t="shared" si="10"/>
        <v xml:space="preserve"> </v>
      </c>
      <c r="AI11" s="177" t="str">
        <f t="shared" si="11"/>
        <v xml:space="preserve"> </v>
      </c>
      <c r="AJ11" s="180" t="str">
        <f t="shared" si="12"/>
        <v xml:space="preserve"> </v>
      </c>
      <c r="AK11" s="178" t="str">
        <f t="shared" si="13"/>
        <v>QT (G)</v>
      </c>
      <c r="AL11" s="177" t="str">
        <f t="shared" si="14"/>
        <v>QT (C)</v>
      </c>
      <c r="AM11" s="177" t="str">
        <f t="shared" si="15"/>
        <v xml:space="preserve"> </v>
      </c>
      <c r="AN11" s="179" t="str">
        <f t="shared" si="16"/>
        <v>QT (B)</v>
      </c>
    </row>
    <row r="12" spans="1:79" ht="18.75" customHeight="1" thickBot="1" x14ac:dyDescent="0.4">
      <c r="A12" s="374"/>
      <c r="B12" s="19" t="str">
        <f>Mon!B12</f>
        <v>MKG+ECOM</v>
      </c>
      <c r="C12" s="98" t="s">
        <v>72</v>
      </c>
      <c r="D12" s="76"/>
      <c r="E12" s="6" t="str">
        <f>IF(F12=$O$100,$P$100,IF(F12=$O$101,$P$101,IF(F12=$O$102,$P$102,IF(F12=$O$103,$P$103,IF(F12=$O$104,$P$104,IF(F12=$O$105,$P$105,IF(F12=$O$106,$P$106,IF(F12=$O$107,$P$107,"Training"))))))))</f>
        <v>IB</v>
      </c>
      <c r="F12" s="7" t="s">
        <v>43</v>
      </c>
      <c r="G12" s="6" t="str">
        <f>IF(H12=$O$100,$P$100,IF(H12=$O$101,$P$101,IF(H12=$O$102,$P$102,IF(H12=$O$103,$P$103,IF(H12=$O$104,$P$104,IF(H12=$O$105,$P$105,IF(H12=$O$106,$P$106,IF(H12=$O$107,$P$107,"Training"))))))))</f>
        <v>CB</v>
      </c>
      <c r="H12" s="7" t="s">
        <v>74</v>
      </c>
      <c r="I12" s="375"/>
      <c r="J12" s="375"/>
      <c r="K12" s="6" t="str">
        <f>IF(L12=$O$100,$P$100,IF(L12=$O$101,$P$101,IF(L12=$O$102,$P$102,IF(L12=$O$103,$P$103,IF(L12=$O$104,$P$104,IF(L12=$O$105,$P$105,IF(L12=$O$106,$P$106,IF(L12=$O$107,$P$107,"Training"))))))))</f>
        <v>ECOM</v>
      </c>
      <c r="L12" s="7" t="s">
        <v>51</v>
      </c>
      <c r="M12" s="6" t="str">
        <f>IF(N12=$O$100,$P$100,IF(N12=$O$101,$P$101,IF(N12=$O$102,$P$102,IF(N12=$O$103,$P$103,IF(N12=$O$104,$P$104,IF(N12=$O$105,$P$105,IF(N12=$O$106,$P$106,IF(N12=$O$107,$P$107,"Training"))))))))</f>
        <v>IT</v>
      </c>
      <c r="N12" s="11" t="s">
        <v>50</v>
      </c>
      <c r="O12" s="71" t="str">
        <f t="shared" ref="O12:O18" si="22">IF(P12="",".",P12)</f>
        <v>.</v>
      </c>
      <c r="P12" s="13"/>
      <c r="Q12" s="331"/>
      <c r="R12" s="29"/>
      <c r="S12" s="331"/>
      <c r="U12" s="165" t="str">
        <f>Mon!U12</f>
        <v>(BD)</v>
      </c>
      <c r="V12" s="9">
        <f t="shared" si="4"/>
        <v>3</v>
      </c>
      <c r="W12" s="36">
        <f>SUM(Mon!V12,Tue!V12,Wed!V12)</f>
        <v>10</v>
      </c>
      <c r="X12" s="165" t="str">
        <f>Mon!U12</f>
        <v>(BD)</v>
      </c>
      <c r="Y12" s="20">
        <f t="shared" si="0"/>
        <v>2</v>
      </c>
      <c r="Z12" s="21">
        <f t="shared" si="1"/>
        <v>0</v>
      </c>
      <c r="AA12" s="21">
        <f t="shared" si="2"/>
        <v>1</v>
      </c>
      <c r="AB12" s="22">
        <f t="shared" si="3"/>
        <v>0</v>
      </c>
      <c r="AC12" s="25" t="str">
        <f t="shared" si="18"/>
        <v xml:space="preserve"> </v>
      </c>
      <c r="AD12" s="26" t="str">
        <f t="shared" si="19"/>
        <v xml:space="preserve"> </v>
      </c>
      <c r="AE12" s="26" t="str">
        <f t="shared" si="20"/>
        <v xml:space="preserve"> </v>
      </c>
      <c r="AF12" s="27" t="str">
        <f t="shared" si="21"/>
        <v xml:space="preserve"> </v>
      </c>
      <c r="AG12" s="178" t="str">
        <f t="shared" si="9"/>
        <v>HR (B)</v>
      </c>
      <c r="AH12" s="177" t="str">
        <f t="shared" si="10"/>
        <v xml:space="preserve"> </v>
      </c>
      <c r="AI12" s="177" t="str">
        <f t="shared" si="11"/>
        <v>HR (F)</v>
      </c>
      <c r="AJ12" s="180" t="str">
        <f t="shared" si="12"/>
        <v xml:space="preserve"> </v>
      </c>
      <c r="AK12" s="178" t="str">
        <f t="shared" si="13"/>
        <v>QT (J)</v>
      </c>
      <c r="AL12" s="177" t="str">
        <f t="shared" si="14"/>
        <v xml:space="preserve"> </v>
      </c>
      <c r="AM12" s="177" t="str">
        <f t="shared" si="15"/>
        <v xml:space="preserve"> </v>
      </c>
      <c r="AN12" s="179" t="str">
        <f t="shared" si="16"/>
        <v xml:space="preserve"> </v>
      </c>
    </row>
    <row r="13" spans="1:79" ht="18.75" customHeight="1" thickBot="1" x14ac:dyDescent="0.4">
      <c r="A13" s="374"/>
      <c r="B13" s="19" t="str">
        <f>Mon!B13</f>
        <v>MKG+ECOM</v>
      </c>
      <c r="C13" s="98" t="s">
        <v>76</v>
      </c>
      <c r="D13" s="76"/>
      <c r="E13" s="6" t="str">
        <f>IF(F13=$Q$100,$R$100,IF(F13=$Q$101,$R$101,IF(F13=$Q$102,$R$102,IF(F13=$Q$103,$R$103,IF(F13=$Q$104,$R$104,IF(F13=$Q$105,$R$105,IF(F13=$Q$106,$R$106,IF(F13=$Q$107,$R$107,"Training"))))))))</f>
        <v>MA</v>
      </c>
      <c r="F13" s="7" t="s">
        <v>66</v>
      </c>
      <c r="G13" s="6" t="str">
        <f>IF(H13=$Q$100,$R$100,IF(H13=$Q$101,$R$101,IF(H13=$Q$102,$R$102,IF(H13=$Q$103,$R$103,IF(H13=$Q$104,$R$104,IF(H13=$Q$105,$R$105,IF(H13=$Q$106,$R$106,IF(H13=$Q$107,$R$107,"Training"))))))))</f>
        <v>ECOM</v>
      </c>
      <c r="H13" s="7" t="s">
        <v>62</v>
      </c>
      <c r="I13" s="375"/>
      <c r="J13" s="375"/>
      <c r="K13" s="6" t="str">
        <f>IF(L13=$Q$100,$R$100,IF(L13=$Q$101,$R$101,IF(L13=$Q$102,$R$102,IF(L13=$Q$103,$R$103,IF(L13=$Q$104,$R$104,IF(L13=$Q$105,$R$105,IF(L13=$Q$106,$R$106,IF(L13=$Q$107,$R$107,"Training"))))))))</f>
        <v>RM</v>
      </c>
      <c r="L13" s="7" t="s">
        <v>47</v>
      </c>
      <c r="M13" s="6" t="str">
        <f>IF(N13=$Q$100,$R$100,IF(N13=$Q$101,$R$101,IF(N13=$Q$102,$R$102,IF(N13=$Q$103,$R$103,IF(N13=$Q$104,$R$104,IF(N13=$Q$105,$R$105,IF(N13=$Q$106,$R$106,IF(N13=$Q$107,$R$107,"Training"))))))))</f>
        <v>CB</v>
      </c>
      <c r="N13" s="11" t="s">
        <v>70</v>
      </c>
      <c r="O13" s="71" t="str">
        <f t="shared" si="22"/>
        <v>.</v>
      </c>
      <c r="P13" s="13"/>
      <c r="Q13" s="331"/>
      <c r="R13" s="29"/>
      <c r="S13" s="331"/>
      <c r="U13" s="165" t="str">
        <f>Mon!U13</f>
        <v>(CG)</v>
      </c>
      <c r="V13" s="9">
        <f t="shared" si="4"/>
        <v>2</v>
      </c>
      <c r="W13" s="36">
        <f>SUM(Mon!V13,Tue!V13,Wed!V13)</f>
        <v>10</v>
      </c>
      <c r="X13" s="165" t="str">
        <f>Mon!U13</f>
        <v>(CG)</v>
      </c>
      <c r="Y13" s="20">
        <f t="shared" si="0"/>
        <v>0</v>
      </c>
      <c r="Z13" s="21">
        <f t="shared" si="1"/>
        <v>1</v>
      </c>
      <c r="AA13" s="21">
        <f t="shared" si="2"/>
        <v>1</v>
      </c>
      <c r="AB13" s="22">
        <f t="shared" si="3"/>
        <v>0</v>
      </c>
      <c r="AC13" s="25" t="str">
        <f t="shared" si="18"/>
        <v xml:space="preserve"> </v>
      </c>
      <c r="AD13" s="26" t="str">
        <f t="shared" si="19"/>
        <v xml:space="preserve"> </v>
      </c>
      <c r="AE13" s="26" t="str">
        <f t="shared" si="20"/>
        <v xml:space="preserve"> </v>
      </c>
      <c r="AF13" s="27" t="str">
        <f t="shared" si="21"/>
        <v xml:space="preserve"> </v>
      </c>
      <c r="AG13" s="178" t="str">
        <f t="shared" si="9"/>
        <v xml:space="preserve"> </v>
      </c>
      <c r="AH13" s="177" t="str">
        <f t="shared" si="10"/>
        <v xml:space="preserve"> </v>
      </c>
      <c r="AI13" s="177" t="str">
        <f t="shared" si="11"/>
        <v xml:space="preserve"> </v>
      </c>
      <c r="AJ13" s="180" t="str">
        <f t="shared" si="12"/>
        <v xml:space="preserve"> </v>
      </c>
      <c r="AK13" s="178" t="str">
        <f t="shared" si="13"/>
        <v xml:space="preserve"> </v>
      </c>
      <c r="AL13" s="177" t="str">
        <f t="shared" si="14"/>
        <v xml:space="preserve"> </v>
      </c>
      <c r="AM13" s="177" t="str">
        <f t="shared" si="15"/>
        <v xml:space="preserve"> </v>
      </c>
      <c r="AN13" s="179" t="str">
        <f t="shared" si="16"/>
        <v xml:space="preserve"> </v>
      </c>
    </row>
    <row r="14" spans="1:79" ht="18.75" customHeight="1" thickBot="1" x14ac:dyDescent="0.4">
      <c r="A14" s="374"/>
      <c r="B14" s="19" t="str">
        <f>Mon!B14</f>
        <v>MKG+PR</v>
      </c>
      <c r="C14" s="98" t="s">
        <v>79</v>
      </c>
      <c r="D14" s="76"/>
      <c r="E14" s="6" t="str">
        <f>IF(F14=$S$100,$T$100,IF(F14=$S$101,$T$101,IF(F14=$S$102,$T$102,IF(F14=$S$103,$T$103,IF(F14=$S$104,$T$104,IF(F14=$S$105,$T$105,IF(F14=$S$106,$T$106,IF(F14=$S$107,$T$107,"Training"))))))))</f>
        <v>IB</v>
      </c>
      <c r="F14" s="7" t="s">
        <v>63</v>
      </c>
      <c r="G14" s="6" t="str">
        <f>IF(H14=$S$100,$T$100,IF(H14=$S$101,$T$101,IF(H14=$S$102,$T$102,IF(H14=$S$103,$T$103,IF(H14=$S$104,$T$104,IF(H14=$S$105,$T$105,IF(H14=$S$106,$T$106,IF(H14=$S$107,$T$107,"Training"))))))))</f>
        <v>RM</v>
      </c>
      <c r="H14" s="7" t="s">
        <v>73</v>
      </c>
      <c r="I14" s="375"/>
      <c r="J14" s="375"/>
      <c r="K14" s="6" t="str">
        <f>IF(L14=$S$100,$T$100,IF(L14=$S$101,$T$101,IF(L14=$S$102,$T$102,IF(L14=$S$103,$T$103,IF(L14=$S$104,$T$104,IF(L14=$S$105,$T$105,IF(L14=$S$106,$T$106,IF(L14=$S$107,$T$107,"Training"))))))))</f>
        <v>MIP</v>
      </c>
      <c r="L14" s="7" t="s">
        <v>46</v>
      </c>
      <c r="M14" s="6" t="str">
        <f>IF(N14=$S$100,$T$100,IF(N14=$S$101,$T$101,IF(N14=$S$102,$T$102,IF(N14=$S$103,$T$103,IF(N14=$S$104,$T$104,IF(N14=$S$105,$T$105,IF(N14=$S$106,$T$106,IF(N14=$S$107,$T$107,"Training"))))))))</f>
        <v>PR</v>
      </c>
      <c r="N14" s="11" t="s">
        <v>51</v>
      </c>
      <c r="O14" s="71" t="str">
        <f t="shared" si="22"/>
        <v>.</v>
      </c>
      <c r="P14" s="13"/>
      <c r="Q14" s="331"/>
      <c r="R14" s="29"/>
      <c r="S14" s="331"/>
      <c r="U14" s="165" t="str">
        <f>Mon!U14</f>
        <v>(DT)</v>
      </c>
      <c r="V14" s="9">
        <f t="shared" si="4"/>
        <v>3</v>
      </c>
      <c r="W14" s="36">
        <f>SUM(Mon!V14,Tue!V14,Wed!V14)</f>
        <v>9</v>
      </c>
      <c r="X14" s="165" t="str">
        <f>Mon!U14</f>
        <v>(DT)</v>
      </c>
      <c r="Y14" s="20">
        <f t="shared" si="0"/>
        <v>1</v>
      </c>
      <c r="Z14" s="21">
        <f t="shared" si="1"/>
        <v>1</v>
      </c>
      <c r="AA14" s="21">
        <f t="shared" si="2"/>
        <v>1</v>
      </c>
      <c r="AB14" s="22">
        <f t="shared" si="3"/>
        <v>0</v>
      </c>
      <c r="AC14" s="25" t="str">
        <f t="shared" si="18"/>
        <v>MIP (G)</v>
      </c>
      <c r="AD14" s="26" t="str">
        <f t="shared" si="19"/>
        <v>ECOM (I)</v>
      </c>
      <c r="AE14" s="26" t="str">
        <f t="shared" si="20"/>
        <v>MIP (K)</v>
      </c>
      <c r="AF14" s="27" t="str">
        <f t="shared" si="21"/>
        <v xml:space="preserve"> </v>
      </c>
      <c r="AG14" s="178" t="str">
        <f t="shared" si="9"/>
        <v xml:space="preserve"> </v>
      </c>
      <c r="AH14" s="177" t="str">
        <f t="shared" si="10"/>
        <v xml:space="preserve"> </v>
      </c>
      <c r="AI14" s="177" t="str">
        <f t="shared" si="11"/>
        <v xml:space="preserve"> </v>
      </c>
      <c r="AJ14" s="180" t="str">
        <f t="shared" si="12"/>
        <v xml:space="preserve"> </v>
      </c>
      <c r="AK14" s="178" t="str">
        <f t="shared" si="13"/>
        <v xml:space="preserve"> </v>
      </c>
      <c r="AL14" s="177" t="str">
        <f t="shared" si="14"/>
        <v xml:space="preserve"> </v>
      </c>
      <c r="AM14" s="177" t="str">
        <f t="shared" si="15"/>
        <v xml:space="preserve"> </v>
      </c>
      <c r="AN14" s="179" t="str">
        <f t="shared" si="16"/>
        <v xml:space="preserve"> </v>
      </c>
    </row>
    <row r="15" spans="1:79" ht="18.75" customHeight="1" thickBot="1" x14ac:dyDescent="0.4">
      <c r="A15" s="374"/>
      <c r="B15" s="99" t="str">
        <f>Mon!B15</f>
        <v>MKG+ECOM+PR</v>
      </c>
      <c r="C15" s="162" t="s">
        <v>81</v>
      </c>
      <c r="D15" s="76"/>
      <c r="E15" s="81" t="str">
        <f>IF(F15=$U$100,$V$100,IF(F15=$U$101,$V$101,IF(F15=$U$102,$V$102,IF(F15=$U$103,$V$103,IF(F15=$U$104,$V$104,IF(F15=$U$105,$V$105,IF(F15=$U$106,$V$106,IF(F15=$U$107,$V$107,"Training"))))))))</f>
        <v>IT</v>
      </c>
      <c r="F15" s="80" t="s">
        <v>47</v>
      </c>
      <c r="G15" s="81" t="str">
        <f>IF(H15=$U$100,$V$100,IF(H15=$U$101,$V$101,IF(H15=$U$102,$V$102,IF(H15=$U$103,$V$103,IF(H15=$U$104,$V$104,IF(H15=$U$105,$V$105,IF(H15=$U$106,$V$106,IF(H15=$U$107,$V$107,"Training"))))))))</f>
        <v>MA</v>
      </c>
      <c r="H15" s="80" t="s">
        <v>66</v>
      </c>
      <c r="I15" s="375"/>
      <c r="J15" s="375"/>
      <c r="K15" s="81" t="str">
        <f>IF(L15=$U$100,$V$100,IF(L15=$U$101,$V$101,IF(L15=$U$102,$V$102,IF(L15=$U$103,$V$103,IF(L15=$U$104,$V$104,IF(L15=$U$105,$V$105,IF(L15=$U$106,$V$106,IF(L15=$U$107,$V$107,"Training"))))))))</f>
        <v>MIP</v>
      </c>
      <c r="L15" s="80" t="s">
        <v>62</v>
      </c>
      <c r="M15" s="81" t="str">
        <f>IF(N15=$U$100,$V$100,IF(N15=$U$101,$V$101,IF(N15=$U$102,$V$102,IF(N15=$U$103,$V$103,IF(N15=$U$104,$V$104,IF(N15=$U$105,$V$105,IF(N15=$U$106,$V$106,IF(N15=$U$107,$V$107,"Training"))))))))</f>
        <v>CB</v>
      </c>
      <c r="N15" s="86" t="s">
        <v>74</v>
      </c>
      <c r="O15" s="72" t="str">
        <f t="shared" si="22"/>
        <v>.</v>
      </c>
      <c r="P15" s="147"/>
      <c r="R15" s="29"/>
      <c r="U15" s="165" t="str">
        <f>Mon!U15</f>
        <v>(EC)</v>
      </c>
      <c r="V15" s="9">
        <f t="shared" si="4"/>
        <v>2</v>
      </c>
      <c r="W15" s="36">
        <f>SUM(Mon!V15,Tue!V15,Wed!V15)</f>
        <v>9</v>
      </c>
      <c r="X15" s="165" t="str">
        <f>Mon!U15</f>
        <v>(EC)</v>
      </c>
      <c r="Y15" s="20">
        <f t="shared" si="0"/>
        <v>1</v>
      </c>
      <c r="Z15" s="21">
        <f t="shared" si="1"/>
        <v>0</v>
      </c>
      <c r="AA15" s="21">
        <f t="shared" si="2"/>
        <v>0</v>
      </c>
      <c r="AB15" s="22">
        <f t="shared" si="3"/>
        <v>1</v>
      </c>
      <c r="AC15" s="25" t="str">
        <f t="shared" si="18"/>
        <v>IB (J)</v>
      </c>
      <c r="AD15" s="26" t="str">
        <f t="shared" si="19"/>
        <v xml:space="preserve"> </v>
      </c>
      <c r="AE15" s="26" t="str">
        <f t="shared" si="20"/>
        <v xml:space="preserve"> </v>
      </c>
      <c r="AF15" s="27" t="str">
        <f t="shared" si="21"/>
        <v>IB (E)</v>
      </c>
      <c r="AG15" s="178" t="str">
        <f t="shared" si="9"/>
        <v xml:space="preserve"> </v>
      </c>
      <c r="AH15" s="177" t="str">
        <f t="shared" si="10"/>
        <v xml:space="preserve"> </v>
      </c>
      <c r="AI15" s="177" t="str">
        <f t="shared" si="11"/>
        <v xml:space="preserve"> </v>
      </c>
      <c r="AJ15" s="180" t="str">
        <f t="shared" si="12"/>
        <v xml:space="preserve"> </v>
      </c>
      <c r="AK15" s="178" t="str">
        <f t="shared" si="13"/>
        <v xml:space="preserve"> </v>
      </c>
      <c r="AL15" s="177" t="str">
        <f t="shared" si="14"/>
        <v xml:space="preserve"> </v>
      </c>
      <c r="AM15" s="177" t="str">
        <f t="shared" si="15"/>
        <v xml:space="preserve"> </v>
      </c>
      <c r="AN15" s="179" t="str">
        <f t="shared" si="16"/>
        <v xml:space="preserve"> </v>
      </c>
    </row>
    <row r="16" spans="1:79" ht="18.75" customHeight="1" thickBot="1" x14ac:dyDescent="0.4">
      <c r="A16" s="374"/>
      <c r="B16" s="367" t="str">
        <f>Mon!B16</f>
        <v>HR+ED+PR+ECOM</v>
      </c>
      <c r="C16" s="368" t="s">
        <v>84</v>
      </c>
      <c r="D16" s="82"/>
      <c r="E16" s="83" t="str">
        <f>IF(F16=$W$100,$X$100,IF(F16=$W$101,$X$101,IF(F16=$W$102,$X$102,IF(F16=$W$103,$X$103,IF(F16=$W$104,$X$104,IF(F16=$W$105,$X$105,IF(F16=$W$106,$X$106,IF(F16=$W$107,$X$107,"Training"))))))))</f>
        <v>IHRM</v>
      </c>
      <c r="F16" s="85" t="s">
        <v>51</v>
      </c>
      <c r="G16" s="83" t="str">
        <f>IF(H16=$W$100,$X$100,IF(H16=$W$101,$X$101,IF(H16=$W$102,$X$102,IF(H16=$W$103,$X$103,IF(H16=$W$104,$X$104,IF(H16=$W$105,$X$105,IF(H16=$W$106,$X$106,IF(H16=$W$107,$X$107,"Training"))))))))</f>
        <v>IB</v>
      </c>
      <c r="H16" s="84" t="s">
        <v>46</v>
      </c>
      <c r="I16" s="375"/>
      <c r="J16" s="375"/>
      <c r="K16" s="83" t="str">
        <f>IF(L16=$W$100,$X$100,IF(L16=$W$101,$X$101,IF(L16=$W$102,$X$102,IF(L16=$W$103,$X$103,IF(L16=$W$104,$X$104,IF(L16=$W$105,$X$105,IF(L16=$W$106,$X$106,IF(L16=$W$107,$X$107,"Training"))))))))</f>
        <v>CHRM</v>
      </c>
      <c r="L16" s="85" t="s">
        <v>118</v>
      </c>
      <c r="M16" s="83" t="str">
        <f>IF(N16=$W$100,$X$100,IF(N16=$W$101,$X$101,IF(N16=$W$102,$X$102,IF(N16=$W$103,$X$103,IF(N16=$W$104,$X$104,IF(N16=$W$105,$X$105,IF(N16=$W$106,$X$106,IF(N16=$W$107,$X$107,"Training"))))))))</f>
        <v>MA</v>
      </c>
      <c r="N16" s="85" t="s">
        <v>57</v>
      </c>
      <c r="O16" s="72" t="str">
        <f t="shared" si="22"/>
        <v>.</v>
      </c>
      <c r="P16" s="151"/>
      <c r="R16" s="29"/>
      <c r="U16" s="165" t="str">
        <f>Mon!U16</f>
        <v>(HEM)</v>
      </c>
      <c r="V16" s="9">
        <f t="shared" si="4"/>
        <v>1</v>
      </c>
      <c r="W16" s="36">
        <f>SUM(Mon!V16,Tue!V16,Wed!V16)</f>
        <v>2</v>
      </c>
      <c r="X16" s="165" t="str">
        <f>Mon!U16</f>
        <v>(HEM)</v>
      </c>
      <c r="Y16" s="20">
        <f t="shared" si="0"/>
        <v>0</v>
      </c>
      <c r="Z16" s="21">
        <f t="shared" si="1"/>
        <v>1</v>
      </c>
      <c r="AA16" s="21">
        <f t="shared" si="2"/>
        <v>0</v>
      </c>
      <c r="AB16" s="22">
        <f t="shared" si="3"/>
        <v>0</v>
      </c>
      <c r="AC16" s="25" t="str">
        <f t="shared" si="18"/>
        <v xml:space="preserve"> </v>
      </c>
      <c r="AD16" s="26" t="str">
        <f t="shared" si="19"/>
        <v xml:space="preserve"> </v>
      </c>
      <c r="AE16" s="26" t="str">
        <f t="shared" si="20"/>
        <v xml:space="preserve"> </v>
      </c>
      <c r="AF16" s="27" t="str">
        <f t="shared" si="21"/>
        <v xml:space="preserve"> </v>
      </c>
      <c r="AG16" s="178" t="str">
        <f t="shared" si="9"/>
        <v xml:space="preserve"> </v>
      </c>
      <c r="AH16" s="177" t="str">
        <f t="shared" si="10"/>
        <v xml:space="preserve"> </v>
      </c>
      <c r="AI16" s="177" t="str">
        <f t="shared" si="11"/>
        <v xml:space="preserve"> </v>
      </c>
      <c r="AJ16" s="180" t="str">
        <f t="shared" si="12"/>
        <v xml:space="preserve"> </v>
      </c>
      <c r="AK16" s="178" t="str">
        <f t="shared" si="13"/>
        <v xml:space="preserve"> </v>
      </c>
      <c r="AL16" s="177" t="str">
        <f t="shared" si="14"/>
        <v>KAN (M)</v>
      </c>
      <c r="AM16" s="177" t="str">
        <f t="shared" si="15"/>
        <v xml:space="preserve"> </v>
      </c>
      <c r="AN16" s="179" t="str">
        <f t="shared" si="16"/>
        <v xml:space="preserve"> </v>
      </c>
    </row>
    <row r="17" spans="1:40" ht="18.75" customHeight="1" x14ac:dyDescent="0.35">
      <c r="A17" s="374"/>
      <c r="B17" s="367"/>
      <c r="C17" s="368"/>
      <c r="D17" s="82"/>
      <c r="E17" s="298" t="str">
        <f>IF(F17="(LK)","LE",IF(F17="(ND)","ES",IF(F17="(DT)","EBO",IF(F17="(SP)","PR",""))))</f>
        <v>ES</v>
      </c>
      <c r="F17" s="34" t="str">
        <f>IF(F16="(RT)","(LK)",IF(F16="(SR)","(ND)",IF(F16="(EC)","(DT)",IF(F16="(BB)","(SP)",""))))</f>
        <v>(ND)</v>
      </c>
      <c r="G17" s="298" t="str">
        <f>IF(H17="(LK)","LE",IF(H17="(ND)","ES",IF(H17="(DT)","EBO",IF(H17="(SP)","PR",""))))</f>
        <v/>
      </c>
      <c r="H17" s="34" t="str">
        <f>IF(H16="(RT)","(LK)",IF(H16="(SR)","(ND)",IF(H16="(EC)","(DT)",IF(H16="(BB)","(SP)",""))))</f>
        <v/>
      </c>
      <c r="I17" s="375"/>
      <c r="J17" s="375"/>
      <c r="K17" s="307" t="str">
        <f>IF(L17="(LK)","LE",IF(L17="(ND)","ES",IF(L17="(DT)","EBO",IF(L17="(SP)","PR",""))))</f>
        <v>LE</v>
      </c>
      <c r="L17" s="313" t="s">
        <v>73</v>
      </c>
      <c r="M17" s="307" t="str">
        <f>IF(N17="(LK)","LE",IF(N17="(ND)","ES",IF(N17="(DT)","EBO",IF(N17="(SP)","PR",""))))</f>
        <v/>
      </c>
      <c r="N17" s="313" t="str">
        <f>IF(N16="(RT)","(LK)",IF(N16="(SR)","(ND)",IF(N16="(EC)","(DT)",IF(N16="(BB)","(SP)",""))))</f>
        <v/>
      </c>
      <c r="O17" s="72" t="str">
        <f t="shared" si="22"/>
        <v>.</v>
      </c>
      <c r="P17" s="151"/>
      <c r="R17" s="78"/>
      <c r="U17" s="165" t="str">
        <f>Mon!U17</f>
        <v>(HK)</v>
      </c>
      <c r="V17" s="9">
        <f t="shared" si="4"/>
        <v>0</v>
      </c>
      <c r="W17" s="36">
        <f>SUM(Mon!V17,Tue!V17,Wed!V17)</f>
        <v>0</v>
      </c>
      <c r="X17" s="165" t="str">
        <f>Mon!U17</f>
        <v>(HK)</v>
      </c>
      <c r="Y17" s="20">
        <f t="shared" si="0"/>
        <v>0</v>
      </c>
      <c r="Z17" s="21">
        <f t="shared" si="1"/>
        <v>0</v>
      </c>
      <c r="AA17" s="21">
        <f t="shared" si="2"/>
        <v>0</v>
      </c>
      <c r="AB17" s="22">
        <f t="shared" si="3"/>
        <v>0</v>
      </c>
      <c r="AC17" s="25" t="str">
        <f t="shared" si="18"/>
        <v xml:space="preserve"> </v>
      </c>
      <c r="AD17" s="26" t="str">
        <f t="shared" si="19"/>
        <v xml:space="preserve"> </v>
      </c>
      <c r="AE17" s="26" t="str">
        <f t="shared" si="20"/>
        <v xml:space="preserve"> </v>
      </c>
      <c r="AF17" s="27" t="str">
        <f t="shared" si="21"/>
        <v xml:space="preserve"> </v>
      </c>
      <c r="AG17" s="178" t="str">
        <f t="shared" si="9"/>
        <v xml:space="preserve"> </v>
      </c>
      <c r="AH17" s="177" t="str">
        <f t="shared" si="10"/>
        <v xml:space="preserve"> </v>
      </c>
      <c r="AI17" s="177" t="str">
        <f t="shared" si="11"/>
        <v xml:space="preserve"> </v>
      </c>
      <c r="AJ17" s="180" t="str">
        <f t="shared" si="12"/>
        <v xml:space="preserve"> </v>
      </c>
      <c r="AK17" s="178" t="str">
        <f t="shared" si="13"/>
        <v xml:space="preserve"> </v>
      </c>
      <c r="AL17" s="177" t="str">
        <f t="shared" si="14"/>
        <v xml:space="preserve"> </v>
      </c>
      <c r="AM17" s="177" t="str">
        <f t="shared" si="15"/>
        <v xml:space="preserve"> </v>
      </c>
      <c r="AN17" s="179" t="str">
        <f t="shared" si="16"/>
        <v xml:space="preserve"> </v>
      </c>
    </row>
    <row r="18" spans="1:40" ht="18.75" customHeight="1" x14ac:dyDescent="0.35">
      <c r="A18" s="374"/>
      <c r="B18" s="100" t="s">
        <v>87</v>
      </c>
      <c r="C18" s="330" t="s">
        <v>41</v>
      </c>
      <c r="D18" s="82"/>
      <c r="E18" s="81" t="s">
        <v>203</v>
      </c>
      <c r="F18" s="80" t="s">
        <v>100</v>
      </c>
      <c r="G18" s="81" t="s">
        <v>96</v>
      </c>
      <c r="H18" s="80"/>
      <c r="I18" s="375"/>
      <c r="J18" s="375"/>
      <c r="K18" s="81" t="s">
        <v>93</v>
      </c>
      <c r="L18" s="86" t="s">
        <v>94</v>
      </c>
      <c r="M18" s="81" t="s">
        <v>92</v>
      </c>
      <c r="N18" s="80" t="s">
        <v>100</v>
      </c>
      <c r="O18" s="302" t="str">
        <f t="shared" si="22"/>
        <v>.</v>
      </c>
      <c r="P18" s="152"/>
      <c r="U18" s="165" t="str">
        <f>Mon!U18</f>
        <v>(JAY)</v>
      </c>
      <c r="V18" s="9">
        <f t="shared" si="4"/>
        <v>3</v>
      </c>
      <c r="W18" s="36">
        <f>SUM(Mon!V18,Tue!V18,Wed!V18)</f>
        <v>10</v>
      </c>
      <c r="X18" s="165" t="str">
        <f>Mon!U18</f>
        <v>(JAY)</v>
      </c>
      <c r="Y18" s="20">
        <f t="shared" si="0"/>
        <v>1</v>
      </c>
      <c r="Z18" s="21">
        <f t="shared" si="1"/>
        <v>1</v>
      </c>
      <c r="AA18" s="21">
        <f t="shared" si="2"/>
        <v>0</v>
      </c>
      <c r="AB18" s="22">
        <f t="shared" si="3"/>
        <v>1</v>
      </c>
      <c r="AC18" s="25" t="str">
        <f t="shared" si="18"/>
        <v xml:space="preserve"> </v>
      </c>
      <c r="AD18" s="26" t="str">
        <f t="shared" si="19"/>
        <v xml:space="preserve"> </v>
      </c>
      <c r="AE18" s="26" t="str">
        <f t="shared" si="20"/>
        <v xml:space="preserve"> </v>
      </c>
      <c r="AF18" s="27" t="str">
        <f t="shared" si="21"/>
        <v xml:space="preserve"> </v>
      </c>
      <c r="AG18" s="178" t="str">
        <f t="shared" si="9"/>
        <v xml:space="preserve"> </v>
      </c>
      <c r="AH18" s="177" t="str">
        <f t="shared" si="10"/>
        <v xml:space="preserve"> </v>
      </c>
      <c r="AI18" s="177" t="str">
        <f t="shared" si="11"/>
        <v xml:space="preserve"> </v>
      </c>
      <c r="AJ18" s="180" t="str">
        <f t="shared" si="12"/>
        <v xml:space="preserve"> </v>
      </c>
      <c r="AK18" s="178" t="str">
        <f t="shared" si="13"/>
        <v>BT (D)</v>
      </c>
      <c r="AL18" s="177" t="str">
        <f t="shared" si="14"/>
        <v>BT (F)</v>
      </c>
      <c r="AM18" s="177" t="str">
        <f t="shared" si="15"/>
        <v xml:space="preserve"> </v>
      </c>
      <c r="AN18" s="179" t="str">
        <f t="shared" si="16"/>
        <v>BM (C)</v>
      </c>
    </row>
    <row r="19" spans="1:40" ht="18.75" customHeight="1" x14ac:dyDescent="0.35">
      <c r="A19" s="374"/>
      <c r="B19" s="99" t="s">
        <v>87</v>
      </c>
      <c r="C19" s="18" t="s">
        <v>49</v>
      </c>
      <c r="D19" s="82"/>
      <c r="E19" s="83" t="s">
        <v>96</v>
      </c>
      <c r="F19" s="85"/>
      <c r="G19" s="83" t="s">
        <v>88</v>
      </c>
      <c r="H19" s="85" t="s">
        <v>89</v>
      </c>
      <c r="I19" s="375"/>
      <c r="J19" s="375"/>
      <c r="K19" s="33" t="s">
        <v>101</v>
      </c>
      <c r="L19" s="93"/>
      <c r="M19" s="33" t="s">
        <v>99</v>
      </c>
      <c r="N19" s="92" t="s">
        <v>89</v>
      </c>
      <c r="O19" s="302"/>
      <c r="U19" s="165" t="str">
        <f>Mon!U19</f>
        <v>(KM)</v>
      </c>
      <c r="V19" s="9">
        <f t="shared" si="4"/>
        <v>3</v>
      </c>
      <c r="W19" s="36">
        <f>SUM(Mon!V19,Tue!V19,Wed!V19)</f>
        <v>10</v>
      </c>
      <c r="X19" s="165" t="str">
        <f>Mon!U19</f>
        <v>(KM)</v>
      </c>
      <c r="Y19" s="20">
        <f t="shared" si="0"/>
        <v>1</v>
      </c>
      <c r="Z19" s="21">
        <f t="shared" si="1"/>
        <v>0</v>
      </c>
      <c r="AA19" s="21">
        <f t="shared" si="2"/>
        <v>1</v>
      </c>
      <c r="AB19" s="22">
        <f t="shared" si="3"/>
        <v>1</v>
      </c>
      <c r="AC19" s="25" t="str">
        <f t="shared" si="18"/>
        <v xml:space="preserve"> </v>
      </c>
      <c r="AD19" s="26" t="str">
        <f t="shared" si="19"/>
        <v xml:space="preserve"> </v>
      </c>
      <c r="AE19" s="26" t="str">
        <f t="shared" si="20"/>
        <v xml:space="preserve"> </v>
      </c>
      <c r="AF19" s="27" t="str">
        <f t="shared" si="21"/>
        <v>CB (I)</v>
      </c>
      <c r="AG19" s="178" t="str">
        <f t="shared" si="9"/>
        <v>MM (N)</v>
      </c>
      <c r="AH19" s="177" t="str">
        <f t="shared" si="10"/>
        <v xml:space="preserve"> </v>
      </c>
      <c r="AI19" s="177" t="str">
        <f t="shared" si="11"/>
        <v>MM (A)</v>
      </c>
      <c r="AJ19" s="180" t="str">
        <f t="shared" si="12"/>
        <v xml:space="preserve"> </v>
      </c>
      <c r="AK19" s="178" t="str">
        <f t="shared" si="13"/>
        <v xml:space="preserve"> </v>
      </c>
      <c r="AL19" s="177" t="str">
        <f t="shared" si="14"/>
        <v xml:space="preserve"> </v>
      </c>
      <c r="AM19" s="177" t="str">
        <f t="shared" si="15"/>
        <v xml:space="preserve"> </v>
      </c>
      <c r="AN19" s="179" t="str">
        <f t="shared" si="16"/>
        <v xml:space="preserve"> </v>
      </c>
    </row>
    <row r="20" spans="1:40" ht="18.75" customHeight="1" x14ac:dyDescent="0.35">
      <c r="A20" s="173" t="s">
        <v>26</v>
      </c>
      <c r="B20" s="299"/>
      <c r="C20" s="94" t="s">
        <v>27</v>
      </c>
      <c r="D20" s="95" t="s">
        <v>136</v>
      </c>
      <c r="E20" s="352" t="s">
        <v>28</v>
      </c>
      <c r="F20" s="353"/>
      <c r="G20" s="354" t="s">
        <v>29</v>
      </c>
      <c r="H20" s="353"/>
      <c r="I20" s="354" t="s">
        <v>30</v>
      </c>
      <c r="J20" s="353"/>
      <c r="K20" s="390" t="s">
        <v>31</v>
      </c>
      <c r="L20" s="391"/>
      <c r="M20" s="390" t="s">
        <v>32</v>
      </c>
      <c r="N20" s="398"/>
      <c r="O20" s="72"/>
      <c r="U20" s="165" t="str">
        <f>Mon!U20</f>
        <v>(KR)</v>
      </c>
      <c r="V20" s="9">
        <f t="shared" si="4"/>
        <v>3</v>
      </c>
      <c r="W20" s="36">
        <f>SUM(Mon!V20,Tue!V20,Wed!V20)</f>
        <v>8</v>
      </c>
      <c r="X20" s="165" t="str">
        <f>Mon!U20</f>
        <v>(KR)</v>
      </c>
      <c r="Y20" s="20">
        <f t="shared" si="0"/>
        <v>1</v>
      </c>
      <c r="Z20" s="21">
        <f t="shared" si="1"/>
        <v>0</v>
      </c>
      <c r="AA20" s="21">
        <f t="shared" si="2"/>
        <v>1</v>
      </c>
      <c r="AB20" s="22">
        <f t="shared" si="3"/>
        <v>1</v>
      </c>
      <c r="AC20" s="25" t="str">
        <f t="shared" si="18"/>
        <v>MA (E)</v>
      </c>
      <c r="AD20" s="26" t="str">
        <f t="shared" si="19"/>
        <v xml:space="preserve"> </v>
      </c>
      <c r="AE20" s="26" t="str">
        <f t="shared" si="20"/>
        <v xml:space="preserve"> </v>
      </c>
      <c r="AF20" s="27" t="str">
        <f t="shared" si="21"/>
        <v>MA (A)</v>
      </c>
      <c r="AG20" s="178" t="str">
        <f t="shared" si="9"/>
        <v xml:space="preserve"> </v>
      </c>
      <c r="AH20" s="177" t="str">
        <f t="shared" si="10"/>
        <v xml:space="preserve"> </v>
      </c>
      <c r="AI20" s="177" t="str">
        <f t="shared" si="11"/>
        <v>CA (G)</v>
      </c>
      <c r="AJ20" s="180" t="str">
        <f t="shared" si="12"/>
        <v xml:space="preserve"> </v>
      </c>
      <c r="AK20" s="178" t="str">
        <f t="shared" si="13"/>
        <v xml:space="preserve"> </v>
      </c>
      <c r="AL20" s="177" t="str">
        <f t="shared" si="14"/>
        <v xml:space="preserve"> </v>
      </c>
      <c r="AM20" s="177" t="str">
        <f t="shared" si="15"/>
        <v xml:space="preserve"> </v>
      </c>
      <c r="AN20" s="179" t="str">
        <f t="shared" si="16"/>
        <v xml:space="preserve"> </v>
      </c>
    </row>
    <row r="21" spans="1:40" ht="18.75" customHeight="1" x14ac:dyDescent="0.35">
      <c r="A21" s="343">
        <v>3</v>
      </c>
      <c r="B21" s="100" t="str">
        <f>Mon!B21</f>
        <v>CM+OP</v>
      </c>
      <c r="C21" s="330" t="s">
        <v>41</v>
      </c>
      <c r="D21" s="98"/>
      <c r="E21" s="33" t="str">
        <f>_xlfn.XLOOKUP(F21, $A$88:$A$95, $B$88:$B$95, "Training")</f>
        <v>ED</v>
      </c>
      <c r="F21" s="34" t="s">
        <v>103</v>
      </c>
      <c r="G21" s="33" t="str">
        <f>_xlfn.XLOOKUP(H21, $A$88:$A$95, $B$88:$B$95, "Training")</f>
        <v>HR</v>
      </c>
      <c r="H21" s="34" t="s">
        <v>118</v>
      </c>
      <c r="I21" s="346" t="s">
        <v>143</v>
      </c>
      <c r="J21" s="347"/>
      <c r="K21" s="33" t="str">
        <f>_xlfn.XLOOKUP(L21, $A$88:$A$95, $B$88:$B$95, "Training")</f>
        <v>MM</v>
      </c>
      <c r="L21" s="34" t="s">
        <v>70</v>
      </c>
      <c r="M21" s="346" t="s">
        <v>221</v>
      </c>
      <c r="N21" s="399"/>
      <c r="O21" s="72"/>
      <c r="U21" s="165" t="str">
        <f>Mon!U21</f>
        <v>(LK)</v>
      </c>
      <c r="V21" s="9">
        <f t="shared" si="4"/>
        <v>3</v>
      </c>
      <c r="W21" s="36">
        <f>SUM(Mon!V21,Tue!V21,Wed!V21)</f>
        <v>10</v>
      </c>
      <c r="X21" s="165" t="str">
        <f>Mon!U21</f>
        <v>(LK)</v>
      </c>
      <c r="Y21" s="20">
        <f t="shared" si="0"/>
        <v>0</v>
      </c>
      <c r="Z21" s="21">
        <f t="shared" si="1"/>
        <v>1</v>
      </c>
      <c r="AA21" s="21">
        <f t="shared" si="2"/>
        <v>1</v>
      </c>
      <c r="AB21" s="22">
        <f t="shared" si="3"/>
        <v>1</v>
      </c>
      <c r="AC21" s="25" t="str">
        <f t="shared" si="18"/>
        <v xml:space="preserve"> </v>
      </c>
      <c r="AD21" s="26" t="str">
        <f t="shared" si="19"/>
        <v>RM (J)</v>
      </c>
      <c r="AE21" s="26" t="str">
        <f t="shared" si="20"/>
        <v>LE (L)</v>
      </c>
      <c r="AF21" s="27" t="str">
        <f t="shared" si="21"/>
        <v>RM (G)</v>
      </c>
      <c r="AG21" s="178" t="str">
        <f t="shared" si="9"/>
        <v xml:space="preserve"> </v>
      </c>
      <c r="AH21" s="177" t="str">
        <f t="shared" si="10"/>
        <v xml:space="preserve"> </v>
      </c>
      <c r="AI21" s="177" t="str">
        <f t="shared" si="11"/>
        <v xml:space="preserve"> </v>
      </c>
      <c r="AJ21" s="180" t="str">
        <f t="shared" si="12"/>
        <v xml:space="preserve"> </v>
      </c>
      <c r="AK21" s="178" t="str">
        <f t="shared" si="13"/>
        <v xml:space="preserve"> </v>
      </c>
      <c r="AL21" s="177" t="str">
        <f t="shared" si="14"/>
        <v xml:space="preserve"> </v>
      </c>
      <c r="AM21" s="177" t="str">
        <f t="shared" si="15"/>
        <v xml:space="preserve"> </v>
      </c>
      <c r="AN21" s="179" t="str">
        <f t="shared" si="16"/>
        <v xml:space="preserve"> </v>
      </c>
    </row>
    <row r="22" spans="1:40" ht="18.75" customHeight="1" thickBot="1" x14ac:dyDescent="0.4">
      <c r="A22" s="344"/>
      <c r="B22" s="19" t="str">
        <f>Mon!B22</f>
        <v>CM+OP</v>
      </c>
      <c r="C22" s="98" t="s">
        <v>49</v>
      </c>
      <c r="D22" s="98"/>
      <c r="E22" s="6" t="str">
        <f>_xlfn.XLOOKUP(F22, $C$88:$C$95, $D$88:$D$95, "Training")</f>
        <v>HR</v>
      </c>
      <c r="F22" s="7" t="s">
        <v>75</v>
      </c>
      <c r="G22" s="6" t="str">
        <f>_xlfn.XLOOKUP(H22, $C$88:$C$95, $D$88:$D$95, "Training")</f>
        <v>CA</v>
      </c>
      <c r="H22" s="7" t="s">
        <v>106</v>
      </c>
      <c r="I22" s="348"/>
      <c r="J22" s="349"/>
      <c r="K22" s="6" t="str">
        <f>_xlfn.XLOOKUP(L22, $C$88:$C$95, $D$88:$D$95, "Training")</f>
        <v>CM</v>
      </c>
      <c r="L22" s="7" t="s">
        <v>107</v>
      </c>
      <c r="M22" s="348"/>
      <c r="N22" s="400"/>
      <c r="O22" s="124"/>
      <c r="U22" s="165" t="str">
        <f>Mon!U22</f>
        <v>(LV)</v>
      </c>
      <c r="V22" s="9">
        <f t="shared" si="4"/>
        <v>3</v>
      </c>
      <c r="W22" s="36">
        <f>SUM(Mon!V22,Tue!V22,Wed!V22)</f>
        <v>9</v>
      </c>
      <c r="X22" s="165" t="str">
        <f>Mon!U22</f>
        <v>(LV)</v>
      </c>
      <c r="Y22" s="20">
        <f t="shared" si="0"/>
        <v>1</v>
      </c>
      <c r="Z22" s="21">
        <f t="shared" si="1"/>
        <v>1</v>
      </c>
      <c r="AA22" s="21">
        <f t="shared" si="2"/>
        <v>1</v>
      </c>
      <c r="AB22" s="22">
        <f t="shared" si="3"/>
        <v>0</v>
      </c>
      <c r="AC22" s="25" t="str">
        <f t="shared" si="18"/>
        <v xml:space="preserve"> </v>
      </c>
      <c r="AD22" s="26" t="str">
        <f t="shared" si="19"/>
        <v xml:space="preserve"> </v>
      </c>
      <c r="AE22" s="26" t="str">
        <f t="shared" si="20"/>
        <v xml:space="preserve"> </v>
      </c>
      <c r="AF22" s="27" t="str">
        <f t="shared" si="21"/>
        <v xml:space="preserve"> </v>
      </c>
      <c r="AG22" s="178" t="str">
        <f t="shared" si="9"/>
        <v>ED (L)</v>
      </c>
      <c r="AH22" s="177" t="str">
        <f t="shared" si="10"/>
        <v>MM (E)</v>
      </c>
      <c r="AI22" s="177" t="str">
        <f t="shared" si="11"/>
        <v>ED (M)</v>
      </c>
      <c r="AJ22" s="180" t="str">
        <f t="shared" si="12"/>
        <v xml:space="preserve"> </v>
      </c>
      <c r="AK22" s="178" t="str">
        <f t="shared" si="13"/>
        <v xml:space="preserve"> </v>
      </c>
      <c r="AL22" s="177" t="str">
        <f t="shared" si="14"/>
        <v xml:space="preserve"> </v>
      </c>
      <c r="AM22" s="177" t="str">
        <f t="shared" si="15"/>
        <v xml:space="preserve"> </v>
      </c>
      <c r="AN22" s="179" t="str">
        <f t="shared" si="16"/>
        <v xml:space="preserve"> </v>
      </c>
    </row>
    <row r="23" spans="1:40" ht="18.75" customHeight="1" thickBot="1" x14ac:dyDescent="0.4">
      <c r="A23" s="344"/>
      <c r="B23" s="19" t="str">
        <f>Mon!B23</f>
        <v>CM+OP</v>
      </c>
      <c r="C23" s="98" t="s">
        <v>55</v>
      </c>
      <c r="D23" s="98"/>
      <c r="E23" s="6" t="str">
        <f>_xlfn.XLOOKUP(F23, $E$88:$E$95, $F$88:$F$95, "Training")</f>
        <v>CM</v>
      </c>
      <c r="F23" s="7" t="s">
        <v>104</v>
      </c>
      <c r="G23" s="6" t="str">
        <f>_xlfn.XLOOKUP(H23, $E$88:$E$95, $F$88:$F$95, "Training")</f>
        <v>OP</v>
      </c>
      <c r="H23" s="7" t="s">
        <v>119</v>
      </c>
      <c r="I23" s="348"/>
      <c r="J23" s="349"/>
      <c r="K23" s="6" t="str">
        <f>_xlfn.XLOOKUP(L23, $E$88:$E$95, $F$88:$F$95, "Training")</f>
        <v>MM</v>
      </c>
      <c r="L23" s="7" t="s">
        <v>109</v>
      </c>
      <c r="M23" s="348"/>
      <c r="N23" s="400"/>
      <c r="O23" s="124"/>
      <c r="U23" s="165" t="str">
        <f>Mon!U23</f>
        <v>(MB)</v>
      </c>
      <c r="V23" s="9">
        <f t="shared" si="4"/>
        <v>3</v>
      </c>
      <c r="W23" s="36">
        <f>SUM(Mon!V23,Tue!V23,Wed!V23)</f>
        <v>9</v>
      </c>
      <c r="X23" s="165" t="str">
        <f>Mon!U23</f>
        <v>(MB)</v>
      </c>
      <c r="Y23" s="20">
        <f t="shared" si="0"/>
        <v>1</v>
      </c>
      <c r="Z23" s="21">
        <f t="shared" si="1"/>
        <v>1</v>
      </c>
      <c r="AA23" s="21">
        <f t="shared" si="2"/>
        <v>1</v>
      </c>
      <c r="AB23" s="22">
        <f t="shared" si="3"/>
        <v>0</v>
      </c>
      <c r="AC23" s="25" t="str">
        <f t="shared" si="18"/>
        <v xml:space="preserve"> </v>
      </c>
      <c r="AD23" s="26" t="str">
        <f t="shared" si="19"/>
        <v xml:space="preserve"> </v>
      </c>
      <c r="AE23" s="26" t="str">
        <f t="shared" si="20"/>
        <v xml:space="preserve"> </v>
      </c>
      <c r="AF23" s="27" t="str">
        <f t="shared" si="21"/>
        <v xml:space="preserve"> </v>
      </c>
      <c r="AG23" s="178" t="str">
        <f t="shared" si="9"/>
        <v>EVS (G)</v>
      </c>
      <c r="AH23" s="177" t="str">
        <f t="shared" si="10"/>
        <v>CP (J)</v>
      </c>
      <c r="AI23" s="177" t="str">
        <f t="shared" si="11"/>
        <v>CP (L)</v>
      </c>
      <c r="AJ23" s="180" t="str">
        <f t="shared" si="12"/>
        <v xml:space="preserve"> </v>
      </c>
      <c r="AK23" s="178" t="str">
        <f t="shared" si="13"/>
        <v xml:space="preserve"> </v>
      </c>
      <c r="AL23" s="177" t="str">
        <f t="shared" si="14"/>
        <v xml:space="preserve"> </v>
      </c>
      <c r="AM23" s="177" t="str">
        <f t="shared" si="15"/>
        <v xml:space="preserve"> </v>
      </c>
      <c r="AN23" s="179" t="str">
        <f t="shared" si="16"/>
        <v xml:space="preserve"> </v>
      </c>
    </row>
    <row r="24" spans="1:40" ht="18.75" customHeight="1" thickBot="1" x14ac:dyDescent="0.4">
      <c r="A24" s="344"/>
      <c r="B24" s="19" t="str">
        <f>Mon!B24</f>
        <v>CM+OP</v>
      </c>
      <c r="C24" s="98" t="s">
        <v>37</v>
      </c>
      <c r="D24" s="98"/>
      <c r="E24" s="6" t="str">
        <f>_xlfn.XLOOKUP(F24, $G$88:$G$95, $H$88:$H$95, "Training")</f>
        <v>CM</v>
      </c>
      <c r="F24" s="5" t="s">
        <v>112</v>
      </c>
      <c r="G24" s="6" t="str">
        <f>_xlfn.XLOOKUP(H24, $G$88:$G$95, $H$88:$H$95, "Training")</f>
        <v>CA</v>
      </c>
      <c r="H24" s="5" t="s">
        <v>60</v>
      </c>
      <c r="I24" s="348"/>
      <c r="J24" s="349"/>
      <c r="K24" s="6" t="str">
        <f>_xlfn.XLOOKUP(L24, $G$88:$G$95, $H$88:$H$95, "Training")</f>
        <v>HR</v>
      </c>
      <c r="L24" s="5" t="s">
        <v>104</v>
      </c>
      <c r="M24" s="348"/>
      <c r="N24" s="400"/>
      <c r="O24" s="124"/>
      <c r="U24" s="165" t="str">
        <f>Mon!U24</f>
        <v>(MEG)</v>
      </c>
      <c r="V24" s="9">
        <f t="shared" si="4"/>
        <v>2</v>
      </c>
      <c r="W24" s="36">
        <f>SUM(Mon!V24,Tue!V24,Wed!V24)</f>
        <v>8</v>
      </c>
      <c r="X24" s="165" t="str">
        <f>Mon!U24</f>
        <v>(MEG)</v>
      </c>
      <c r="Y24" s="20">
        <f t="shared" si="0"/>
        <v>0</v>
      </c>
      <c r="Z24" s="21">
        <f t="shared" si="1"/>
        <v>1</v>
      </c>
      <c r="AA24" s="21">
        <f t="shared" si="2"/>
        <v>0</v>
      </c>
      <c r="AB24" s="22">
        <f t="shared" si="3"/>
        <v>1</v>
      </c>
      <c r="AC24" s="25" t="str">
        <f t="shared" si="18"/>
        <v xml:space="preserve"> </v>
      </c>
      <c r="AD24" s="26" t="str">
        <f t="shared" si="19"/>
        <v xml:space="preserve"> </v>
      </c>
      <c r="AE24" s="26" t="str">
        <f t="shared" si="20"/>
        <v xml:space="preserve"> </v>
      </c>
      <c r="AF24" s="27" t="str">
        <f t="shared" si="21"/>
        <v>MA (D)</v>
      </c>
      <c r="AG24" s="178" t="str">
        <f t="shared" si="9"/>
        <v xml:space="preserve"> </v>
      </c>
      <c r="AH24" s="177" t="str">
        <f t="shared" si="10"/>
        <v>CA (D)</v>
      </c>
      <c r="AI24" s="177" t="str">
        <f t="shared" si="11"/>
        <v xml:space="preserve"> </v>
      </c>
      <c r="AJ24" s="180" t="str">
        <f t="shared" si="12"/>
        <v xml:space="preserve"> </v>
      </c>
      <c r="AK24" s="178" t="str">
        <f t="shared" si="13"/>
        <v xml:space="preserve"> </v>
      </c>
      <c r="AL24" s="177" t="str">
        <f t="shared" si="14"/>
        <v xml:space="preserve"> </v>
      </c>
      <c r="AM24" s="177" t="str">
        <f t="shared" si="15"/>
        <v xml:space="preserve"> </v>
      </c>
      <c r="AN24" s="179" t="str">
        <f t="shared" si="16"/>
        <v xml:space="preserve"> </v>
      </c>
    </row>
    <row r="25" spans="1:40" ht="18.75" customHeight="1" thickBot="1" x14ac:dyDescent="0.4">
      <c r="A25" s="344"/>
      <c r="B25" s="19" t="str">
        <f>Mon!B25</f>
        <v>CM+OP</v>
      </c>
      <c r="C25" s="98" t="s">
        <v>38</v>
      </c>
      <c r="D25" s="98"/>
      <c r="E25" s="6" t="str">
        <f>_xlfn.XLOOKUP(F25, $I$88:$I$95, $J$88:$J$95, "Training")</f>
        <v>CM</v>
      </c>
      <c r="F25" s="5" t="s">
        <v>107</v>
      </c>
      <c r="G25" s="6" t="str">
        <f>_xlfn.XLOOKUP(H25, $I$88:$I$95, $J$88:$J$95, "Training")</f>
        <v>MM</v>
      </c>
      <c r="H25" s="5" t="s">
        <v>108</v>
      </c>
      <c r="I25" s="348"/>
      <c r="J25" s="349"/>
      <c r="K25" s="6" t="str">
        <f>_xlfn.XLOOKUP(L25, $I$88:$I$95, $J$88:$J$95, "Training")</f>
        <v>CA</v>
      </c>
      <c r="L25" s="5" t="s">
        <v>112</v>
      </c>
      <c r="M25" s="348"/>
      <c r="N25" s="400"/>
      <c r="O25" s="124"/>
      <c r="U25" s="165" t="str">
        <f>Mon!U25</f>
        <v>(MH)</v>
      </c>
      <c r="V25" s="9">
        <f t="shared" si="4"/>
        <v>3</v>
      </c>
      <c r="W25" s="36">
        <f>SUM(Mon!V25,Tue!V25,Wed!V25)</f>
        <v>9</v>
      </c>
      <c r="X25" s="165" t="str">
        <f>Mon!U25</f>
        <v>(MH)</v>
      </c>
      <c r="Y25" s="20">
        <f t="shared" si="0"/>
        <v>1</v>
      </c>
      <c r="Z25" s="21">
        <f t="shared" si="1"/>
        <v>1</v>
      </c>
      <c r="AA25" s="21">
        <f t="shared" si="2"/>
        <v>0</v>
      </c>
      <c r="AB25" s="22">
        <f t="shared" si="3"/>
        <v>1</v>
      </c>
      <c r="AC25" s="25" t="str">
        <f t="shared" si="18"/>
        <v xml:space="preserve"> </v>
      </c>
      <c r="AD25" s="26" t="str">
        <f t="shared" si="19"/>
        <v xml:space="preserve"> </v>
      </c>
      <c r="AE25" s="26" t="str">
        <f t="shared" si="20"/>
        <v xml:space="preserve"> </v>
      </c>
      <c r="AF25" s="27" t="str">
        <f t="shared" si="21"/>
        <v xml:space="preserve"> </v>
      </c>
      <c r="AG25" s="178" t="str">
        <f t="shared" si="9"/>
        <v>SP (F)</v>
      </c>
      <c r="AH25" s="177" t="str">
        <f t="shared" si="10"/>
        <v>SP (N)</v>
      </c>
      <c r="AI25" s="177" t="str">
        <f t="shared" si="11"/>
        <v xml:space="preserve"> </v>
      </c>
      <c r="AJ25" s="180" t="str">
        <f t="shared" si="12"/>
        <v xml:space="preserve"> </v>
      </c>
      <c r="AK25" s="178" t="str">
        <f t="shared" si="13"/>
        <v xml:space="preserve"> </v>
      </c>
      <c r="AL25" s="177" t="str">
        <f t="shared" si="14"/>
        <v xml:space="preserve"> </v>
      </c>
      <c r="AM25" s="177" t="str">
        <f t="shared" si="15"/>
        <v xml:space="preserve"> </v>
      </c>
      <c r="AN25" s="179" t="str">
        <f t="shared" si="16"/>
        <v xml:space="preserve"> </v>
      </c>
    </row>
    <row r="26" spans="1:40" ht="18.75" customHeight="1" thickBot="1" x14ac:dyDescent="0.4">
      <c r="A26" s="344"/>
      <c r="B26" s="19" t="str">
        <f>Mon!B26</f>
        <v>CM+OP</v>
      </c>
      <c r="C26" s="98" t="s">
        <v>65</v>
      </c>
      <c r="D26" s="98"/>
      <c r="E26" s="6" t="str">
        <f>_xlfn.XLOOKUP(F26, $K$88:$K$95, $L$88:$L$95, "Training")</f>
        <v>SP</v>
      </c>
      <c r="F26" s="5" t="s">
        <v>113</v>
      </c>
      <c r="G26" s="6" t="str">
        <f>_xlfn.XLOOKUP(H26, $K$88:$K$95, $L$88:$L$95, "Training")</f>
        <v>MM</v>
      </c>
      <c r="H26" s="5" t="s">
        <v>109</v>
      </c>
      <c r="I26" s="348"/>
      <c r="J26" s="349"/>
      <c r="K26" s="6" t="str">
        <f>_xlfn.XLOOKUP(L26, $K$88:$K$95, $L$88:$L$95, "Training")</f>
        <v>HR</v>
      </c>
      <c r="L26" s="5" t="s">
        <v>75</v>
      </c>
      <c r="M26" s="348"/>
      <c r="N26" s="400"/>
      <c r="O26" s="124"/>
      <c r="Q26" s="29"/>
      <c r="R26" s="29"/>
      <c r="U26" s="165" t="str">
        <f>Mon!U26</f>
        <v>(MK)</v>
      </c>
      <c r="V26" s="9">
        <f t="shared" si="4"/>
        <v>4</v>
      </c>
      <c r="W26" s="36">
        <f>SUM(Mon!V26,Tue!V26,Wed!V26)</f>
        <v>11</v>
      </c>
      <c r="X26" s="165" t="str">
        <f>Mon!U26</f>
        <v>(MK)</v>
      </c>
      <c r="Y26" s="20">
        <f t="shared" si="0"/>
        <v>1</v>
      </c>
      <c r="Z26" s="21">
        <f t="shared" si="1"/>
        <v>1</v>
      </c>
      <c r="AA26" s="21">
        <f t="shared" si="2"/>
        <v>1</v>
      </c>
      <c r="AB26" s="22">
        <f t="shared" si="3"/>
        <v>1</v>
      </c>
      <c r="AC26" s="25" t="str">
        <f t="shared" si="18"/>
        <v xml:space="preserve"> </v>
      </c>
      <c r="AD26" s="26" t="str">
        <f t="shared" si="19"/>
        <v xml:space="preserve"> </v>
      </c>
      <c r="AE26" s="26" t="str">
        <f t="shared" si="20"/>
        <v xml:space="preserve"> </v>
      </c>
      <c r="AF26" s="27" t="str">
        <f t="shared" si="21"/>
        <v xml:space="preserve"> </v>
      </c>
      <c r="AG26" s="178" t="str">
        <f t="shared" si="9"/>
        <v xml:space="preserve"> </v>
      </c>
      <c r="AH26" s="177" t="str">
        <f t="shared" si="10"/>
        <v xml:space="preserve"> </v>
      </c>
      <c r="AI26" s="177" t="str">
        <f t="shared" si="11"/>
        <v xml:space="preserve"> </v>
      </c>
      <c r="AJ26" s="180" t="str">
        <f t="shared" si="12"/>
        <v xml:space="preserve"> </v>
      </c>
      <c r="AK26" s="178" t="str">
        <f t="shared" si="13"/>
        <v>FA (C)</v>
      </c>
      <c r="AL26" s="177" t="str">
        <f t="shared" si="14"/>
        <v>FA (K)</v>
      </c>
      <c r="AM26" s="177" t="str">
        <f t="shared" si="15"/>
        <v>FA (N)</v>
      </c>
      <c r="AN26" s="179" t="str">
        <f t="shared" si="16"/>
        <v>FA (H)</v>
      </c>
    </row>
    <row r="27" spans="1:40" ht="18.75" customHeight="1" thickBot="1" x14ac:dyDescent="0.4">
      <c r="A27" s="344"/>
      <c r="B27" s="19" t="str">
        <f>Mon!B27</f>
        <v>OP/CM/CP</v>
      </c>
      <c r="C27" s="98" t="s">
        <v>69</v>
      </c>
      <c r="D27" s="98"/>
      <c r="E27" s="6" t="str">
        <f>_xlfn.XLOOKUP(F27, $M$88:$M$95, $N$88:$N$95, "Training")</f>
        <v>EVS</v>
      </c>
      <c r="F27" s="5" t="s">
        <v>105</v>
      </c>
      <c r="G27" s="6" t="str">
        <f>_xlfn.XLOOKUP(H27, $M$88:$M$95, $N$88:$N$95, "Training")</f>
        <v>CP</v>
      </c>
      <c r="H27" s="5" t="s">
        <v>82</v>
      </c>
      <c r="I27" s="348"/>
      <c r="J27" s="349"/>
      <c r="K27" s="6" t="str">
        <f>_xlfn.XLOOKUP(L27, $M$88:$M$95, $N$88:$N$95, "Training")</f>
        <v>CA</v>
      </c>
      <c r="L27" s="5" t="s">
        <v>42</v>
      </c>
      <c r="M27" s="348"/>
      <c r="N27" s="400"/>
      <c r="O27" s="124"/>
      <c r="U27" s="165" t="str">
        <f>Mon!U27</f>
        <v>(MS)</v>
      </c>
      <c r="V27" s="9">
        <f t="shared" si="4"/>
        <v>2</v>
      </c>
      <c r="W27" s="36">
        <f>SUM(Mon!V27,Tue!V27,Wed!V27)</f>
        <v>8</v>
      </c>
      <c r="X27" s="165" t="str">
        <f>Mon!U27</f>
        <v>(MS)</v>
      </c>
      <c r="Y27" s="20">
        <f t="shared" si="0"/>
        <v>0</v>
      </c>
      <c r="Z27" s="21">
        <f t="shared" si="1"/>
        <v>1</v>
      </c>
      <c r="AA27" s="21">
        <f t="shared" si="2"/>
        <v>1</v>
      </c>
      <c r="AB27" s="22">
        <f t="shared" si="3"/>
        <v>0</v>
      </c>
      <c r="AC27" s="25" t="str">
        <f t="shared" si="18"/>
        <v xml:space="preserve"> </v>
      </c>
      <c r="AD27" s="26" t="str">
        <f t="shared" si="19"/>
        <v>FMS (B)</v>
      </c>
      <c r="AE27" s="26" t="str">
        <f t="shared" si="20"/>
        <v>AA (C)</v>
      </c>
      <c r="AF27" s="27" t="str">
        <f t="shared" si="21"/>
        <v xml:space="preserve"> </v>
      </c>
      <c r="AG27" s="178" t="str">
        <f t="shared" si="9"/>
        <v xml:space="preserve"> </v>
      </c>
      <c r="AH27" s="177" t="str">
        <f t="shared" si="10"/>
        <v xml:space="preserve"> </v>
      </c>
      <c r="AI27" s="177" t="str">
        <f t="shared" si="11"/>
        <v xml:space="preserve"> </v>
      </c>
      <c r="AJ27" s="180" t="str">
        <f t="shared" si="12"/>
        <v xml:space="preserve"> </v>
      </c>
      <c r="AK27" s="178" t="str">
        <f t="shared" si="13"/>
        <v xml:space="preserve"> </v>
      </c>
      <c r="AL27" s="177" t="str">
        <f t="shared" si="14"/>
        <v xml:space="preserve"> </v>
      </c>
      <c r="AM27" s="177" t="str">
        <f t="shared" si="15"/>
        <v xml:space="preserve"> </v>
      </c>
      <c r="AN27" s="179" t="str">
        <f t="shared" si="16"/>
        <v xml:space="preserve"> </v>
      </c>
    </row>
    <row r="28" spans="1:40" ht="18.75" customHeight="1" thickBot="1" x14ac:dyDescent="0.4">
      <c r="A28" s="344"/>
      <c r="B28" s="19" t="str">
        <f>Mon!B28</f>
        <v>CP+OP</v>
      </c>
      <c r="C28" s="98" t="s">
        <v>72</v>
      </c>
      <c r="D28" s="98"/>
      <c r="E28" s="6" t="str">
        <f>_xlfn.XLOOKUP(F28, $O$88:$O$95, $P$88:$P$95, "Training")</f>
        <v>MM</v>
      </c>
      <c r="F28" s="5" t="s">
        <v>74</v>
      </c>
      <c r="G28" s="6" t="str">
        <f>_xlfn.XLOOKUP(H28, $O$88:$O$95, $P$88:$P$95, "Training")</f>
        <v>CA</v>
      </c>
      <c r="H28" s="5" t="s">
        <v>112</v>
      </c>
      <c r="I28" s="348"/>
      <c r="J28" s="349"/>
      <c r="K28" s="6" t="str">
        <f>_xlfn.XLOOKUP(L28, $O$88:$O$95, $P$88:$P$95, "Training")</f>
        <v>EVS</v>
      </c>
      <c r="L28" s="5" t="s">
        <v>160</v>
      </c>
      <c r="M28" s="348"/>
      <c r="N28" s="400"/>
      <c r="O28" s="124"/>
      <c r="U28" s="165" t="str">
        <f>Mon!U28</f>
        <v>(ND)</v>
      </c>
      <c r="V28" s="9">
        <f t="shared" si="4"/>
        <v>3</v>
      </c>
      <c r="W28" s="36">
        <f>SUM(Mon!V28,Tue!V28,Wed!V28)</f>
        <v>9</v>
      </c>
      <c r="X28" s="165" t="str">
        <f>Mon!U28</f>
        <v>(ND)</v>
      </c>
      <c r="Y28" s="20">
        <f t="shared" si="0"/>
        <v>1</v>
      </c>
      <c r="Z28" s="21">
        <f t="shared" si="1"/>
        <v>1</v>
      </c>
      <c r="AA28" s="21">
        <f t="shared" si="2"/>
        <v>1</v>
      </c>
      <c r="AB28" s="22">
        <f t="shared" si="3"/>
        <v>0</v>
      </c>
      <c r="AC28" s="25" t="str">
        <f t="shared" si="18"/>
        <v>ES (L)</v>
      </c>
      <c r="AD28" s="26" t="str">
        <f t="shared" si="19"/>
        <v xml:space="preserve"> </v>
      </c>
      <c r="AE28" s="26" t="str">
        <f t="shared" si="20"/>
        <v xml:space="preserve"> </v>
      </c>
      <c r="AF28" s="27" t="str">
        <f t="shared" si="21"/>
        <v xml:space="preserve"> </v>
      </c>
      <c r="AG28" s="178" t="str">
        <f t="shared" si="9"/>
        <v xml:space="preserve"> </v>
      </c>
      <c r="AH28" s="177" t="str">
        <f t="shared" si="10"/>
        <v>OP (C)</v>
      </c>
      <c r="AI28" s="177" t="str">
        <f t="shared" si="11"/>
        <v>OP (K)</v>
      </c>
      <c r="AJ28" s="180" t="str">
        <f t="shared" si="12"/>
        <v xml:space="preserve"> </v>
      </c>
      <c r="AK28" s="178" t="str">
        <f t="shared" si="13"/>
        <v xml:space="preserve"> </v>
      </c>
      <c r="AL28" s="177" t="str">
        <f t="shared" si="14"/>
        <v xml:space="preserve"> </v>
      </c>
      <c r="AM28" s="177" t="str">
        <f t="shared" si="15"/>
        <v xml:space="preserve"> </v>
      </c>
      <c r="AN28" s="179" t="str">
        <f t="shared" si="16"/>
        <v xml:space="preserve"> </v>
      </c>
    </row>
    <row r="29" spans="1:40" ht="18.75" customHeight="1" thickBot="1" x14ac:dyDescent="0.4">
      <c r="A29" s="344"/>
      <c r="B29" s="19" t="str">
        <f>Mon!B29</f>
        <v>CP+OP</v>
      </c>
      <c r="C29" s="98" t="s">
        <v>76</v>
      </c>
      <c r="D29" s="98"/>
      <c r="E29" s="6" t="str">
        <f>_xlfn.XLOOKUP(F29, $Q$88:$Q$95, $R$88:$R$95, "Training")</f>
        <v>CA</v>
      </c>
      <c r="F29" s="5" t="s">
        <v>110</v>
      </c>
      <c r="G29" s="6" t="str">
        <f>_xlfn.XLOOKUP(H29, $Q$88:$Q$95, $R$88:$R$95, "Training")</f>
        <v>HR</v>
      </c>
      <c r="H29" s="5" t="s">
        <v>104</v>
      </c>
      <c r="I29" s="348"/>
      <c r="J29" s="349"/>
      <c r="K29" s="6" t="str">
        <f>_xlfn.XLOOKUP(L29, $Q$88:$Q$95, $R$88:$R$95, "Training")</f>
        <v>CP</v>
      </c>
      <c r="L29" s="5" t="s">
        <v>82</v>
      </c>
      <c r="M29" s="348"/>
      <c r="N29" s="400"/>
      <c r="O29" s="124"/>
      <c r="U29" s="165" t="str">
        <f>Mon!U29</f>
        <v>(NG)</v>
      </c>
      <c r="V29" s="9">
        <f t="shared" si="4"/>
        <v>4</v>
      </c>
      <c r="W29" s="36">
        <f>SUM(Mon!V29,Tue!V29,Wed!V29)</f>
        <v>10</v>
      </c>
      <c r="X29" s="165" t="str">
        <f>Mon!U29</f>
        <v>(NG)</v>
      </c>
      <c r="Y29" s="20">
        <f t="shared" si="0"/>
        <v>1</v>
      </c>
      <c r="Z29" s="21">
        <f t="shared" si="1"/>
        <v>1</v>
      </c>
      <c r="AA29" s="21">
        <f t="shared" si="2"/>
        <v>1</v>
      </c>
      <c r="AB29" s="22">
        <f t="shared" si="3"/>
        <v>1</v>
      </c>
      <c r="AC29" s="25" t="str">
        <f t="shared" si="18"/>
        <v>MA (I)</v>
      </c>
      <c r="AD29" s="26" t="str">
        <f t="shared" si="19"/>
        <v>MA (K)</v>
      </c>
      <c r="AE29" s="26" t="str">
        <f t="shared" si="20"/>
        <v>MA (G)</v>
      </c>
      <c r="AF29" s="27" t="str">
        <f t="shared" si="21"/>
        <v>FMS (F)</v>
      </c>
      <c r="AG29" s="178" t="str">
        <f t="shared" si="9"/>
        <v xml:space="preserve"> </v>
      </c>
      <c r="AH29" s="177" t="str">
        <f t="shared" si="10"/>
        <v xml:space="preserve"> </v>
      </c>
      <c r="AI29" s="177" t="str">
        <f t="shared" si="11"/>
        <v xml:space="preserve"> </v>
      </c>
      <c r="AJ29" s="180" t="str">
        <f t="shared" si="12"/>
        <v xml:space="preserve"> </v>
      </c>
      <c r="AK29" s="178" t="str">
        <f t="shared" si="13"/>
        <v xml:space="preserve"> </v>
      </c>
      <c r="AL29" s="177" t="str">
        <f t="shared" si="14"/>
        <v xml:space="preserve"> </v>
      </c>
      <c r="AM29" s="177" t="str">
        <f t="shared" si="15"/>
        <v xml:space="preserve"> </v>
      </c>
      <c r="AN29" s="179" t="str">
        <f t="shared" si="16"/>
        <v xml:space="preserve"> </v>
      </c>
    </row>
    <row r="30" spans="1:40" ht="18.75" customHeight="1" thickBot="1" x14ac:dyDescent="0.4">
      <c r="A30" s="344"/>
      <c r="B30" s="19" t="str">
        <f>Mon!B30</f>
        <v>CP+OP</v>
      </c>
      <c r="C30" s="98" t="s">
        <v>79</v>
      </c>
      <c r="D30" s="98"/>
      <c r="E30" s="6" t="str">
        <f>_xlfn.XLOOKUP(F30, $S$88:$S$95, $T$88:$T$95, "Training")</f>
        <v>HR</v>
      </c>
      <c r="F30" s="5" t="s">
        <v>61</v>
      </c>
      <c r="G30" s="6" t="str">
        <f>_xlfn.XLOOKUP(H30, $S$88:$S$95, $T$88:$T$95, "Training")</f>
        <v>CP</v>
      </c>
      <c r="H30" s="5" t="s">
        <v>105</v>
      </c>
      <c r="I30" s="348"/>
      <c r="J30" s="349"/>
      <c r="K30" s="6" t="str">
        <f>_xlfn.XLOOKUP(L30, $S$88:$S$95, $T$88:$T$95, "Training")</f>
        <v>MM</v>
      </c>
      <c r="L30" s="5" t="s">
        <v>74</v>
      </c>
      <c r="M30" s="348"/>
      <c r="N30" s="400"/>
      <c r="O30" s="124"/>
      <c r="U30" s="165" t="str">
        <f>Mon!U30</f>
        <v>(PM)</v>
      </c>
      <c r="V30" s="9">
        <f t="shared" si="4"/>
        <v>3</v>
      </c>
      <c r="W30" s="36">
        <f>SUM(Mon!V30,Tue!V30,Wed!V30)</f>
        <v>9</v>
      </c>
      <c r="X30" s="165" t="str">
        <f>Mon!U30</f>
        <v>(PM)</v>
      </c>
      <c r="Y30" s="20">
        <f t="shared" si="0"/>
        <v>0</v>
      </c>
      <c r="Z30" s="21">
        <f t="shared" si="1"/>
        <v>1</v>
      </c>
      <c r="AA30" s="21">
        <f t="shared" si="2"/>
        <v>1</v>
      </c>
      <c r="AB30" s="22">
        <f t="shared" si="3"/>
        <v>1</v>
      </c>
      <c r="AC30" s="25" t="str">
        <f t="shared" si="18"/>
        <v xml:space="preserve"> </v>
      </c>
      <c r="AD30" s="26" t="str">
        <f t="shared" si="19"/>
        <v xml:space="preserve"> </v>
      </c>
      <c r="AE30" s="26" t="str">
        <f t="shared" si="20"/>
        <v xml:space="preserve"> </v>
      </c>
      <c r="AF30" s="27" t="str">
        <f t="shared" si="21"/>
        <v xml:space="preserve"> </v>
      </c>
      <c r="AG30" s="178" t="str">
        <f t="shared" si="9"/>
        <v xml:space="preserve"> </v>
      </c>
      <c r="AH30" s="177" t="str">
        <f t="shared" si="10"/>
        <v xml:space="preserve"> </v>
      </c>
      <c r="AI30" s="177" t="str">
        <f t="shared" si="11"/>
        <v xml:space="preserve"> </v>
      </c>
      <c r="AJ30" s="180" t="str">
        <f t="shared" si="12"/>
        <v xml:space="preserve"> </v>
      </c>
      <c r="AK30" s="178" t="str">
        <f t="shared" si="13"/>
        <v xml:space="preserve"> </v>
      </c>
      <c r="AL30" s="177" t="str">
        <f t="shared" si="14"/>
        <v>QT (I)</v>
      </c>
      <c r="AM30" s="177" t="str">
        <f t="shared" si="15"/>
        <v>QT (E)</v>
      </c>
      <c r="AN30" s="179" t="str">
        <f t="shared" si="16"/>
        <v>QT (F)</v>
      </c>
    </row>
    <row r="31" spans="1:40" ht="18.75" customHeight="1" thickBot="1" x14ac:dyDescent="0.4">
      <c r="A31" s="344"/>
      <c r="B31" s="19" t="str">
        <f>Mon!B31</f>
        <v>CM+SP</v>
      </c>
      <c r="C31" s="98" t="s">
        <v>81</v>
      </c>
      <c r="D31" s="98"/>
      <c r="E31" s="6" t="str">
        <f>_xlfn.XLOOKUP(F31, $U$88:$U$95, $V$88:$V$95, "Training")</f>
        <v>ED</v>
      </c>
      <c r="F31" s="5" t="s">
        <v>111</v>
      </c>
      <c r="G31" s="6" t="str">
        <f>_xlfn.XLOOKUP(H31, $U$88:$U$95, $V$88:$V$95, "Training")</f>
        <v>MM</v>
      </c>
      <c r="H31" s="5" t="s">
        <v>107</v>
      </c>
      <c r="I31" s="348"/>
      <c r="J31" s="349"/>
      <c r="K31" s="6" t="str">
        <f>_xlfn.XLOOKUP(L31, $U$88:$U$95, $V$88:$V$95, "Training")</f>
        <v>OP</v>
      </c>
      <c r="L31" s="5" t="s">
        <v>119</v>
      </c>
      <c r="M31" s="348"/>
      <c r="N31" s="400"/>
      <c r="O31" s="124"/>
      <c r="U31" s="165" t="str">
        <f>Mon!U31</f>
        <v>(PR)</v>
      </c>
      <c r="V31" s="9">
        <f t="shared" si="4"/>
        <v>2</v>
      </c>
      <c r="W31" s="36">
        <f>SUM(Mon!V31,Tue!V31,Wed!V31)</f>
        <v>10</v>
      </c>
      <c r="X31" s="165" t="str">
        <f>Mon!U31</f>
        <v>(PR)</v>
      </c>
      <c r="Y31" s="20">
        <f t="shared" si="0"/>
        <v>1</v>
      </c>
      <c r="Z31" s="21">
        <f t="shared" si="1"/>
        <v>0</v>
      </c>
      <c r="AA31" s="21">
        <f t="shared" si="2"/>
        <v>1</v>
      </c>
      <c r="AB31" s="22">
        <f t="shared" si="3"/>
        <v>0</v>
      </c>
      <c r="AC31" s="25" t="str">
        <f t="shared" si="18"/>
        <v xml:space="preserve"> </v>
      </c>
      <c r="AD31" s="26" t="str">
        <f t="shared" si="19"/>
        <v xml:space="preserve"> </v>
      </c>
      <c r="AE31" s="26" t="str">
        <f t="shared" si="20"/>
        <v xml:space="preserve"> </v>
      </c>
      <c r="AF31" s="27" t="str">
        <f t="shared" si="21"/>
        <v xml:space="preserve"> </v>
      </c>
      <c r="AG31" s="178" t="str">
        <f t="shared" si="9"/>
        <v xml:space="preserve"> </v>
      </c>
      <c r="AH31" s="177" t="str">
        <f t="shared" si="10"/>
        <v xml:space="preserve"> </v>
      </c>
      <c r="AI31" s="177" t="str">
        <f t="shared" si="11"/>
        <v xml:space="preserve"> </v>
      </c>
      <c r="AJ31" s="180" t="str">
        <f t="shared" si="12"/>
        <v xml:space="preserve"> </v>
      </c>
      <c r="AK31" s="178" t="str">
        <f t="shared" si="13"/>
        <v>GE (L)</v>
      </c>
      <c r="AL31" s="177" t="str">
        <f t="shared" si="14"/>
        <v xml:space="preserve"> </v>
      </c>
      <c r="AM31" s="177" t="str">
        <f t="shared" si="15"/>
        <v>GE (F)</v>
      </c>
      <c r="AN31" s="179" t="str">
        <f t="shared" si="16"/>
        <v xml:space="preserve"> </v>
      </c>
    </row>
    <row r="32" spans="1:40" ht="18.75" customHeight="1" thickBot="1" x14ac:dyDescent="0.4">
      <c r="A32" s="344"/>
      <c r="B32" s="19" t="str">
        <f>Mon!B32</f>
        <v>CM+SP+CP</v>
      </c>
      <c r="C32" s="98" t="s">
        <v>84</v>
      </c>
      <c r="D32" s="98"/>
      <c r="E32" s="6" t="str">
        <f>_xlfn.XLOOKUP(F32, $W$88:$W$95, $X$88:$X$95, "Training")</f>
        <v>ED</v>
      </c>
      <c r="F32" s="5" t="s">
        <v>108</v>
      </c>
      <c r="G32" s="6" t="str">
        <f>_xlfn.XLOOKUP(H32, $W$88:$W$95, $X$88:$X$95, "Training")</f>
        <v>EVS</v>
      </c>
      <c r="H32" s="5" t="s">
        <v>111</v>
      </c>
      <c r="I32" s="348"/>
      <c r="J32" s="349"/>
      <c r="K32" s="6" t="str">
        <f>_xlfn.XLOOKUP(L32, $W$88:$W$95, $X$88:$X$95, "Training")</f>
        <v>CP</v>
      </c>
      <c r="L32" s="5" t="s">
        <v>105</v>
      </c>
      <c r="M32" s="348"/>
      <c r="N32" s="400"/>
      <c r="O32" s="124"/>
      <c r="U32" s="165" t="str">
        <f>Mon!U32</f>
        <v>(RG)</v>
      </c>
      <c r="V32" s="9">
        <f t="shared" si="4"/>
        <v>2</v>
      </c>
      <c r="W32" s="36">
        <f>SUM(Mon!V32,Tue!V32,Wed!V32)</f>
        <v>7</v>
      </c>
      <c r="X32" s="165" t="str">
        <f>Mon!U32</f>
        <v>(RG)</v>
      </c>
      <c r="Y32" s="20">
        <f t="shared" si="0"/>
        <v>0</v>
      </c>
      <c r="Z32" s="21">
        <f t="shared" si="1"/>
        <v>1</v>
      </c>
      <c r="AA32" s="21">
        <f t="shared" si="2"/>
        <v>0</v>
      </c>
      <c r="AB32" s="22">
        <f t="shared" si="3"/>
        <v>1</v>
      </c>
      <c r="AC32" s="25" t="str">
        <f t="shared" si="18"/>
        <v xml:space="preserve"> </v>
      </c>
      <c r="AD32" s="26" t="str">
        <f t="shared" si="19"/>
        <v>MA (C)</v>
      </c>
      <c r="AE32" s="26" t="str">
        <f t="shared" si="20"/>
        <v xml:space="preserve"> </v>
      </c>
      <c r="AF32" s="27" t="str">
        <f t="shared" si="21"/>
        <v>MA (L)</v>
      </c>
      <c r="AG32" s="178" t="str">
        <f t="shared" si="9"/>
        <v xml:space="preserve"> </v>
      </c>
      <c r="AH32" s="177" t="str">
        <f t="shared" si="10"/>
        <v xml:space="preserve"> </v>
      </c>
      <c r="AI32" s="177" t="str">
        <f t="shared" si="11"/>
        <v xml:space="preserve"> </v>
      </c>
      <c r="AJ32" s="180" t="str">
        <f t="shared" si="12"/>
        <v xml:space="preserve"> </v>
      </c>
      <c r="AK32" s="178" t="str">
        <f t="shared" si="13"/>
        <v xml:space="preserve"> </v>
      </c>
      <c r="AL32" s="177" t="str">
        <f t="shared" si="14"/>
        <v xml:space="preserve"> </v>
      </c>
      <c r="AM32" s="177" t="str">
        <f t="shared" si="15"/>
        <v xml:space="preserve"> </v>
      </c>
      <c r="AN32" s="179" t="str">
        <f t="shared" si="16"/>
        <v xml:space="preserve"> </v>
      </c>
    </row>
    <row r="33" spans="1:40" ht="18.75" customHeight="1" thickBot="1" x14ac:dyDescent="0.4">
      <c r="A33" s="344"/>
      <c r="B33" s="19" t="str">
        <f>Mon!B33</f>
        <v>CP+SP</v>
      </c>
      <c r="C33" s="98" t="s">
        <v>126</v>
      </c>
      <c r="D33" s="98"/>
      <c r="E33" s="6" t="str">
        <f>_xlfn.XLOOKUP(F33, $Y$88:$Y$95, $Z$88:$Z$95, "Training")</f>
        <v>MM</v>
      </c>
      <c r="F33" s="5" t="s">
        <v>109</v>
      </c>
      <c r="G33" s="6" t="str">
        <f>_xlfn.XLOOKUP(H33, $Y$88:$Y$95, $Z$88:$Z$95, "Training")</f>
        <v>EVS</v>
      </c>
      <c r="H33" s="5" t="s">
        <v>54</v>
      </c>
      <c r="I33" s="348"/>
      <c r="J33" s="349"/>
      <c r="K33" s="6" t="str">
        <f>_xlfn.XLOOKUP(L33, $Y$88:$Y$95, $Z$88:$Z$95, "Training")</f>
        <v>ED</v>
      </c>
      <c r="L33" s="5" t="s">
        <v>108</v>
      </c>
      <c r="M33" s="348"/>
      <c r="N33" s="400"/>
      <c r="O33" s="124"/>
      <c r="U33" s="165" t="str">
        <f>Mon!U33</f>
        <v>(RP)</v>
      </c>
      <c r="V33" s="9">
        <f t="shared" si="4"/>
        <v>1</v>
      </c>
      <c r="W33" s="36">
        <f>SUM(Mon!V33,Tue!V33,Wed!V33)</f>
        <v>3</v>
      </c>
      <c r="X33" s="165" t="str">
        <f>Mon!U33</f>
        <v>(RP)</v>
      </c>
      <c r="Y33" s="20">
        <f t="shared" si="0"/>
        <v>1</v>
      </c>
      <c r="Z33" s="21">
        <f t="shared" si="1"/>
        <v>0</v>
      </c>
      <c r="AA33" s="21">
        <f t="shared" si="2"/>
        <v>0</v>
      </c>
      <c r="AB33" s="22">
        <f t="shared" si="3"/>
        <v>0</v>
      </c>
      <c r="AC33" s="25" t="str">
        <f t="shared" si="18"/>
        <v xml:space="preserve"> </v>
      </c>
      <c r="AD33" s="26" t="str">
        <f t="shared" si="19"/>
        <v xml:space="preserve"> </v>
      </c>
      <c r="AE33" s="26" t="str">
        <f t="shared" si="20"/>
        <v xml:space="preserve"> </v>
      </c>
      <c r="AF33" s="27" t="str">
        <f t="shared" si="21"/>
        <v xml:space="preserve"> </v>
      </c>
      <c r="AG33" s="178" t="str">
        <f t="shared" si="9"/>
        <v xml:space="preserve"> </v>
      </c>
      <c r="AH33" s="177" t="str">
        <f t="shared" si="10"/>
        <v xml:space="preserve"> </v>
      </c>
      <c r="AI33" s="177" t="str">
        <f t="shared" si="11"/>
        <v xml:space="preserve"> </v>
      </c>
      <c r="AJ33" s="180" t="str">
        <f t="shared" si="12"/>
        <v xml:space="preserve"> </v>
      </c>
      <c r="AK33" s="178" t="str">
        <f t="shared" si="13"/>
        <v>SAN (N)</v>
      </c>
      <c r="AL33" s="177" t="str">
        <f t="shared" si="14"/>
        <v xml:space="preserve"> </v>
      </c>
      <c r="AM33" s="177" t="str">
        <f t="shared" si="15"/>
        <v xml:space="preserve"> </v>
      </c>
      <c r="AN33" s="179" t="str">
        <f t="shared" si="16"/>
        <v xml:space="preserve"> </v>
      </c>
    </row>
    <row r="34" spans="1:40" ht="18.75" customHeight="1" thickBot="1" x14ac:dyDescent="0.4">
      <c r="A34" s="344"/>
      <c r="B34" s="19" t="str">
        <f>Mon!B34</f>
        <v>CP+SP</v>
      </c>
      <c r="C34" s="98" t="s">
        <v>128</v>
      </c>
      <c r="D34" s="98"/>
      <c r="E34" s="6" t="str">
        <f>_xlfn.XLOOKUP(F34, $AA$88:$AA$95, $AB$88:$AB$95, "Training")</f>
        <v>MM</v>
      </c>
      <c r="F34" s="5" t="s">
        <v>70</v>
      </c>
      <c r="G34" s="6" t="str">
        <f>_xlfn.XLOOKUP(H34, $AA$88:$AA$95, $AB$88:$AB$95, "Training")</f>
        <v>SP</v>
      </c>
      <c r="H34" s="5" t="s">
        <v>113</v>
      </c>
      <c r="I34" s="348"/>
      <c r="J34" s="349"/>
      <c r="K34" s="6" t="str">
        <f>_xlfn.XLOOKUP(L34, $AA$88:$AA$95, $AB$88:$AB$95, "Training")</f>
        <v>CA</v>
      </c>
      <c r="L34" s="5" t="s">
        <v>106</v>
      </c>
      <c r="M34" s="348"/>
      <c r="N34" s="400"/>
      <c r="O34" s="124"/>
      <c r="U34" s="165" t="str">
        <f>Mon!U34</f>
        <v>(RT)</v>
      </c>
      <c r="V34" s="9">
        <f t="shared" si="4"/>
        <v>2</v>
      </c>
      <c r="W34" s="36">
        <f>SUM(Mon!V34,Tue!V34,Wed!V34)</f>
        <v>7</v>
      </c>
      <c r="X34" s="165" t="str">
        <f>Mon!U34</f>
        <v>(RT)</v>
      </c>
      <c r="Y34" s="20">
        <f t="shared" si="0"/>
        <v>0</v>
      </c>
      <c r="Z34" s="21">
        <f t="shared" si="1"/>
        <v>1</v>
      </c>
      <c r="AA34" s="21">
        <f t="shared" si="2"/>
        <v>1</v>
      </c>
      <c r="AB34" s="22">
        <f t="shared" si="3"/>
        <v>0</v>
      </c>
      <c r="AC34" s="25" t="str">
        <f t="shared" si="18"/>
        <v xml:space="preserve"> </v>
      </c>
      <c r="AD34" s="26" t="str">
        <f t="shared" si="19"/>
        <v xml:space="preserve"> </v>
      </c>
      <c r="AE34" s="26" t="str">
        <f t="shared" si="20"/>
        <v>CHRM (L)</v>
      </c>
      <c r="AF34" s="27" t="str">
        <f t="shared" si="21"/>
        <v xml:space="preserve"> </v>
      </c>
      <c r="AG34" s="178" t="str">
        <f t="shared" si="9"/>
        <v xml:space="preserve"> </v>
      </c>
      <c r="AH34" s="177" t="str">
        <f t="shared" si="10"/>
        <v>HR (A)</v>
      </c>
      <c r="AI34" s="177" t="str">
        <f t="shared" si="11"/>
        <v xml:space="preserve"> </v>
      </c>
      <c r="AJ34" s="180" t="str">
        <f t="shared" si="12"/>
        <v xml:space="preserve"> </v>
      </c>
      <c r="AK34" s="178" t="str">
        <f t="shared" si="13"/>
        <v xml:space="preserve"> </v>
      </c>
      <c r="AL34" s="177" t="str">
        <f t="shared" si="14"/>
        <v xml:space="preserve"> </v>
      </c>
      <c r="AM34" s="177" t="str">
        <f t="shared" si="15"/>
        <v xml:space="preserve"> </v>
      </c>
      <c r="AN34" s="179" t="str">
        <f t="shared" si="16"/>
        <v xml:space="preserve"> </v>
      </c>
    </row>
    <row r="35" spans="1:40" ht="18.75" customHeight="1" thickBot="1" x14ac:dyDescent="0.4">
      <c r="A35" s="344"/>
      <c r="B35" s="99" t="str">
        <f>Mon!B35</f>
        <v>BAJ</v>
      </c>
      <c r="C35" s="162" t="s">
        <v>41</v>
      </c>
      <c r="D35" s="162"/>
      <c r="E35" s="6" t="s">
        <v>135</v>
      </c>
      <c r="F35" s="5" t="s">
        <v>98</v>
      </c>
      <c r="G35" s="6" t="s">
        <v>129</v>
      </c>
      <c r="H35" s="5" t="s">
        <v>100</v>
      </c>
      <c r="I35" s="348"/>
      <c r="J35" s="349"/>
      <c r="K35" s="6" t="s">
        <v>130</v>
      </c>
      <c r="L35" s="310" t="s">
        <v>131</v>
      </c>
      <c r="M35" s="81" t="s">
        <v>190</v>
      </c>
      <c r="N35" s="329" t="s">
        <v>113</v>
      </c>
      <c r="O35" s="311"/>
      <c r="U35" s="165" t="str">
        <f>Mon!U35</f>
        <v>(SA)</v>
      </c>
      <c r="V35" s="9">
        <f t="shared" si="4"/>
        <v>2</v>
      </c>
      <c r="W35" s="36">
        <f>SUM(Mon!V35,Tue!V35,Wed!V35)</f>
        <v>10</v>
      </c>
      <c r="X35" s="165" t="str">
        <f>Mon!U35</f>
        <v>(SA)</v>
      </c>
      <c r="Y35" s="20">
        <f t="shared" si="0"/>
        <v>0</v>
      </c>
      <c r="Z35" s="21">
        <f t="shared" si="1"/>
        <v>1</v>
      </c>
      <c r="AA35" s="21">
        <f t="shared" si="2"/>
        <v>1</v>
      </c>
      <c r="AB35" s="22">
        <f t="shared" si="3"/>
        <v>0</v>
      </c>
      <c r="AC35" s="25" t="str">
        <f t="shared" si="18"/>
        <v xml:space="preserve"> </v>
      </c>
      <c r="AD35" s="26" t="str">
        <f t="shared" si="19"/>
        <v xml:space="preserve"> </v>
      </c>
      <c r="AE35" s="26" t="str">
        <f t="shared" si="20"/>
        <v xml:space="preserve"> </v>
      </c>
      <c r="AF35" s="27" t="str">
        <f t="shared" si="21"/>
        <v xml:space="preserve"> </v>
      </c>
      <c r="AG35" s="178" t="str">
        <f t="shared" si="9"/>
        <v xml:space="preserve"> </v>
      </c>
      <c r="AH35" s="177" t="str">
        <f t="shared" si="10"/>
        <v xml:space="preserve"> </v>
      </c>
      <c r="AI35" s="177" t="str">
        <f t="shared" si="11"/>
        <v xml:space="preserve"> </v>
      </c>
      <c r="AJ35" s="180" t="str">
        <f t="shared" si="12"/>
        <v xml:space="preserve"> </v>
      </c>
      <c r="AK35" s="178" t="str">
        <f t="shared" si="13"/>
        <v xml:space="preserve"> </v>
      </c>
      <c r="AL35" s="177" t="str">
        <f t="shared" si="14"/>
        <v>GE (A)</v>
      </c>
      <c r="AM35" s="177" t="str">
        <f t="shared" si="15"/>
        <v>GE (H)</v>
      </c>
      <c r="AN35" s="179" t="str">
        <f t="shared" si="16"/>
        <v xml:space="preserve"> </v>
      </c>
    </row>
    <row r="36" spans="1:40" ht="18.75" customHeight="1" x14ac:dyDescent="0.35">
      <c r="A36" s="345"/>
      <c r="B36" s="99" t="str">
        <f>Mon!B36</f>
        <v>BAJ</v>
      </c>
      <c r="C36" s="162" t="s">
        <v>49</v>
      </c>
      <c r="D36" s="162"/>
      <c r="E36" s="6" t="s">
        <v>129</v>
      </c>
      <c r="F36" s="5" t="s">
        <v>94</v>
      </c>
      <c r="G36" s="6" t="s">
        <v>130</v>
      </c>
      <c r="H36" s="5" t="s">
        <v>131</v>
      </c>
      <c r="I36" s="350"/>
      <c r="J36" s="351"/>
      <c r="K36" s="6" t="s">
        <v>135</v>
      </c>
      <c r="L36" s="310" t="s">
        <v>89</v>
      </c>
      <c r="M36" s="33" t="s">
        <v>198</v>
      </c>
      <c r="N36" s="34" t="s">
        <v>195</v>
      </c>
      <c r="O36" s="311"/>
      <c r="U36" s="165" t="str">
        <f>Mon!U36</f>
        <v>(SAK)</v>
      </c>
      <c r="V36" s="9">
        <f t="shared" si="4"/>
        <v>3</v>
      </c>
      <c r="W36" s="36">
        <f>SUM(Mon!V36,Tue!V36,Wed!V36)</f>
        <v>9</v>
      </c>
      <c r="X36" s="165" t="str">
        <f>Mon!U36</f>
        <v>(SAK)</v>
      </c>
      <c r="Y36" s="20">
        <f t="shared" si="0"/>
        <v>1</v>
      </c>
      <c r="Z36" s="21">
        <f t="shared" si="1"/>
        <v>1</v>
      </c>
      <c r="AA36" s="21">
        <f t="shared" si="2"/>
        <v>1</v>
      </c>
      <c r="AB36" s="22">
        <f t="shared" si="3"/>
        <v>0</v>
      </c>
      <c r="AC36" s="25" t="str">
        <f t="shared" si="18"/>
        <v xml:space="preserve"> </v>
      </c>
      <c r="AD36" s="26" t="str">
        <f t="shared" si="19"/>
        <v xml:space="preserve"> </v>
      </c>
      <c r="AE36" s="26" t="str">
        <f t="shared" si="20"/>
        <v xml:space="preserve"> </v>
      </c>
      <c r="AF36" s="27" t="str">
        <f t="shared" si="21"/>
        <v xml:space="preserve"> </v>
      </c>
      <c r="AG36" s="178" t="str">
        <f t="shared" si="9"/>
        <v>CM (E)</v>
      </c>
      <c r="AH36" s="177" t="str">
        <f t="shared" si="10"/>
        <v>MM (K)</v>
      </c>
      <c r="AI36" s="177" t="str">
        <f t="shared" si="11"/>
        <v>CM (B)</v>
      </c>
      <c r="AJ36" s="180" t="str">
        <f t="shared" si="12"/>
        <v xml:space="preserve"> </v>
      </c>
      <c r="AK36" s="178" t="str">
        <f t="shared" si="13"/>
        <v xml:space="preserve"> </v>
      </c>
      <c r="AL36" s="177" t="str">
        <f t="shared" si="14"/>
        <v xml:space="preserve"> </v>
      </c>
      <c r="AM36" s="177" t="str">
        <f t="shared" si="15"/>
        <v xml:space="preserve"> </v>
      </c>
      <c r="AN36" s="179" t="str">
        <f t="shared" si="16"/>
        <v xml:space="preserve"> </v>
      </c>
    </row>
    <row r="37" spans="1:40" ht="18.75" customHeight="1" x14ac:dyDescent="0.35">
      <c r="A37" s="192" t="s">
        <v>26</v>
      </c>
      <c r="B37" s="299"/>
      <c r="C37" s="94" t="s">
        <v>27</v>
      </c>
      <c r="D37" s="95" t="s">
        <v>136</v>
      </c>
      <c r="E37" s="352" t="s">
        <v>137</v>
      </c>
      <c r="F37" s="353"/>
      <c r="G37" s="354" t="s">
        <v>138</v>
      </c>
      <c r="H37" s="353"/>
      <c r="I37" s="354" t="s">
        <v>139</v>
      </c>
      <c r="J37" s="353"/>
      <c r="K37" s="354" t="s">
        <v>140</v>
      </c>
      <c r="L37" s="353"/>
      <c r="M37" s="390" t="s">
        <v>141</v>
      </c>
      <c r="N37" s="398"/>
      <c r="O37" s="124"/>
      <c r="U37" s="165" t="str">
        <f>Mon!U37</f>
        <v>(SB)</v>
      </c>
      <c r="V37" s="9">
        <f t="shared" si="4"/>
        <v>3</v>
      </c>
      <c r="W37" s="36">
        <f>SUM(Mon!V37,Tue!V37,Wed!V37)</f>
        <v>9</v>
      </c>
      <c r="X37" s="165" t="str">
        <f>Mon!U37</f>
        <v>(SB)</v>
      </c>
      <c r="Y37" s="20">
        <f t="shared" si="0"/>
        <v>1</v>
      </c>
      <c r="Z37" s="21">
        <f t="shared" si="1"/>
        <v>1</v>
      </c>
      <c r="AA37" s="21">
        <f t="shared" si="2"/>
        <v>1</v>
      </c>
      <c r="AB37" s="22">
        <f t="shared" si="3"/>
        <v>0</v>
      </c>
      <c r="AC37" s="25" t="str">
        <f t="shared" si="18"/>
        <v xml:space="preserve"> </v>
      </c>
      <c r="AD37" s="26" t="str">
        <f t="shared" si="19"/>
        <v xml:space="preserve"> </v>
      </c>
      <c r="AE37" s="26" t="str">
        <f t="shared" si="20"/>
        <v xml:space="preserve"> </v>
      </c>
      <c r="AF37" s="27" t="str">
        <f t="shared" si="21"/>
        <v xml:space="preserve"> </v>
      </c>
      <c r="AG37" s="178" t="str">
        <f t="shared" si="9"/>
        <v>MM (M)</v>
      </c>
      <c r="AH37" s="177" t="str">
        <f t="shared" si="10"/>
        <v>MM (F)</v>
      </c>
      <c r="AI37" s="177" t="str">
        <f t="shared" si="11"/>
        <v>MM (C)</v>
      </c>
      <c r="AJ37" s="180" t="str">
        <f t="shared" si="12"/>
        <v xml:space="preserve"> </v>
      </c>
      <c r="AK37" s="178" t="str">
        <f t="shared" si="13"/>
        <v xml:space="preserve"> </v>
      </c>
      <c r="AL37" s="177" t="str">
        <f t="shared" si="14"/>
        <v xml:space="preserve"> </v>
      </c>
      <c r="AM37" s="177" t="str">
        <f t="shared" si="15"/>
        <v xml:space="preserve"> </v>
      </c>
      <c r="AN37" s="179" t="str">
        <f t="shared" si="16"/>
        <v xml:space="preserve"> </v>
      </c>
    </row>
    <row r="38" spans="1:40" ht="17.25" customHeight="1" x14ac:dyDescent="0.35">
      <c r="A38" s="332">
        <v>1</v>
      </c>
      <c r="B38" s="100" t="str">
        <f>Mon!B38</f>
        <v>AE</v>
      </c>
      <c r="C38" s="100" t="s">
        <v>41</v>
      </c>
      <c r="D38" s="91">
        <v>308</v>
      </c>
      <c r="E38" s="191" t="str">
        <f>_xlfn.XLOOKUP(F38, $A$74:$A$83, $B$74:$B$83, "Training")</f>
        <v>QT</v>
      </c>
      <c r="F38" s="96" t="s">
        <v>148</v>
      </c>
      <c r="G38" s="191" t="str">
        <f>_xlfn.XLOOKUP(H38, $A$74:$A$83, $B$74:$B$83, "Training")</f>
        <v>GE</v>
      </c>
      <c r="H38" s="51" t="s">
        <v>133</v>
      </c>
      <c r="I38" s="335" t="s">
        <v>143</v>
      </c>
      <c r="J38" s="336"/>
      <c r="K38" s="191" t="str">
        <f>_xlfn.XLOOKUP(L38, $A$74:$A$83, $B$74:$B$83, "Training")</f>
        <v>BM</v>
      </c>
      <c r="L38" s="96" t="s">
        <v>61</v>
      </c>
      <c r="M38" s="191" t="str">
        <f>_xlfn.XLOOKUP(N38, $A$74:$A$83, $B$74:$B$83, "Training")</f>
        <v>AE</v>
      </c>
      <c r="N38" s="96" t="s">
        <v>144</v>
      </c>
      <c r="O38" s="124"/>
      <c r="U38" s="165" t="str">
        <f>Mon!U38</f>
        <v>(SC)</v>
      </c>
      <c r="V38" s="9">
        <f t="shared" si="4"/>
        <v>2</v>
      </c>
      <c r="W38" s="36">
        <f>SUM(Mon!V38,Tue!V38,Wed!V38)</f>
        <v>8</v>
      </c>
      <c r="X38" s="165" t="str">
        <f>Mon!U38</f>
        <v>(SC)</v>
      </c>
      <c r="Y38" s="20">
        <f t="shared" si="0"/>
        <v>1</v>
      </c>
      <c r="Z38" s="21">
        <f t="shared" si="1"/>
        <v>0</v>
      </c>
      <c r="AA38" s="21">
        <f t="shared" si="2"/>
        <v>0</v>
      </c>
      <c r="AB38" s="22">
        <f t="shared" si="3"/>
        <v>1</v>
      </c>
      <c r="AC38" s="25" t="str">
        <f t="shared" si="18"/>
        <v xml:space="preserve"> </v>
      </c>
      <c r="AD38" s="26" t="str">
        <f t="shared" si="19"/>
        <v xml:space="preserve"> </v>
      </c>
      <c r="AE38" s="26" t="str">
        <f t="shared" si="20"/>
        <v xml:space="preserve"> </v>
      </c>
      <c r="AF38" s="27" t="str">
        <f t="shared" si="21"/>
        <v xml:space="preserve"> </v>
      </c>
      <c r="AG38" s="178" t="str">
        <f t="shared" si="9"/>
        <v xml:space="preserve"> </v>
      </c>
      <c r="AH38" s="177" t="str">
        <f t="shared" si="10"/>
        <v xml:space="preserve"> </v>
      </c>
      <c r="AI38" s="177" t="str">
        <f t="shared" si="11"/>
        <v xml:space="preserve"> </v>
      </c>
      <c r="AJ38" s="180" t="str">
        <f t="shared" si="12"/>
        <v xml:space="preserve"> </v>
      </c>
      <c r="AK38" s="178" t="str">
        <f t="shared" si="13"/>
        <v>AE (E)</v>
      </c>
      <c r="AL38" s="177" t="str">
        <f t="shared" si="14"/>
        <v xml:space="preserve"> </v>
      </c>
      <c r="AM38" s="177" t="str">
        <f t="shared" si="15"/>
        <v xml:space="preserve"> </v>
      </c>
      <c r="AN38" s="179" t="str">
        <f t="shared" si="16"/>
        <v>AE (A)</v>
      </c>
    </row>
    <row r="39" spans="1:40" ht="17.25" customHeight="1" thickBot="1" x14ac:dyDescent="0.4">
      <c r="A39" s="333"/>
      <c r="B39" s="19" t="str">
        <f>Mon!B39</f>
        <v>AE</v>
      </c>
      <c r="C39" s="19" t="s">
        <v>49</v>
      </c>
      <c r="D39" s="76">
        <v>304</v>
      </c>
      <c r="E39" s="49" t="str">
        <f>_xlfn.XLOOKUP(F39, $C$74:$C$83, $D$74:$D$83, "Training")</f>
        <v>FA</v>
      </c>
      <c r="F39" s="50" t="s">
        <v>145</v>
      </c>
      <c r="G39" s="49" t="str">
        <f>_xlfn.XLOOKUP(H39, $C$74:$C$83, $D$74:$D$83, "Training")</f>
        <v>BT</v>
      </c>
      <c r="H39" s="50" t="s">
        <v>103</v>
      </c>
      <c r="I39" s="337"/>
      <c r="J39" s="338"/>
      <c r="K39" s="49" t="str">
        <f>_xlfn.XLOOKUP(L39, $C$74:$C$83, $D$74:$D$83, "Training")</f>
        <v>BM</v>
      </c>
      <c r="L39" s="50" t="s">
        <v>146</v>
      </c>
      <c r="M39" s="49" t="str">
        <f>_xlfn.XLOOKUP(N39, $C$74:$C$83, $D$74:$D$83, "Training")</f>
        <v>QT</v>
      </c>
      <c r="N39" s="50" t="s">
        <v>71</v>
      </c>
      <c r="O39" s="124"/>
      <c r="U39" s="165" t="str">
        <f>Mon!U39</f>
        <v>(SE)</v>
      </c>
      <c r="V39" s="9">
        <f t="shared" si="4"/>
        <v>3</v>
      </c>
      <c r="W39" s="36">
        <f>SUM(Mon!V39,Tue!V39,Wed!V39)</f>
        <v>11</v>
      </c>
      <c r="X39" s="165" t="str">
        <f>Mon!U39</f>
        <v>(SE)</v>
      </c>
      <c r="Y39" s="20">
        <f t="shared" si="0"/>
        <v>1</v>
      </c>
      <c r="Z39" s="21">
        <f t="shared" si="1"/>
        <v>1</v>
      </c>
      <c r="AA39" s="21">
        <f t="shared" si="2"/>
        <v>1</v>
      </c>
      <c r="AB39" s="22">
        <f t="shared" si="3"/>
        <v>0</v>
      </c>
      <c r="AC39" s="25" t="str">
        <f t="shared" si="18"/>
        <v xml:space="preserve"> </v>
      </c>
      <c r="AD39" s="26" t="str">
        <f t="shared" si="19"/>
        <v xml:space="preserve"> </v>
      </c>
      <c r="AE39" s="26" t="str">
        <f t="shared" si="20"/>
        <v xml:space="preserve"> </v>
      </c>
      <c r="AF39" s="27" t="str">
        <f t="shared" si="21"/>
        <v xml:space="preserve"> </v>
      </c>
      <c r="AG39" s="178" t="str">
        <f t="shared" si="9"/>
        <v xml:space="preserve"> </v>
      </c>
      <c r="AH39" s="177" t="str">
        <f t="shared" si="10"/>
        <v xml:space="preserve"> </v>
      </c>
      <c r="AI39" s="177" t="str">
        <f t="shared" si="11"/>
        <v xml:space="preserve"> </v>
      </c>
      <c r="AJ39" s="180" t="str">
        <f t="shared" si="12"/>
        <v xml:space="preserve"> </v>
      </c>
      <c r="AK39" s="178" t="str">
        <f t="shared" si="13"/>
        <v>BT (M)</v>
      </c>
      <c r="AL39" s="177" t="str">
        <f t="shared" si="14"/>
        <v>BM (E)</v>
      </c>
      <c r="AM39" s="177" t="str">
        <f t="shared" si="15"/>
        <v>BM (B)</v>
      </c>
      <c r="AN39" s="179" t="str">
        <f t="shared" si="16"/>
        <v xml:space="preserve"> </v>
      </c>
    </row>
    <row r="40" spans="1:40" ht="17.25" customHeight="1" thickBot="1" x14ac:dyDescent="0.4">
      <c r="A40" s="333"/>
      <c r="B40" s="19" t="str">
        <f>Mon!B40</f>
        <v>AE</v>
      </c>
      <c r="C40" s="19" t="s">
        <v>55</v>
      </c>
      <c r="D40" s="76">
        <v>204</v>
      </c>
      <c r="E40" s="48" t="str">
        <f>_xlfn.XLOOKUP(F40, $E$74:$E$83, $F$74:$F$83, "Training")</f>
        <v>FA</v>
      </c>
      <c r="F40" s="51" t="s">
        <v>115</v>
      </c>
      <c r="G40" s="48" t="str">
        <f>_xlfn.XLOOKUP(H40, $E$74:$E$83, $F$74:$F$83, "Training")</f>
        <v>QT</v>
      </c>
      <c r="H40" s="51" t="s">
        <v>71</v>
      </c>
      <c r="I40" s="337"/>
      <c r="J40" s="338"/>
      <c r="K40" s="48" t="str">
        <f>_xlfn.XLOOKUP(L40, $E$74:$E$83, $F$74:$F$83, "Training")</f>
        <v>GE</v>
      </c>
      <c r="L40" s="51" t="s">
        <v>147</v>
      </c>
      <c r="M40" s="48" t="str">
        <f>_xlfn.XLOOKUP(N40, $E$74:$E$83, $F$74:$F$83, "Training")</f>
        <v>BM</v>
      </c>
      <c r="N40" s="51" t="s">
        <v>95</v>
      </c>
      <c r="O40" s="124"/>
      <c r="U40" s="165" t="str">
        <f>Mon!U40</f>
        <v>(SN)</v>
      </c>
      <c r="V40" s="9">
        <f t="shared" si="4"/>
        <v>3</v>
      </c>
      <c r="W40" s="36">
        <f>SUM(Mon!V40,Tue!V40,Wed!V40)</f>
        <v>9</v>
      </c>
      <c r="X40" s="165" t="str">
        <f>Mon!U40</f>
        <v>(SN)</v>
      </c>
      <c r="Y40" s="20">
        <f t="shared" si="0"/>
        <v>0</v>
      </c>
      <c r="Z40" s="21">
        <f t="shared" si="1"/>
        <v>1</v>
      </c>
      <c r="AA40" s="21">
        <f t="shared" si="2"/>
        <v>1</v>
      </c>
      <c r="AB40" s="22">
        <f t="shared" si="3"/>
        <v>1</v>
      </c>
      <c r="AC40" s="25" t="str">
        <f t="shared" si="18"/>
        <v xml:space="preserve"> </v>
      </c>
      <c r="AD40" s="26" t="str">
        <f t="shared" si="19"/>
        <v xml:space="preserve"> </v>
      </c>
      <c r="AE40" s="26" t="str">
        <f t="shared" si="20"/>
        <v xml:space="preserve"> </v>
      </c>
      <c r="AF40" s="27" t="str">
        <f t="shared" si="21"/>
        <v xml:space="preserve"> </v>
      </c>
      <c r="AG40" s="178" t="str">
        <f t="shared" si="9"/>
        <v xml:space="preserve"> </v>
      </c>
      <c r="AH40" s="177" t="str">
        <f t="shared" si="10"/>
        <v xml:space="preserve"> </v>
      </c>
      <c r="AI40" s="177" t="str">
        <f t="shared" si="11"/>
        <v xml:space="preserve"> </v>
      </c>
      <c r="AJ40" s="180" t="str">
        <f t="shared" si="12"/>
        <v xml:space="preserve"> </v>
      </c>
      <c r="AK40" s="178" t="str">
        <f t="shared" si="13"/>
        <v xml:space="preserve"> </v>
      </c>
      <c r="AL40" s="177" t="str">
        <f t="shared" si="14"/>
        <v>AE (G)</v>
      </c>
      <c r="AM40" s="177" t="str">
        <f t="shared" si="15"/>
        <v>GE (C)</v>
      </c>
      <c r="AN40" s="179" t="str">
        <f t="shared" si="16"/>
        <v>GE (K)</v>
      </c>
    </row>
    <row r="41" spans="1:40" ht="17.25" customHeight="1" thickBot="1" x14ac:dyDescent="0.4">
      <c r="A41" s="333"/>
      <c r="B41" s="19" t="str">
        <f>Mon!B41</f>
        <v>AE</v>
      </c>
      <c r="C41" s="19" t="s">
        <v>37</v>
      </c>
      <c r="D41" s="76">
        <v>306</v>
      </c>
      <c r="E41" s="49" t="str">
        <f>_xlfn.XLOOKUP(F41, $G$74:$G$83, $H$74:$H$83, "Training")</f>
        <v>BT</v>
      </c>
      <c r="F41" s="50" t="s">
        <v>95</v>
      </c>
      <c r="G41" s="49" t="str">
        <f>_xlfn.XLOOKUP(H41, $G$74:$G$83, $H$74:$H$83, "Training")</f>
        <v>FA</v>
      </c>
      <c r="H41" s="50" t="s">
        <v>150</v>
      </c>
      <c r="I41" s="337"/>
      <c r="J41" s="338"/>
      <c r="K41" s="49" t="str">
        <f>_xlfn.XLOOKUP(L41, $G$74:$G$83, $H$74:$H$83, "Training")</f>
        <v>BM</v>
      </c>
      <c r="L41" s="50" t="s">
        <v>149</v>
      </c>
      <c r="M41" s="49" t="str">
        <f>_xlfn.XLOOKUP(N41, $G$74:$G$83, $H$74:$H$83, "Training")</f>
        <v>QT</v>
      </c>
      <c r="N41" s="50" t="s">
        <v>148</v>
      </c>
      <c r="O41" s="124"/>
      <c r="U41" s="165" t="str">
        <f>Mon!U41</f>
        <v>(SP)</v>
      </c>
      <c r="V41" s="9">
        <f t="shared" si="4"/>
        <v>3</v>
      </c>
      <c r="W41" s="36">
        <f>SUM(Mon!V41,Tue!V41,Wed!V41)</f>
        <v>10</v>
      </c>
      <c r="X41" s="165" t="str">
        <f>Mon!U41</f>
        <v>(SP)</v>
      </c>
      <c r="Y41" s="20">
        <f t="shared" si="0"/>
        <v>1</v>
      </c>
      <c r="Z41" s="21">
        <f t="shared" si="1"/>
        <v>1</v>
      </c>
      <c r="AA41" s="21">
        <f t="shared" si="2"/>
        <v>1</v>
      </c>
      <c r="AB41" s="22">
        <f t="shared" si="3"/>
        <v>0</v>
      </c>
      <c r="AC41" s="25" t="str">
        <f t="shared" si="18"/>
        <v>PR (F)</v>
      </c>
      <c r="AD41" s="26" t="str">
        <f t="shared" si="19"/>
        <v xml:space="preserve"> </v>
      </c>
      <c r="AE41" s="26" t="str">
        <f t="shared" si="20"/>
        <v xml:space="preserve"> </v>
      </c>
      <c r="AF41" s="27" t="str">
        <f t="shared" si="21"/>
        <v xml:space="preserve"> </v>
      </c>
      <c r="AG41" s="178" t="str">
        <f t="shared" si="9"/>
        <v xml:space="preserve"> </v>
      </c>
      <c r="AH41" s="177" t="str">
        <f t="shared" si="10"/>
        <v>CP (G)</v>
      </c>
      <c r="AI41" s="177" t="str">
        <f t="shared" si="11"/>
        <v>CP (I)</v>
      </c>
      <c r="AJ41" s="180" t="str">
        <f t="shared" si="12"/>
        <v xml:space="preserve"> </v>
      </c>
      <c r="AK41" s="178" t="str">
        <f t="shared" si="13"/>
        <v xml:space="preserve"> </v>
      </c>
      <c r="AL41" s="177" t="str">
        <f t="shared" si="14"/>
        <v xml:space="preserve"> </v>
      </c>
      <c r="AM41" s="177" t="str">
        <f t="shared" si="15"/>
        <v xml:space="preserve"> </v>
      </c>
      <c r="AN41" s="179" t="str">
        <f t="shared" si="16"/>
        <v xml:space="preserve"> </v>
      </c>
    </row>
    <row r="42" spans="1:40" ht="17.25" customHeight="1" thickBot="1" x14ac:dyDescent="0.4">
      <c r="A42" s="333"/>
      <c r="B42" s="19" t="str">
        <f>Mon!B42</f>
        <v>AE</v>
      </c>
      <c r="C42" s="19" t="s">
        <v>38</v>
      </c>
      <c r="D42" s="76">
        <v>206</v>
      </c>
      <c r="E42" s="48" t="str">
        <f>_xlfn.XLOOKUP(F42, $I$74:$I$83, $J$74:$J$83, "Training")</f>
        <v>AE</v>
      </c>
      <c r="F42" s="51" t="s">
        <v>144</v>
      </c>
      <c r="G42" s="48" t="str">
        <f>_xlfn.XLOOKUP(H42, $I$74:$I$83, $J$74:$J$83, "Training")</f>
        <v>BM</v>
      </c>
      <c r="H42" s="51" t="s">
        <v>146</v>
      </c>
      <c r="I42" s="337"/>
      <c r="J42" s="338"/>
      <c r="K42" s="48" t="str">
        <f>_xlfn.XLOOKUP(L42, $I$74:$I$83, $J$74:$J$83, "Training")</f>
        <v>QT</v>
      </c>
      <c r="L42" s="51" t="s">
        <v>120</v>
      </c>
      <c r="M42" s="48" t="str">
        <f>_xlfn.XLOOKUP(N42, $I$74:$I$83, $J$74:$J$83, "Training")</f>
        <v>FA</v>
      </c>
      <c r="N42" s="51" t="s">
        <v>182</v>
      </c>
      <c r="O42" s="124"/>
      <c r="U42" s="165" t="str">
        <f>Mon!U42</f>
        <v>(SR)</v>
      </c>
      <c r="V42" s="9">
        <f t="shared" si="4"/>
        <v>3</v>
      </c>
      <c r="W42" s="36">
        <f>SUM(Mon!V42,Tue!V42,Wed!V42)</f>
        <v>9</v>
      </c>
      <c r="X42" s="165" t="str">
        <f>Mon!U42</f>
        <v>(SR)</v>
      </c>
      <c r="Y42" s="20">
        <f t="shared" si="0"/>
        <v>1</v>
      </c>
      <c r="Z42" s="21">
        <f t="shared" si="1"/>
        <v>0</v>
      </c>
      <c r="AA42" s="21">
        <f t="shared" si="2"/>
        <v>1</v>
      </c>
      <c r="AB42" s="22">
        <f t="shared" si="3"/>
        <v>1</v>
      </c>
      <c r="AC42" s="25" t="str">
        <f t="shared" si="18"/>
        <v>IHRM (L)</v>
      </c>
      <c r="AD42" s="26" t="str">
        <f t="shared" si="19"/>
        <v xml:space="preserve"> </v>
      </c>
      <c r="AE42" s="26" t="str">
        <f t="shared" si="20"/>
        <v>ECOM (H)</v>
      </c>
      <c r="AF42" s="27" t="str">
        <f t="shared" si="21"/>
        <v>PR (J)</v>
      </c>
      <c r="AG42" s="178" t="str">
        <f t="shared" si="9"/>
        <v xml:space="preserve"> </v>
      </c>
      <c r="AH42" s="177" t="str">
        <f t="shared" si="10"/>
        <v xml:space="preserve"> </v>
      </c>
      <c r="AI42" s="177" t="str">
        <f t="shared" si="11"/>
        <v xml:space="preserve"> </v>
      </c>
      <c r="AJ42" s="180" t="str">
        <f t="shared" si="12"/>
        <v xml:space="preserve"> </v>
      </c>
      <c r="AK42" s="178" t="str">
        <f t="shared" si="13"/>
        <v xml:space="preserve"> </v>
      </c>
      <c r="AL42" s="177" t="str">
        <f t="shared" si="14"/>
        <v xml:space="preserve"> </v>
      </c>
      <c r="AM42" s="177" t="str">
        <f t="shared" si="15"/>
        <v xml:space="preserve"> </v>
      </c>
      <c r="AN42" s="179" t="str">
        <f t="shared" si="16"/>
        <v xml:space="preserve"> </v>
      </c>
    </row>
    <row r="43" spans="1:40" ht="17.25" customHeight="1" thickBot="1" x14ac:dyDescent="0.4">
      <c r="A43" s="333"/>
      <c r="B43" s="19" t="str">
        <f>Mon!B43</f>
        <v>AE</v>
      </c>
      <c r="C43" s="19" t="s">
        <v>65</v>
      </c>
      <c r="D43" s="76">
        <v>207</v>
      </c>
      <c r="E43" s="48" t="str">
        <f>_xlfn.XLOOKUP(F43, $K$74:$K$83, $L$74:$L$83, "Training")</f>
        <v>FA</v>
      </c>
      <c r="F43" s="51" t="s">
        <v>151</v>
      </c>
      <c r="G43" s="48" t="str">
        <f>_xlfn.XLOOKUP(H43, $K$74:$K$83, $L$74:$L$83, "Training")</f>
        <v>BT</v>
      </c>
      <c r="H43" s="51" t="s">
        <v>95</v>
      </c>
      <c r="I43" s="337"/>
      <c r="J43" s="338"/>
      <c r="K43" s="48" t="str">
        <f>_xlfn.XLOOKUP(L43, $K$74:$K$83, $L$74:$L$83, "Training")</f>
        <v>GE</v>
      </c>
      <c r="L43" s="51" t="s">
        <v>123</v>
      </c>
      <c r="M43" s="48" t="str">
        <f>_xlfn.XLOOKUP(N43, $K$74:$K$83, $L$74:$L$83, "Training")</f>
        <v>QT</v>
      </c>
      <c r="N43" s="51" t="s">
        <v>120</v>
      </c>
      <c r="O43" s="125"/>
      <c r="U43" s="165" t="str">
        <f>Mon!U43</f>
        <v>(SRN)</v>
      </c>
      <c r="V43" s="9">
        <f t="shared" si="4"/>
        <v>3</v>
      </c>
      <c r="W43" s="36">
        <f>SUM(Mon!V43,Tue!V43,Wed!V43)</f>
        <v>10</v>
      </c>
      <c r="X43" s="165" t="str">
        <f>Mon!U43</f>
        <v>(SRN)</v>
      </c>
      <c r="Y43" s="20">
        <f t="shared" si="0"/>
        <v>1</v>
      </c>
      <c r="Z43" s="21">
        <f t="shared" si="1"/>
        <v>0</v>
      </c>
      <c r="AA43" s="21">
        <f t="shared" si="2"/>
        <v>1</v>
      </c>
      <c r="AB43" s="22">
        <f t="shared" si="3"/>
        <v>1</v>
      </c>
      <c r="AC43" s="25" t="str">
        <f t="shared" si="18"/>
        <v>IF (B)</v>
      </c>
      <c r="AD43" s="26" t="str">
        <f t="shared" si="19"/>
        <v xml:space="preserve"> </v>
      </c>
      <c r="AE43" s="26" t="str">
        <f t="shared" si="20"/>
        <v>IT (D)</v>
      </c>
      <c r="AF43" s="27" t="str">
        <f t="shared" si="21"/>
        <v>IT (H)</v>
      </c>
      <c r="AG43" s="178" t="str">
        <f t="shared" si="9"/>
        <v xml:space="preserve"> </v>
      </c>
      <c r="AH43" s="177" t="str">
        <f t="shared" si="10"/>
        <v xml:space="preserve"> </v>
      </c>
      <c r="AI43" s="177" t="str">
        <f t="shared" si="11"/>
        <v xml:space="preserve"> </v>
      </c>
      <c r="AJ43" s="180" t="str">
        <f t="shared" si="12"/>
        <v xml:space="preserve"> </v>
      </c>
      <c r="AK43" s="178" t="str">
        <f t="shared" si="13"/>
        <v xml:space="preserve"> </v>
      </c>
      <c r="AL43" s="177" t="str">
        <f t="shared" si="14"/>
        <v xml:space="preserve"> </v>
      </c>
      <c r="AM43" s="177" t="str">
        <f t="shared" si="15"/>
        <v xml:space="preserve"> </v>
      </c>
      <c r="AN43" s="179" t="str">
        <f t="shared" si="16"/>
        <v xml:space="preserve"> </v>
      </c>
    </row>
    <row r="44" spans="1:40" ht="17.25" customHeight="1" thickBot="1" x14ac:dyDescent="0.4">
      <c r="A44" s="333"/>
      <c r="B44" s="19" t="str">
        <f>Mon!B44</f>
        <v>AE</v>
      </c>
      <c r="C44" s="19" t="s">
        <v>69</v>
      </c>
      <c r="D44" s="76">
        <v>202</v>
      </c>
      <c r="E44" s="48" t="str">
        <f>_xlfn.XLOOKUP(F44, $M$74:$M$83, $N$74:$N$83, "Training")</f>
        <v>QT</v>
      </c>
      <c r="F44" s="51" t="s">
        <v>71</v>
      </c>
      <c r="G44" s="48" t="str">
        <f>_xlfn.XLOOKUP(H44, $M$74:$M$83, $N$74:$N$83, "Training")</f>
        <v>AE</v>
      </c>
      <c r="H44" s="51" t="s">
        <v>147</v>
      </c>
      <c r="I44" s="337"/>
      <c r="J44" s="338"/>
      <c r="K44" s="48" t="str">
        <f>_xlfn.XLOOKUP(L44, $M$74:$M$83, $N$74:$N$83, "Training")</f>
        <v>FA</v>
      </c>
      <c r="L44" s="51" t="s">
        <v>145</v>
      </c>
      <c r="M44" s="48" t="str">
        <f>_xlfn.XLOOKUP(N44, $M$74:$M$83, $N$74:$N$83, "Training")</f>
        <v>BM</v>
      </c>
      <c r="N44" s="51" t="s">
        <v>54</v>
      </c>
      <c r="O44" s="122"/>
      <c r="U44" s="165" t="str">
        <f>Mon!U44</f>
        <v>(SRS)</v>
      </c>
      <c r="V44" s="9">
        <f t="shared" si="4"/>
        <v>4</v>
      </c>
      <c r="W44" s="36">
        <f>SUM(Mon!V44,Tue!V44,Wed!V44)</f>
        <v>10</v>
      </c>
      <c r="X44" s="165" t="str">
        <f>Mon!U44</f>
        <v>(SRS)</v>
      </c>
      <c r="Y44" s="20">
        <f t="shared" si="0"/>
        <v>1</v>
      </c>
      <c r="Z44" s="21">
        <f t="shared" si="1"/>
        <v>1</v>
      </c>
      <c r="AA44" s="21">
        <f t="shared" si="2"/>
        <v>1</v>
      </c>
      <c r="AB44" s="22">
        <f t="shared" si="3"/>
        <v>1</v>
      </c>
      <c r="AC44" s="25" t="str">
        <f t="shared" si="18"/>
        <v xml:space="preserve"> </v>
      </c>
      <c r="AD44" s="26" t="str">
        <f t="shared" si="19"/>
        <v>CB (H)</v>
      </c>
      <c r="AE44" s="26" t="str">
        <f t="shared" si="20"/>
        <v xml:space="preserve"> </v>
      </c>
      <c r="AF44" s="27" t="str">
        <f t="shared" si="21"/>
        <v>CB (K)</v>
      </c>
      <c r="AG44" s="178" t="str">
        <f t="shared" si="9"/>
        <v>MM (H)</v>
      </c>
      <c r="AH44" s="177" t="str">
        <f t="shared" si="10"/>
        <v xml:space="preserve"> </v>
      </c>
      <c r="AI44" s="177" t="str">
        <f t="shared" si="11"/>
        <v>MM (J)</v>
      </c>
      <c r="AJ44" s="180" t="str">
        <f t="shared" si="12"/>
        <v xml:space="preserve"> </v>
      </c>
      <c r="AK44" s="178" t="str">
        <f t="shared" si="13"/>
        <v xml:space="preserve"> </v>
      </c>
      <c r="AL44" s="177" t="str">
        <f t="shared" si="14"/>
        <v xml:space="preserve"> </v>
      </c>
      <c r="AM44" s="177" t="str">
        <f t="shared" si="15"/>
        <v xml:space="preserve"> </v>
      </c>
      <c r="AN44" s="179" t="str">
        <f t="shared" si="16"/>
        <v xml:space="preserve"> </v>
      </c>
    </row>
    <row r="45" spans="1:40" ht="17.25" customHeight="1" thickBot="1" x14ac:dyDescent="0.4">
      <c r="A45" s="333"/>
      <c r="B45" s="19" t="str">
        <f>Mon!B45</f>
        <v>AE</v>
      </c>
      <c r="C45" s="19" t="s">
        <v>72</v>
      </c>
      <c r="D45" s="76">
        <v>205</v>
      </c>
      <c r="E45" s="48" t="str">
        <f>_xlfn.XLOOKUP(F45, $O$74:$O$83, $P$74:$P$83, "Training")</f>
        <v>BT</v>
      </c>
      <c r="F45" s="51" t="s">
        <v>56</v>
      </c>
      <c r="G45" s="48" t="str">
        <f>_xlfn.XLOOKUP(H45, $O$74:$O$83, $P$74:$P$83, "Training")</f>
        <v>QT</v>
      </c>
      <c r="H45" s="51" t="s">
        <v>148</v>
      </c>
      <c r="I45" s="337"/>
      <c r="J45" s="338"/>
      <c r="K45" s="48" t="str">
        <f>_xlfn.XLOOKUP(L45, $O$74:$O$83, $P$74:$P$83, "Training")</f>
        <v>GE</v>
      </c>
      <c r="L45" s="51" t="s">
        <v>133</v>
      </c>
      <c r="M45" s="48" t="str">
        <f>_xlfn.XLOOKUP(N45, $O$74:$O$83, $P$74:$P$83, "Training")</f>
        <v>FA</v>
      </c>
      <c r="N45" s="51" t="s">
        <v>115</v>
      </c>
      <c r="O45" s="66"/>
      <c r="U45" s="165" t="str">
        <f>Mon!U45</f>
        <v>(SUH)</v>
      </c>
      <c r="V45" s="9">
        <f t="shared" si="4"/>
        <v>3</v>
      </c>
      <c r="W45" s="36">
        <f>SUM(Mon!V45,Tue!V45,Wed!V45)</f>
        <v>10</v>
      </c>
      <c r="X45" s="165" t="str">
        <f>Mon!U45</f>
        <v>(SUH)</v>
      </c>
      <c r="Y45" s="20">
        <f t="shared" si="0"/>
        <v>1</v>
      </c>
      <c r="Z45" s="21">
        <f t="shared" si="1"/>
        <v>1</v>
      </c>
      <c r="AA45" s="21">
        <f t="shared" si="2"/>
        <v>1</v>
      </c>
      <c r="AB45" s="22">
        <f t="shared" si="3"/>
        <v>0</v>
      </c>
      <c r="AC45" s="25" t="str">
        <f t="shared" si="18"/>
        <v xml:space="preserve"> </v>
      </c>
      <c r="AD45" s="26" t="str">
        <f t="shared" si="19"/>
        <v xml:space="preserve"> </v>
      </c>
      <c r="AE45" s="26" t="str">
        <f t="shared" si="20"/>
        <v xml:space="preserve"> </v>
      </c>
      <c r="AF45" s="27" t="str">
        <f t="shared" si="21"/>
        <v xml:space="preserve"> </v>
      </c>
      <c r="AG45" s="178" t="str">
        <f t="shared" si="9"/>
        <v>CM (C)</v>
      </c>
      <c r="AH45" s="177" t="str">
        <f t="shared" si="10"/>
        <v>HR (I)</v>
      </c>
      <c r="AI45" s="177" t="str">
        <f t="shared" si="11"/>
        <v>HR (D)</v>
      </c>
      <c r="AJ45" s="180" t="str">
        <f t="shared" si="12"/>
        <v xml:space="preserve"> </v>
      </c>
      <c r="AK45" s="178" t="str">
        <f t="shared" si="13"/>
        <v xml:space="preserve"> </v>
      </c>
      <c r="AL45" s="177" t="str">
        <f t="shared" si="14"/>
        <v xml:space="preserve"> </v>
      </c>
      <c r="AM45" s="177" t="str">
        <f t="shared" si="15"/>
        <v xml:space="preserve"> </v>
      </c>
      <c r="AN45" s="179" t="str">
        <f t="shared" si="16"/>
        <v xml:space="preserve"> </v>
      </c>
    </row>
    <row r="46" spans="1:40" ht="17.25" customHeight="1" thickBot="1" x14ac:dyDescent="0.4">
      <c r="A46" s="333"/>
      <c r="B46" s="19" t="str">
        <f>Mon!B46</f>
        <v>HIN</v>
      </c>
      <c r="C46" s="19" t="s">
        <v>76</v>
      </c>
      <c r="D46" s="76">
        <v>203</v>
      </c>
      <c r="E46" s="48" t="str">
        <f>_xlfn.XLOOKUP(F46, $Q$74:$Q$83, $R$74:$R$83, "Training")</f>
        <v>BM</v>
      </c>
      <c r="F46" s="51" t="s">
        <v>149</v>
      </c>
      <c r="G46" s="48" t="str">
        <f>_xlfn.XLOOKUP(H46, $Q$74:$Q$83, $R$74:$R$83, "Training")</f>
        <v>QT</v>
      </c>
      <c r="H46" s="51" t="s">
        <v>120</v>
      </c>
      <c r="I46" s="337"/>
      <c r="J46" s="338"/>
      <c r="K46" s="48" t="str">
        <f>_xlfn.XLOOKUP(L46, $Q$74:$Q$83, $R$74:$R$83, "Training")</f>
        <v>HIN</v>
      </c>
      <c r="L46" s="51" t="s">
        <v>153</v>
      </c>
      <c r="M46" s="48" t="str">
        <f>_xlfn.XLOOKUP(N46, $Q$74:$Q$83, $R$74:$R$83, "Training")</f>
        <v>FA</v>
      </c>
      <c r="N46" s="51" t="s">
        <v>145</v>
      </c>
      <c r="O46" s="66"/>
      <c r="U46" s="165" t="str">
        <f>Mon!U46</f>
        <v>(SUN)</v>
      </c>
      <c r="V46" s="9">
        <f t="shared" si="4"/>
        <v>2</v>
      </c>
      <c r="W46" s="36">
        <f>SUM(Mon!V46,Tue!V46,Wed!V46)</f>
        <v>7</v>
      </c>
      <c r="X46" s="165" t="str">
        <f>Mon!U46</f>
        <v>(SUN)</v>
      </c>
      <c r="Y46" s="20">
        <f t="shared" si="0"/>
        <v>1</v>
      </c>
      <c r="Z46" s="21">
        <f t="shared" si="1"/>
        <v>1</v>
      </c>
      <c r="AA46" s="21">
        <f t="shared" si="2"/>
        <v>0</v>
      </c>
      <c r="AB46" s="22">
        <f t="shared" si="3"/>
        <v>0</v>
      </c>
      <c r="AC46" s="25" t="str">
        <f t="shared" si="18"/>
        <v>IB (H)</v>
      </c>
      <c r="AD46" s="26" t="str">
        <f t="shared" si="19"/>
        <v>FMS (D)</v>
      </c>
      <c r="AE46" s="26" t="str">
        <f t="shared" si="20"/>
        <v xml:space="preserve"> </v>
      </c>
      <c r="AF46" s="27" t="str">
        <f t="shared" si="21"/>
        <v xml:space="preserve"> </v>
      </c>
      <c r="AG46" s="178" t="str">
        <f t="shared" si="9"/>
        <v xml:space="preserve"> </v>
      </c>
      <c r="AH46" s="177" t="str">
        <f t="shared" si="10"/>
        <v xml:space="preserve"> </v>
      </c>
      <c r="AI46" s="177" t="str">
        <f t="shared" si="11"/>
        <v xml:space="preserve"> </v>
      </c>
      <c r="AJ46" s="180" t="str">
        <f t="shared" si="12"/>
        <v xml:space="preserve"> </v>
      </c>
      <c r="AK46" s="178" t="str">
        <f t="shared" si="13"/>
        <v xml:space="preserve"> </v>
      </c>
      <c r="AL46" s="177" t="str">
        <f t="shared" si="14"/>
        <v xml:space="preserve"> </v>
      </c>
      <c r="AM46" s="177" t="str">
        <f t="shared" si="15"/>
        <v xml:space="preserve"> </v>
      </c>
      <c r="AN46" s="179" t="str">
        <f t="shared" si="16"/>
        <v xml:space="preserve"> </v>
      </c>
    </row>
    <row r="47" spans="1:40" ht="17.25" customHeight="1" thickBot="1" x14ac:dyDescent="0.4">
      <c r="A47" s="333"/>
      <c r="B47" s="19" t="str">
        <f>Mon!B47</f>
        <v>HIN</v>
      </c>
      <c r="C47" s="19" t="s">
        <v>79</v>
      </c>
      <c r="D47" s="76">
        <v>201</v>
      </c>
      <c r="E47" s="48" t="str">
        <f>_xlfn.XLOOKUP(F47, $S$74:$S$83, $T$74:$T$83, "Training")</f>
        <v>QT</v>
      </c>
      <c r="F47" s="51" t="s">
        <v>75</v>
      </c>
      <c r="G47" s="48" t="str">
        <f>_xlfn.XLOOKUP(H47, $S$74:$S$83, $T$74:$T$83, "Training")</f>
        <v>HIN</v>
      </c>
      <c r="H47" s="51" t="s">
        <v>153</v>
      </c>
      <c r="I47" s="337"/>
      <c r="J47" s="338"/>
      <c r="K47" s="48" t="str">
        <f>_xlfn.XLOOKUP(L47, $S$74:$S$83, $T$74:$T$83, "Training")</f>
        <v>FA</v>
      </c>
      <c r="L47" s="51" t="s">
        <v>110</v>
      </c>
      <c r="M47" s="48" t="str">
        <f>_xlfn.XLOOKUP(N47, $S$74:$S$83, $T$74:$T$83, "Training")</f>
        <v>BT</v>
      </c>
      <c r="N47" s="51" t="s">
        <v>34</v>
      </c>
      <c r="O47" s="66"/>
      <c r="U47" s="165" t="str">
        <f>Mon!U47</f>
        <v>(SUP)</v>
      </c>
      <c r="V47" s="9">
        <f t="shared" si="4"/>
        <v>3</v>
      </c>
      <c r="W47" s="36">
        <f>SUM(Mon!V47,Tue!V47,Wed!V47)</f>
        <v>9</v>
      </c>
      <c r="X47" s="165" t="str">
        <f>Mon!U47</f>
        <v>(SUP)</v>
      </c>
      <c r="Y47" s="20">
        <f t="shared" si="0"/>
        <v>1</v>
      </c>
      <c r="Z47" s="21">
        <f t="shared" si="1"/>
        <v>0</v>
      </c>
      <c r="AA47" s="21">
        <f t="shared" si="2"/>
        <v>1</v>
      </c>
      <c r="AB47" s="22">
        <f t="shared" si="3"/>
        <v>1</v>
      </c>
      <c r="AC47" s="25" t="str">
        <f t="shared" si="18"/>
        <v>AA (D)</v>
      </c>
      <c r="AD47" s="26" t="str">
        <f t="shared" si="19"/>
        <v xml:space="preserve"> </v>
      </c>
      <c r="AE47" s="26" t="str">
        <f t="shared" si="20"/>
        <v>AA (E)</v>
      </c>
      <c r="AF47" s="27" t="str">
        <f t="shared" si="21"/>
        <v>IT (C)</v>
      </c>
      <c r="AG47" s="178" t="str">
        <f t="shared" si="9"/>
        <v xml:space="preserve"> </v>
      </c>
      <c r="AH47" s="177" t="str">
        <f t="shared" si="10"/>
        <v xml:space="preserve"> </v>
      </c>
      <c r="AI47" s="177" t="str">
        <f t="shared" si="11"/>
        <v xml:space="preserve"> </v>
      </c>
      <c r="AJ47" s="180" t="str">
        <f t="shared" si="12"/>
        <v xml:space="preserve"> </v>
      </c>
      <c r="AK47" s="178" t="str">
        <f t="shared" si="13"/>
        <v xml:space="preserve"> </v>
      </c>
      <c r="AL47" s="177" t="str">
        <f t="shared" si="14"/>
        <v xml:space="preserve"> </v>
      </c>
      <c r="AM47" s="177" t="str">
        <f t="shared" si="15"/>
        <v xml:space="preserve"> </v>
      </c>
      <c r="AN47" s="179" t="str">
        <f t="shared" si="16"/>
        <v xml:space="preserve"> </v>
      </c>
    </row>
    <row r="48" spans="1:40" ht="17.25" customHeight="1" thickBot="1" x14ac:dyDescent="0.4">
      <c r="A48" s="333"/>
      <c r="B48" s="19" t="str">
        <f>Mon!B48</f>
        <v>HIN</v>
      </c>
      <c r="C48" s="19" t="s">
        <v>81</v>
      </c>
      <c r="D48" s="76">
        <v>301</v>
      </c>
      <c r="E48" s="48" t="str">
        <f>_xlfn.XLOOKUP(F48, $U$74:$U$83, $V$74:$V$83, "Training")</f>
        <v>BM</v>
      </c>
      <c r="F48" s="51" t="s">
        <v>54</v>
      </c>
      <c r="G48" s="48" t="str">
        <f>_xlfn.XLOOKUP(H48, $U$74:$U$83, $V$74:$V$83, "Training")</f>
        <v>FA</v>
      </c>
      <c r="H48" s="51" t="s">
        <v>115</v>
      </c>
      <c r="I48" s="337"/>
      <c r="J48" s="338"/>
      <c r="K48" s="48" t="str">
        <f>_xlfn.XLOOKUP(L48, $U$74:$U$83, $V$74:$V$83, "Training")</f>
        <v>BT</v>
      </c>
      <c r="L48" s="51" t="s">
        <v>56</v>
      </c>
      <c r="M48" s="48" t="str">
        <f>_xlfn.XLOOKUP(N48, $U$74:$U$83, $V$74:$V$83, "Training")</f>
        <v>GE</v>
      </c>
      <c r="N48" s="51" t="s">
        <v>147</v>
      </c>
      <c r="O48" s="66"/>
      <c r="U48" s="165" t="str">
        <f>Mon!U48</f>
        <v>(SV)</v>
      </c>
      <c r="V48" s="9">
        <f t="shared" si="4"/>
        <v>3</v>
      </c>
      <c r="W48" s="36">
        <f>SUM(Mon!V48,Tue!V48,Wed!V48)</f>
        <v>7</v>
      </c>
      <c r="X48" s="165" t="str">
        <f>Mon!U48</f>
        <v>(SV)</v>
      </c>
      <c r="Y48" s="20">
        <f t="shared" si="0"/>
        <v>0</v>
      </c>
      <c r="Z48" s="21">
        <f t="shared" si="1"/>
        <v>1</v>
      </c>
      <c r="AA48" s="21">
        <f t="shared" si="2"/>
        <v>1</v>
      </c>
      <c r="AB48" s="22">
        <f t="shared" si="3"/>
        <v>1</v>
      </c>
      <c r="AC48" s="25" t="str">
        <f t="shared" si="18"/>
        <v xml:space="preserve"> </v>
      </c>
      <c r="AD48" s="26" t="str">
        <f t="shared" si="19"/>
        <v xml:space="preserve"> </v>
      </c>
      <c r="AE48" s="26" t="str">
        <f t="shared" si="20"/>
        <v xml:space="preserve"> </v>
      </c>
      <c r="AF48" s="27" t="str">
        <f t="shared" si="21"/>
        <v xml:space="preserve"> </v>
      </c>
      <c r="AG48" s="178" t="str">
        <f t="shared" si="9"/>
        <v xml:space="preserve"> </v>
      </c>
      <c r="AH48" s="177" t="str">
        <f t="shared" si="10"/>
        <v xml:space="preserve"> </v>
      </c>
      <c r="AI48" s="177" t="str">
        <f t="shared" si="11"/>
        <v xml:space="preserve"> </v>
      </c>
      <c r="AJ48" s="180" t="str">
        <f t="shared" si="12"/>
        <v xml:space="preserve"> </v>
      </c>
      <c r="AK48" s="178" t="str">
        <f t="shared" si="13"/>
        <v xml:space="preserve"> </v>
      </c>
      <c r="AL48" s="177" t="str">
        <f t="shared" si="14"/>
        <v>HIN (J)</v>
      </c>
      <c r="AM48" s="177" t="str">
        <f t="shared" si="15"/>
        <v>HIN (I)</v>
      </c>
      <c r="AN48" s="179" t="str">
        <f t="shared" si="16"/>
        <v>HIN (L)</v>
      </c>
    </row>
    <row r="49" spans="1:40" ht="15.75" customHeight="1" thickBot="1" x14ac:dyDescent="0.4">
      <c r="A49" s="333"/>
      <c r="B49" s="19" t="s">
        <v>152</v>
      </c>
      <c r="C49" s="19" t="s">
        <v>84</v>
      </c>
      <c r="D49" s="91">
        <v>307</v>
      </c>
      <c r="E49" s="48" t="str">
        <f>_xlfn.XLOOKUP(F49, $W$74:$W$83, $X$74:$X$83, "Training")</f>
        <v>GE</v>
      </c>
      <c r="F49" s="51" t="s">
        <v>123</v>
      </c>
      <c r="G49" s="48" t="str">
        <f>_xlfn.XLOOKUP(H49, $W$74:$W$83, $X$74:$X$83, "Training")</f>
        <v>FA</v>
      </c>
      <c r="H49" s="51" t="s">
        <v>145</v>
      </c>
      <c r="I49" s="337"/>
      <c r="J49" s="338"/>
      <c r="K49" s="48" t="str">
        <f>_xlfn.XLOOKUP(L49, $W$74:$W$83, $X$74:$X$83, "Training")</f>
        <v>QT</v>
      </c>
      <c r="L49" s="51" t="s">
        <v>148</v>
      </c>
      <c r="M49" s="48" t="str">
        <f>_xlfn.XLOOKUP(N49, $W$74:$W$83, $X$74:$X$83, "Training")</f>
        <v>HIN</v>
      </c>
      <c r="N49" s="51" t="s">
        <v>153</v>
      </c>
      <c r="O49" s="66"/>
      <c r="U49" s="165" t="str">
        <f>Mon!U49</f>
        <v>(SW)</v>
      </c>
      <c r="V49" s="9">
        <f t="shared" si="4"/>
        <v>3</v>
      </c>
      <c r="W49" s="36">
        <f>SUM(Mon!V49,Tue!V49,Wed!V49)</f>
        <v>10</v>
      </c>
      <c r="X49" s="165" t="str">
        <f>Mon!U49</f>
        <v>(SW)</v>
      </c>
      <c r="Y49" s="20">
        <f t="shared" si="0"/>
        <v>1</v>
      </c>
      <c r="Z49" s="21">
        <f t="shared" si="1"/>
        <v>1</v>
      </c>
      <c r="AA49" s="21">
        <f t="shared" si="2"/>
        <v>1</v>
      </c>
      <c r="AB49" s="22">
        <f t="shared" si="3"/>
        <v>0</v>
      </c>
      <c r="AC49" s="25" t="str">
        <f t="shared" si="18"/>
        <v xml:space="preserve"> </v>
      </c>
      <c r="AD49" s="26" t="str">
        <f t="shared" si="19"/>
        <v xml:space="preserve"> </v>
      </c>
      <c r="AE49" s="26" t="str">
        <f t="shared" si="20"/>
        <v xml:space="preserve"> </v>
      </c>
      <c r="AF49" s="27" t="str">
        <f t="shared" si="21"/>
        <v xml:space="preserve"> </v>
      </c>
      <c r="AG49" s="178" t="str">
        <f t="shared" si="9"/>
        <v>CM (D)</v>
      </c>
      <c r="AH49" s="177" t="str">
        <f t="shared" si="10"/>
        <v>CA (H)</v>
      </c>
      <c r="AI49" s="177" t="str">
        <f t="shared" si="11"/>
        <v>CA (E)</v>
      </c>
      <c r="AJ49" s="180" t="str">
        <f t="shared" si="12"/>
        <v xml:space="preserve"> </v>
      </c>
      <c r="AK49" s="178" t="str">
        <f t="shared" si="13"/>
        <v xml:space="preserve"> </v>
      </c>
      <c r="AL49" s="177" t="str">
        <f t="shared" si="14"/>
        <v xml:space="preserve"> </v>
      </c>
      <c r="AM49" s="177" t="str">
        <f t="shared" si="15"/>
        <v xml:space="preserve"> </v>
      </c>
      <c r="AN49" s="179" t="str">
        <f t="shared" si="16"/>
        <v xml:space="preserve"> </v>
      </c>
    </row>
    <row r="50" spans="1:40" ht="26.25" customHeight="1" thickBot="1" x14ac:dyDescent="0.4">
      <c r="A50" s="333"/>
      <c r="B50" s="19" t="s">
        <v>154</v>
      </c>
      <c r="C50" s="19" t="s">
        <v>126</v>
      </c>
      <c r="D50" s="91"/>
      <c r="E50" s="83" t="str">
        <f>_xlfn.XLOOKUP(F50, $Y$74:$Y$83, $Z$74:$Z$83, "Training")</f>
        <v>BT</v>
      </c>
      <c r="F50" s="187" t="s">
        <v>146</v>
      </c>
      <c r="G50" s="83" t="str">
        <f>_xlfn.XLOOKUP(H50, $Y$74:$Y$83, $Z$74:$Z$83, "Training")</f>
        <v>KAN</v>
      </c>
      <c r="H50" s="188" t="s">
        <v>85</v>
      </c>
      <c r="I50" s="337"/>
      <c r="J50" s="338"/>
      <c r="K50" s="83" t="str">
        <f>_xlfn.XLOOKUP(L50, $Y$74:$Y$83, $Z$74:$Z$83, "Training")</f>
        <v>QT</v>
      </c>
      <c r="L50" s="187" t="s">
        <v>151</v>
      </c>
      <c r="M50" s="83" t="str">
        <f>_xlfn.XLOOKUP(N50, $Y$74:$Y$83, $Z$74:$Z$83, "Training")</f>
        <v>BM</v>
      </c>
      <c r="N50" s="187" t="s">
        <v>149</v>
      </c>
      <c r="O50" s="66"/>
      <c r="U50" s="165" t="str">
        <f>Mon!U50</f>
        <v>(TK)</v>
      </c>
      <c r="V50" s="9">
        <f t="shared" si="4"/>
        <v>3</v>
      </c>
      <c r="W50" s="36">
        <f>SUM(Mon!V50,Tue!V50,Wed!V50)</f>
        <v>8</v>
      </c>
      <c r="X50" s="165" t="str">
        <f>Mon!U50</f>
        <v>(TK)</v>
      </c>
      <c r="Y50" s="20">
        <f t="shared" si="0"/>
        <v>0</v>
      </c>
      <c r="Z50" s="21">
        <f t="shared" si="1"/>
        <v>1</v>
      </c>
      <c r="AA50" s="21">
        <f t="shared" si="2"/>
        <v>1</v>
      </c>
      <c r="AB50" s="22">
        <f t="shared" si="3"/>
        <v>1</v>
      </c>
      <c r="AC50" s="25" t="str">
        <f t="shared" si="18"/>
        <v xml:space="preserve"> </v>
      </c>
      <c r="AD50" s="26" t="str">
        <f t="shared" si="19"/>
        <v xml:space="preserve"> </v>
      </c>
      <c r="AE50" s="26" t="str">
        <f t="shared" si="20"/>
        <v xml:space="preserve"> </v>
      </c>
      <c r="AF50" s="27" t="str">
        <f t="shared" si="21"/>
        <v>MA (B)</v>
      </c>
      <c r="AG50" s="178" t="str">
        <f t="shared" si="9"/>
        <v xml:space="preserve"> </v>
      </c>
      <c r="AH50" s="177" t="str">
        <f t="shared" si="10"/>
        <v>CA (B)</v>
      </c>
      <c r="AI50" s="177" t="str">
        <f t="shared" si="11"/>
        <v>CA (N)</v>
      </c>
      <c r="AJ50" s="180" t="str">
        <f t="shared" si="12"/>
        <v xml:space="preserve"> </v>
      </c>
      <c r="AK50" s="178" t="str">
        <f t="shared" si="13"/>
        <v xml:space="preserve"> </v>
      </c>
      <c r="AL50" s="177" t="str">
        <f t="shared" si="14"/>
        <v xml:space="preserve"> </v>
      </c>
      <c r="AM50" s="177" t="str">
        <f t="shared" si="15"/>
        <v xml:space="preserve"> </v>
      </c>
      <c r="AN50" s="179" t="str">
        <f t="shared" si="16"/>
        <v xml:space="preserve"> </v>
      </c>
    </row>
    <row r="51" spans="1:40" ht="15.75" customHeight="1" thickBot="1" x14ac:dyDescent="0.4">
      <c r="A51" s="333"/>
      <c r="B51" s="161" t="s">
        <v>155</v>
      </c>
      <c r="C51" s="98" t="s">
        <v>128</v>
      </c>
      <c r="D51" s="201"/>
      <c r="E51" s="49" t="str">
        <f>_xlfn.XLOOKUP(F51, $AA$74:$AA$83, $AB$74:$AB$83, "Training")</f>
        <v>SAN</v>
      </c>
      <c r="F51" s="203" t="s">
        <v>127</v>
      </c>
      <c r="G51" s="49" t="str">
        <f>_xlfn.XLOOKUP(H51, $AA$74:$AA$83, $AB$74:$AB$83, "Training")</f>
        <v>BM</v>
      </c>
      <c r="H51" s="50" t="s">
        <v>54</v>
      </c>
      <c r="I51" s="337"/>
      <c r="J51" s="338"/>
      <c r="K51" s="49" t="str">
        <f>_xlfn.XLOOKUP(L51, $AA$74:$AA$83, $AB$74:$AB$83, "Training")</f>
        <v>FA</v>
      </c>
      <c r="L51" s="203" t="s">
        <v>115</v>
      </c>
      <c r="M51" s="49" t="str">
        <f>_xlfn.XLOOKUP(N51, $AA$74:$AA$83, $AB$74:$AB$83, "Training")</f>
        <v>QT</v>
      </c>
      <c r="N51" s="203" t="s">
        <v>151</v>
      </c>
      <c r="O51" s="66"/>
      <c r="U51" s="165" t="str">
        <f>Mon!U51</f>
        <v>(UK)</v>
      </c>
      <c r="V51" s="9">
        <f t="shared" si="4"/>
        <v>2</v>
      </c>
      <c r="W51" s="36">
        <f>SUM(Mon!V51,Tue!V51,Wed!V51)</f>
        <v>6</v>
      </c>
      <c r="X51" s="165" t="str">
        <f>Mon!U51</f>
        <v>(UK)</v>
      </c>
      <c r="Y51" s="20">
        <f t="shared" si="0"/>
        <v>0</v>
      </c>
      <c r="Z51" s="21">
        <f t="shared" si="1"/>
        <v>1</v>
      </c>
      <c r="AA51" s="21">
        <f t="shared" si="2"/>
        <v>1</v>
      </c>
      <c r="AB51" s="22">
        <f t="shared" si="3"/>
        <v>0</v>
      </c>
      <c r="AC51" s="25" t="str">
        <f t="shared" si="18"/>
        <v xml:space="preserve"> </v>
      </c>
      <c r="AD51" s="26" t="str">
        <f t="shared" si="19"/>
        <v>IT (G)</v>
      </c>
      <c r="AE51" s="26" t="str">
        <f t="shared" si="20"/>
        <v>IT (F)</v>
      </c>
      <c r="AF51" s="27" t="str">
        <f t="shared" si="21"/>
        <v xml:space="preserve"> </v>
      </c>
      <c r="AG51" s="178" t="str">
        <f t="shared" si="9"/>
        <v xml:space="preserve"> </v>
      </c>
      <c r="AH51" s="177" t="str">
        <f t="shared" si="10"/>
        <v xml:space="preserve"> </v>
      </c>
      <c r="AI51" s="177" t="str">
        <f t="shared" si="11"/>
        <v xml:space="preserve"> </v>
      </c>
      <c r="AJ51" s="180" t="str">
        <f t="shared" si="12"/>
        <v xml:space="preserve"> </v>
      </c>
      <c r="AK51" s="178" t="str">
        <f t="shared" si="13"/>
        <v xml:space="preserve"> </v>
      </c>
      <c r="AL51" s="177" t="str">
        <f t="shared" si="14"/>
        <v xml:space="preserve"> </v>
      </c>
      <c r="AM51" s="177" t="str">
        <f t="shared" si="15"/>
        <v xml:space="preserve"> </v>
      </c>
      <c r="AN51" s="179" t="str">
        <f t="shared" si="16"/>
        <v xml:space="preserve"> </v>
      </c>
    </row>
    <row r="52" spans="1:40" ht="15.75" customHeight="1" thickBot="1" x14ac:dyDescent="0.4">
      <c r="A52" s="333"/>
      <c r="B52" s="19" t="s">
        <v>87</v>
      </c>
      <c r="C52" s="98" t="s">
        <v>41</v>
      </c>
      <c r="D52" s="201">
        <v>401</v>
      </c>
      <c r="E52" s="48" t="s">
        <v>156</v>
      </c>
      <c r="F52" s="51"/>
      <c r="G52" s="48" t="s">
        <v>177</v>
      </c>
      <c r="H52" s="51" t="s">
        <v>94</v>
      </c>
      <c r="I52" s="337"/>
      <c r="J52" s="338"/>
      <c r="K52" s="48" t="s">
        <v>158</v>
      </c>
      <c r="L52" s="51" t="s">
        <v>77</v>
      </c>
      <c r="M52" s="48" t="s">
        <v>179</v>
      </c>
      <c r="N52" s="51" t="s">
        <v>131</v>
      </c>
      <c r="O52" s="66"/>
      <c r="U52" s="165" t="str">
        <f>Mon!U52</f>
        <v>(VA)</v>
      </c>
      <c r="V52" s="9">
        <f t="shared" si="4"/>
        <v>2</v>
      </c>
      <c r="W52" s="36">
        <f>SUM(Mon!V52,Tue!V52,Wed!V52)</f>
        <v>9</v>
      </c>
      <c r="X52" s="165" t="str">
        <f>Mon!U52</f>
        <v>(VA)</v>
      </c>
      <c r="Y52" s="20">
        <f t="shared" si="0"/>
        <v>1</v>
      </c>
      <c r="Z52" s="23">
        <f t="shared" si="1"/>
        <v>0</v>
      </c>
      <c r="AA52" s="23">
        <f t="shared" si="2"/>
        <v>1</v>
      </c>
      <c r="AB52" s="24">
        <f t="shared" si="3"/>
        <v>0</v>
      </c>
      <c r="AC52" s="25" t="str">
        <f t="shared" si="18"/>
        <v xml:space="preserve"> </v>
      </c>
      <c r="AD52" s="26" t="str">
        <f t="shared" si="19"/>
        <v xml:space="preserve"> </v>
      </c>
      <c r="AE52" s="26" t="str">
        <f t="shared" si="20"/>
        <v xml:space="preserve"> </v>
      </c>
      <c r="AF52" s="27" t="str">
        <f t="shared" si="21"/>
        <v xml:space="preserve"> </v>
      </c>
      <c r="AG52" s="178" t="str">
        <f t="shared" si="9"/>
        <v>CA (I)</v>
      </c>
      <c r="AH52" s="177" t="str">
        <f t="shared" si="10"/>
        <v xml:space="preserve"> </v>
      </c>
      <c r="AI52" s="177" t="str">
        <f t="shared" si="11"/>
        <v xml:space="preserve"> </v>
      </c>
      <c r="AJ52" s="180" t="str">
        <f t="shared" si="12"/>
        <v xml:space="preserve"> </v>
      </c>
      <c r="AK52" s="178" t="str">
        <f t="shared" si="13"/>
        <v xml:space="preserve"> </v>
      </c>
      <c r="AL52" s="177" t="str">
        <f t="shared" si="14"/>
        <v xml:space="preserve"> </v>
      </c>
      <c r="AM52" s="177" t="str">
        <f t="shared" si="15"/>
        <v>FA (J)</v>
      </c>
      <c r="AN52" s="179" t="str">
        <f t="shared" si="16"/>
        <v xml:space="preserve"> </v>
      </c>
    </row>
    <row r="53" spans="1:40" ht="15.75" customHeight="1" thickBot="1" x14ac:dyDescent="0.4">
      <c r="A53" s="334"/>
      <c r="B53" s="19" t="s">
        <v>87</v>
      </c>
      <c r="C53" s="98" t="s">
        <v>49</v>
      </c>
      <c r="D53" s="201">
        <v>402</v>
      </c>
      <c r="E53" s="48" t="s">
        <v>156</v>
      </c>
      <c r="F53" s="51"/>
      <c r="G53" s="48" t="s">
        <v>158</v>
      </c>
      <c r="H53" s="51" t="s">
        <v>77</v>
      </c>
      <c r="I53" s="339"/>
      <c r="J53" s="340"/>
      <c r="K53" s="48" t="s">
        <v>159</v>
      </c>
      <c r="L53" s="51" t="s">
        <v>131</v>
      </c>
      <c r="M53" s="48" t="s">
        <v>177</v>
      </c>
      <c r="N53" s="51" t="s">
        <v>94</v>
      </c>
      <c r="O53" s="66"/>
      <c r="U53" s="165" t="str">
        <f>Mon!U53</f>
        <v>(VAR)</v>
      </c>
      <c r="V53" s="9">
        <f t="shared" si="4"/>
        <v>3</v>
      </c>
      <c r="W53" s="36">
        <f>SUM(Mon!V53,Tue!V53,Wed!V53)</f>
        <v>9</v>
      </c>
      <c r="X53" s="165" t="str">
        <f>Mon!U53</f>
        <v>(VAR)</v>
      </c>
      <c r="Y53" s="20"/>
      <c r="Z53" s="21"/>
      <c r="AA53" s="21"/>
      <c r="AB53" s="22"/>
      <c r="AC53" s="25" t="str">
        <f t="shared" si="18"/>
        <v>IF (C)</v>
      </c>
      <c r="AD53" s="26" t="str">
        <f t="shared" si="19"/>
        <v>IF (A)</v>
      </c>
      <c r="AE53" s="26" t="str">
        <f t="shared" si="20"/>
        <v>AA (B)</v>
      </c>
      <c r="AF53" s="27" t="str">
        <f t="shared" si="21"/>
        <v xml:space="preserve"> </v>
      </c>
      <c r="AG53" s="178" t="str">
        <f t="shared" si="9"/>
        <v xml:space="preserve"> </v>
      </c>
      <c r="AH53" s="177" t="str">
        <f t="shared" si="10"/>
        <v xml:space="preserve"> </v>
      </c>
      <c r="AI53" s="177" t="str">
        <f t="shared" si="11"/>
        <v xml:space="preserve"> </v>
      </c>
      <c r="AJ53" s="180" t="str">
        <f t="shared" si="12"/>
        <v xml:space="preserve"> </v>
      </c>
      <c r="AK53" s="178" t="str">
        <f t="shared" si="13"/>
        <v xml:space="preserve"> </v>
      </c>
      <c r="AL53" s="177" t="str">
        <f t="shared" si="14"/>
        <v xml:space="preserve"> </v>
      </c>
      <c r="AM53" s="177" t="str">
        <f t="shared" si="15"/>
        <v xml:space="preserve"> </v>
      </c>
      <c r="AN53" s="179" t="str">
        <f t="shared" si="16"/>
        <v xml:space="preserve"> </v>
      </c>
    </row>
    <row r="54" spans="1:40" ht="15" thickBot="1" x14ac:dyDescent="0.4">
      <c r="U54" s="165" t="str">
        <f>Mon!U54</f>
        <v>(VIN)</v>
      </c>
      <c r="V54" s="9">
        <f t="shared" si="4"/>
        <v>4</v>
      </c>
      <c r="W54" s="36">
        <f>SUM(Mon!V54,Tue!V54,Wed!V54)</f>
        <v>10</v>
      </c>
      <c r="X54" s="165" t="str">
        <f>Mon!U54</f>
        <v>(VIN)</v>
      </c>
      <c r="Y54" s="20"/>
      <c r="Z54" s="21"/>
      <c r="AA54" s="21"/>
      <c r="AB54" s="22"/>
      <c r="AC54" s="25" t="str">
        <f t="shared" si="18"/>
        <v xml:space="preserve"> </v>
      </c>
      <c r="AD54" s="26" t="str">
        <f t="shared" si="19"/>
        <v xml:space="preserve"> </v>
      </c>
      <c r="AE54" s="26" t="str">
        <f t="shared" si="20"/>
        <v xml:space="preserve"> </v>
      </c>
      <c r="AF54" s="27" t="str">
        <f t="shared" si="21"/>
        <v xml:space="preserve"> </v>
      </c>
      <c r="AG54" s="178" t="str">
        <f t="shared" si="9"/>
        <v xml:space="preserve"> </v>
      </c>
      <c r="AH54" s="177" t="str">
        <f t="shared" si="10"/>
        <v xml:space="preserve"> </v>
      </c>
      <c r="AI54" s="177" t="str">
        <f t="shared" si="11"/>
        <v xml:space="preserve"> </v>
      </c>
      <c r="AJ54" s="180" t="str">
        <f t="shared" si="12"/>
        <v xml:space="preserve"> </v>
      </c>
      <c r="AK54" s="178" t="str">
        <f t="shared" si="13"/>
        <v>FA (B)</v>
      </c>
      <c r="AL54" s="177" t="str">
        <f t="shared" si="14"/>
        <v>FA (L)</v>
      </c>
      <c r="AM54" s="177" t="str">
        <f t="shared" si="15"/>
        <v>FA (G)</v>
      </c>
      <c r="AN54" s="179" t="str">
        <f t="shared" si="16"/>
        <v>FA (I)</v>
      </c>
    </row>
    <row r="55" spans="1:40" ht="15" thickBot="1" x14ac:dyDescent="0.4">
      <c r="U55" s="165" t="str">
        <f>Mon!U55</f>
        <v>(VRL)</v>
      </c>
      <c r="V55" s="9">
        <f t="shared" si="4"/>
        <v>4</v>
      </c>
      <c r="W55" s="36">
        <f>SUM(Mon!V55,Tue!V55,Wed!V55)</f>
        <v>10</v>
      </c>
      <c r="X55" s="165" t="str">
        <f>Mon!U55</f>
        <v>(VRL)</v>
      </c>
      <c r="Y55" s="20"/>
      <c r="Z55" s="21"/>
      <c r="AA55" s="21"/>
      <c r="AB55" s="22"/>
      <c r="AC55" s="25" t="str">
        <f t="shared" si="18"/>
        <v xml:space="preserve"> </v>
      </c>
      <c r="AD55" s="26" t="str">
        <f t="shared" si="19"/>
        <v xml:space="preserve"> </v>
      </c>
      <c r="AE55" s="26" t="str">
        <f t="shared" si="20"/>
        <v xml:space="preserve"> </v>
      </c>
      <c r="AF55" s="27" t="str">
        <f t="shared" si="21"/>
        <v xml:space="preserve"> </v>
      </c>
      <c r="AG55" s="178" t="str">
        <f t="shared" si="9"/>
        <v xml:space="preserve"> </v>
      </c>
      <c r="AH55" s="177" t="str">
        <f t="shared" si="10"/>
        <v xml:space="preserve"> </v>
      </c>
      <c r="AI55" s="177" t="str">
        <f t="shared" si="11"/>
        <v xml:space="preserve"> </v>
      </c>
      <c r="AJ55" s="180" t="str">
        <f t="shared" si="12"/>
        <v xml:space="preserve"> </v>
      </c>
      <c r="AK55" s="178" t="str">
        <f t="shared" si="13"/>
        <v>QT (A)</v>
      </c>
      <c r="AL55" s="177" t="str">
        <f t="shared" si="14"/>
        <v>QT (H)</v>
      </c>
      <c r="AM55" s="177" t="str">
        <f t="shared" si="15"/>
        <v>QT (L)</v>
      </c>
      <c r="AN55" s="179" t="str">
        <f t="shared" si="16"/>
        <v>QT (D)</v>
      </c>
    </row>
    <row r="56" spans="1:40" ht="15" thickBot="1" x14ac:dyDescent="0.4">
      <c r="U56" s="165" t="str">
        <f>Mon!U56</f>
        <v>(YL)</v>
      </c>
      <c r="V56" s="9">
        <f t="shared" si="4"/>
        <v>3</v>
      </c>
      <c r="W56" s="36">
        <f>SUM(Mon!V56,Tue!V56,Wed!V56)</f>
        <v>9</v>
      </c>
      <c r="X56" s="165" t="str">
        <f>Mon!U56</f>
        <v>(YL)</v>
      </c>
      <c r="Y56" s="20"/>
      <c r="Z56" s="21"/>
      <c r="AA56" s="21"/>
      <c r="AB56" s="22"/>
      <c r="AC56" s="25" t="str">
        <f t="shared" si="18"/>
        <v xml:space="preserve"> </v>
      </c>
      <c r="AD56" s="26" t="str">
        <f t="shared" si="19"/>
        <v>IB (F)</v>
      </c>
      <c r="AE56" s="26" t="str">
        <f t="shared" si="20"/>
        <v xml:space="preserve"> </v>
      </c>
      <c r="AF56" s="27" t="str">
        <f t="shared" si="21"/>
        <v xml:space="preserve"> </v>
      </c>
      <c r="AG56" s="178" t="str">
        <f t="shared" si="9"/>
        <v>ED</v>
      </c>
      <c r="AH56" s="177" t="str">
        <f t="shared" si="10"/>
        <v xml:space="preserve"> </v>
      </c>
      <c r="AI56" s="177" t="str">
        <f t="shared" si="11"/>
        <v xml:space="preserve"> </v>
      </c>
      <c r="AJ56" s="180" t="str">
        <f t="shared" si="12"/>
        <v xml:space="preserve"> </v>
      </c>
      <c r="AK56" s="178" t="str">
        <f t="shared" si="13"/>
        <v xml:space="preserve"> </v>
      </c>
      <c r="AL56" s="177" t="str">
        <f t="shared" si="14"/>
        <v>BT (B)</v>
      </c>
      <c r="AM56" s="177" t="str">
        <f t="shared" si="15"/>
        <v xml:space="preserve"> </v>
      </c>
      <c r="AN56" s="179" t="str">
        <f t="shared" si="16"/>
        <v xml:space="preserve"> </v>
      </c>
    </row>
    <row r="57" spans="1:40" ht="15" thickBot="1" x14ac:dyDescent="0.4">
      <c r="U57" s="165" t="str">
        <f>Mon!U57</f>
        <v>(RR)</v>
      </c>
      <c r="V57" s="9">
        <f t="shared" si="4"/>
        <v>2</v>
      </c>
      <c r="W57" s="36">
        <f>SUM(Mon!V57,Tue!V57,Wed!V57)</f>
        <v>9</v>
      </c>
      <c r="X57" s="165" t="str">
        <f>Mon!U57</f>
        <v>(RR)</v>
      </c>
      <c r="Y57" s="171"/>
      <c r="Z57" s="23"/>
      <c r="AA57" s="23"/>
      <c r="AB57" s="24"/>
      <c r="AC57" s="25" t="str">
        <f t="shared" si="18"/>
        <v xml:space="preserve"> </v>
      </c>
      <c r="AD57" s="26" t="str">
        <f t="shared" si="19"/>
        <v xml:space="preserve"> </v>
      </c>
      <c r="AE57" s="26" t="str">
        <f t="shared" si="20"/>
        <v xml:space="preserve"> </v>
      </c>
      <c r="AF57" s="27" t="str">
        <f t="shared" si="21"/>
        <v xml:space="preserve"> </v>
      </c>
      <c r="AG57" s="178" t="str">
        <f t="shared" si="9"/>
        <v xml:space="preserve">ED </v>
      </c>
      <c r="AH57" s="177" t="str">
        <f t="shared" si="10"/>
        <v>EVS (L)</v>
      </c>
      <c r="AI57" s="177" t="str">
        <f t="shared" si="11"/>
        <v xml:space="preserve"> </v>
      </c>
      <c r="AJ57" s="180" t="str">
        <f t="shared" si="12"/>
        <v xml:space="preserve"> </v>
      </c>
      <c r="AK57" s="178" t="str">
        <f t="shared" si="13"/>
        <v xml:space="preserve"> </v>
      </c>
      <c r="AL57" s="177" t="str">
        <f t="shared" si="14"/>
        <v xml:space="preserve"> </v>
      </c>
      <c r="AM57" s="177" t="str">
        <f t="shared" si="15"/>
        <v xml:space="preserve"> </v>
      </c>
      <c r="AN57" s="179" t="str">
        <f t="shared" si="16"/>
        <v xml:space="preserve"> </v>
      </c>
    </row>
    <row r="58" spans="1:40" ht="15" thickBot="1" x14ac:dyDescent="0.4">
      <c r="U58" s="165" t="str">
        <f>Mon!U58</f>
        <v>(DRP)</v>
      </c>
      <c r="V58" s="9">
        <f t="shared" si="4"/>
        <v>3</v>
      </c>
      <c r="W58" s="36">
        <f>SUM(Mon!V58,Tue!V58,Wed!V58)</f>
        <v>10</v>
      </c>
      <c r="X58" s="165" t="str">
        <f>Mon!U58</f>
        <v>(DRP)</v>
      </c>
      <c r="Y58" s="171">
        <f>SUM((COUNTIF($E$5:$F$55,$U58)),IF($T58&lt;&gt;0,(COUNTIF($E$5:$F$55,$T58))),IF($S58&lt;&gt;0,(COUNTIF($E$5:$F$55,$S58))))</f>
        <v>1</v>
      </c>
      <c r="Z58" s="23">
        <f>SUM(COUNTIF($G$5:$J$55,$U58),IF($T58&lt;&gt;0,(COUNTIF($G$5:$J$55,$T58))),IF($S58&lt;&gt;0,(COUNTIF($G$5:$J$55,$S58))))</f>
        <v>0</v>
      </c>
      <c r="AA58" s="23">
        <f>SUM(COUNTIF($K$5:$L$55,$U58),IF($T58&lt;&gt;0,(COUNTIF($K$5:$L$55,$T58))),IF($S58&lt;&gt;0,(COUNTIF($K$5:$L$55,$S58))))</f>
        <v>1</v>
      </c>
      <c r="AB58" s="24">
        <f>SUM(COUNTIF($M$5:$N$55,$U58),IF($T58&lt;&gt;0,(COUNTIF($M$5:$N$55,$T58))),IF($S58&lt;&gt;0,(COUNTIF($M$5:$N$55,$S58))))</f>
        <v>1</v>
      </c>
      <c r="AC58" s="25" t="str">
        <f t="shared" si="18"/>
        <v xml:space="preserve"> </v>
      </c>
      <c r="AD58" s="26" t="str">
        <f t="shared" si="19"/>
        <v xml:space="preserve"> </v>
      </c>
      <c r="AE58" s="26" t="str">
        <f t="shared" si="20"/>
        <v xml:space="preserve"> </v>
      </c>
      <c r="AF58" s="27" t="str">
        <f t="shared" si="21"/>
        <v xml:space="preserve"> </v>
      </c>
      <c r="AG58" s="178" t="str">
        <f t="shared" si="9"/>
        <v xml:space="preserve"> </v>
      </c>
      <c r="AH58" s="177" t="str">
        <f t="shared" si="10"/>
        <v xml:space="preserve"> </v>
      </c>
      <c r="AI58" s="177" t="str">
        <f t="shared" si="11"/>
        <v xml:space="preserve"> </v>
      </c>
      <c r="AJ58" s="180" t="str">
        <f t="shared" si="12"/>
        <v xml:space="preserve"> </v>
      </c>
      <c r="AK58" s="178" t="str">
        <f t="shared" si="13"/>
        <v>BM (I)</v>
      </c>
      <c r="AL58" s="177" t="str">
        <f t="shared" si="14"/>
        <v xml:space="preserve"> </v>
      </c>
      <c r="AM58" s="177" t="str">
        <f t="shared" si="15"/>
        <v>BM (D)</v>
      </c>
      <c r="AN58" s="179" t="str">
        <f t="shared" si="16"/>
        <v>BM (M)</v>
      </c>
    </row>
    <row r="59" spans="1:40" ht="15" thickBot="1" x14ac:dyDescent="0.4">
      <c r="U59" s="165" t="str">
        <f>Mon!U59</f>
        <v>(NEW)</v>
      </c>
      <c r="V59" s="9">
        <f t="shared" ref="V59" si="23">SUM(COUNTIF($E$5:$N$55,U59),IF(T59&lt;&gt;0,COUNTIF($E$5:$N$55,T59),0),IF(S59&lt;&gt;0,COUNTIF($E$5:$N$55,S59),0))</f>
        <v>1</v>
      </c>
      <c r="W59" s="36">
        <f>SUM(Mon!V59,Tue!V59,Wed!V59)</f>
        <v>4</v>
      </c>
      <c r="X59" s="106"/>
      <c r="Y59" s="171">
        <f>SUM((COUNTIF($E$5:$F$55,$U59)),IF($T59&lt;&gt;0,(COUNTIF($E$5:$F$55,$T59))),IF($S59&lt;&gt;0,(COUNTIF($E$5:$F$55,$S59))))</f>
        <v>0</v>
      </c>
      <c r="Z59" s="23">
        <f>SUM(COUNTIF($G$5:$J$55,$U59),IF($T59&lt;&gt;0,(COUNTIF($G$5:$J$55,$T59))),IF($S59&lt;&gt;0,(COUNTIF($G$5:$J$55,$S59))))</f>
        <v>0</v>
      </c>
      <c r="AA59" s="23">
        <f>SUM(COUNTIF($K$5:$L$55,$U59),IF($T59&lt;&gt;0,(COUNTIF($K$5:$L$55,$T59))),IF($S59&lt;&gt;0,(COUNTIF($K$5:$L$55,$S59))))</f>
        <v>1</v>
      </c>
      <c r="AB59" s="24">
        <f>SUM(COUNTIF($M$5:$N$55,$U59),IF($T59&lt;&gt;0,(COUNTIF($M$5:$N$55,$T59))),IF($S59&lt;&gt;0,(COUNTIF($M$5:$N$55,$S59))))</f>
        <v>0</v>
      </c>
      <c r="AC59" s="25" t="str">
        <f t="shared" si="18"/>
        <v xml:space="preserve"> </v>
      </c>
      <c r="AD59" s="26" t="str">
        <f t="shared" si="19"/>
        <v xml:space="preserve"> </v>
      </c>
      <c r="AE59" s="26" t="str">
        <f t="shared" si="20"/>
        <v xml:space="preserve"> </v>
      </c>
      <c r="AF59" s="27" t="str">
        <f t="shared" si="21"/>
        <v xml:space="preserve"> </v>
      </c>
      <c r="AG59" s="178" t="str">
        <f t="shared" si="9"/>
        <v xml:space="preserve"> </v>
      </c>
      <c r="AH59" s="177" t="str">
        <f t="shared" si="10"/>
        <v xml:space="preserve"> </v>
      </c>
      <c r="AI59" s="177" t="str">
        <f t="shared" si="11"/>
        <v>EVS (H)</v>
      </c>
      <c r="AJ59" s="180" t="str">
        <f t="shared" si="12"/>
        <v xml:space="preserve"> </v>
      </c>
      <c r="AK59" s="178" t="str">
        <f t="shared" si="13"/>
        <v xml:space="preserve"> </v>
      </c>
      <c r="AL59" s="177" t="str">
        <f t="shared" si="14"/>
        <v xml:space="preserve"> </v>
      </c>
      <c r="AM59" s="177" t="str">
        <f t="shared" si="15"/>
        <v xml:space="preserve"> </v>
      </c>
      <c r="AN59" s="179" t="str">
        <f t="shared" si="16"/>
        <v xml:space="preserve"> </v>
      </c>
    </row>
    <row r="60" spans="1:40" ht="15" thickBot="1" x14ac:dyDescent="0.4">
      <c r="U60" s="165">
        <f>Mon!U60</f>
        <v>0</v>
      </c>
      <c r="V60" s="9">
        <f t="shared" ref="V60:V62" si="24">SUM(COUNTIF($E$5:$N$55,U60),IF(T60&lt;&gt;0,COUNTIF($E$5:$N$55,T60),0),IF(S60&lt;&gt;0,COUNTIF($E$5:$N$55,S60),0))</f>
        <v>0</v>
      </c>
      <c r="W60" s="36">
        <f>SUM(Mon!V60,Tue!V60,Wed!V60)</f>
        <v>0</v>
      </c>
      <c r="X60" s="106"/>
      <c r="Y60" s="171">
        <f t="shared" ref="Y60:Y62" si="25">SUM((COUNTIF($E$5:$F$55,$U60)),IF($T60&lt;&gt;0,(COUNTIF($E$5:$F$55,$T60))),IF($S60&lt;&gt;0,(COUNTIF($E$5:$F$55,$S60))))</f>
        <v>0</v>
      </c>
      <c r="Z60" s="23">
        <f t="shared" ref="Z60:Z62" si="26">SUM(COUNTIF($G$5:$J$55,$U60),IF($T60&lt;&gt;0,(COUNTIF($G$5:$J$55,$T60))),IF($S60&lt;&gt;0,(COUNTIF($G$5:$J$55,$S60))))</f>
        <v>0</v>
      </c>
      <c r="AA60" s="23">
        <f t="shared" ref="AA60:AA62" si="27">SUM(COUNTIF($K$5:$L$55,$U60),IF($T60&lt;&gt;0,(COUNTIF($K$5:$L$55,$T60))),IF($S60&lt;&gt;0,(COUNTIF($K$5:$L$55,$S60))))</f>
        <v>0</v>
      </c>
      <c r="AB60" s="24">
        <f t="shared" ref="AB60:AB62" si="28">SUM(COUNTIF($M$5:$N$55,$U60),IF($T60&lt;&gt;0,(COUNTIF($M$5:$N$55,$T60))),IF($S60&lt;&gt;0,(COUNTIF($M$5:$N$55,$S60))))</f>
        <v>0</v>
      </c>
      <c r="AC60" s="25" t="str">
        <f t="shared" si="18"/>
        <v xml:space="preserve"> </v>
      </c>
      <c r="AD60" s="26" t="str">
        <f t="shared" si="19"/>
        <v xml:space="preserve"> </v>
      </c>
      <c r="AE60" s="26" t="str">
        <f t="shared" si="20"/>
        <v xml:space="preserve"> </v>
      </c>
      <c r="AF60" s="27" t="str">
        <f t="shared" si="21"/>
        <v xml:space="preserve"> </v>
      </c>
      <c r="AG60" s="102" t="str">
        <f t="shared" ref="AG60:AG62" si="29">CONCATENATE(IF($U60=$F$21,$E$21,IF($U60=$F$22,$E$22,IF($U60=$F$23,$E$23,IF($U60=$F$24,$E$24,IF($U60=$F$25,$E$25,IF($U60=$F$26,$E$26,IF($U60=$F$27,$E$27,IF($U60=$F$28,$E$28,IF($U60=$F$29,$E$29,IF($U60=$F$30,$E$30,IF($U60=$F$31,$E$31,IF($U60=$F$32,$E$32,IF($U60=$F$33,$E$33,"")))))))))))))&amp;" "&amp;(IF($U60=$F$21,"(A)",IF($U60=$F$22,"(B)",IF($U60=$F$23,"(C)",IF($U60=$F$24,"(D)",IF($U60=$F$25,"(E)",IF($U60=$F$26,"(F)",IF($U60=$F$27,"(G)",IF($U60=$F$28,"(H)",IF($U60=$F$29,"(I)",IF($U60=$F$30,"(J)",IF($U60=$F$31,"(K)",IF($U60=$F$32,"(L)",IF($U60=$F$33,"(M)","")))))))))))))))</f>
        <v xml:space="preserve"> </v>
      </c>
      <c r="AH60" s="103" t="str">
        <f t="shared" ref="AH60:AH62" si="30">CONCATENATE(IF($U60=$H$21,$G$21,IF($U60=$H$22,$G$22,IF($U60=$H$23,$G$23,IF($U60=$H$24,$G$24,IF($U60=$H$25,$G$25,IF($U60=$H$26,$G$26,IF($U60=$H$27,$G$27,IF($U60=$H$28,$G$28,IF($U60=$H$29,$G$29,IF($U60=$H$30,$G$30,IF($U60=$H$31,$G$31,IF($U60=$H$32,$G$32,IF($U60=$H$33,$G$33,"")))))))))))))&amp;" "&amp;(IF($U60=$H$21,"(A)",IF($U60=$H$22,"(B)",IF($U60=$H$23,"(C)",IF($U60=$H$24,"(D)",IF($U60=$H$25,"(E)",IF($U60=$H$26,"(F)",IF($U60=$H$27,"(G)",IF($U60=$H$28,"(H)",IF($U60=$H$29,"(I)",IF($U60=$H$30,"(J)",IF($U60=$H$31,"(K)",IF($U60=$H$32,"(L)",IF($U60=$H$33,"(M)","")))))))))))))))</f>
        <v xml:space="preserve"> </v>
      </c>
      <c r="AI60" s="103" t="str">
        <f t="shared" ref="AI60:AI62" si="31">CONCATENATE(IF($U60=$L$21,$K$21,IF($U60=$L$22,$K$22,IF($U60=$L$23,$K$23,IF($U60=$L$24,$K$24,IF($U60=$L$25,$K$25,IF($U60=$L$26,$K$26,IF($U60=$L$27,$K$27,IF($U60=$L$28,$K$28,IF($U60=$L$29,$K$29,IF($U60=$L$30,$K$30,IF($U60=$L$31,$K$31,IF($U60=$L$32,$K$32,IF($U60=$L$33,$K$33,"")))))))))))))&amp;" "&amp;IF($U60=$L$21,"(A)",IF($U60=$L$22,"(B)",IF($U60=$L$23,"(C)",IF($U60=$L$24,"(D)",IF($U60=$L$25,"(E)",IF($U60=$L$26,"(F)",IF($U60=$L$27,"(G)",IF($U60=$L$28,"(H)",IF($U60=$L$29,"(I)",IF($U60=$L$30,"(J)",IF($U60=$L$31,"(K)",IF($U60=$L$32,"(L)",IF($U60=$L$33,"(M)",""))))))))))))))</f>
        <v xml:space="preserve"> </v>
      </c>
      <c r="AJ60" s="104" t="str">
        <f t="shared" ref="AJ60:AJ62" si="32">CONCATENATE(IF($U60=$N$21,$M$21,IF($U60=$N$22,$M$22,IF($U60=$N$23,$M$23,IF($U60=$N$24,$M$24,IF($U60=$N$25,$M$25,IF($U60=$N$26,$M$26,IF($U60=$N$27,$M$27,IF($U60=$N$28,$M$28,IF($U60=$N$29,$M$29,IF($U60=$N$30,$M$30,IF($U60=$N$31,$M$31,IF($U60=$N$32,$M$32,IF($U60=$N$33,$M$33,"")))))))))))))&amp;" "&amp;(IF($U60=$N$21,"(A)",IF($U60=$N$22,"(B)",IF($U60=$N$23,"(C)",IF($U60=$N$24,"(D)",IF($U60=$N$25,"(E)",IF($U60=$N$26,"(F)",IF($U60=$N$27,"(G)",IF($U60=$N$28,"(H)",IF($U60=$N$29,"(I)",IF($U60=$N$30,"(J)",IF($U60=$N$31,"(K)",IF($U60=$N$32,"(L)",IF($U60=$N$33,"(M)","")))))))))))))))</f>
        <v>Dual Programme (A)</v>
      </c>
      <c r="AK60" s="102" t="str">
        <f t="shared" ref="AK60:AK62" si="33">CONCATENATE(IF($U60=$F$37,$E$37,IF($U60=$F$38,$E$38,IF($U60=$F$39,$E$39,IF($U60=$F$40,$E$40,IF($U60=$F$41,$E$41,IF($U60=$F$42,$E$42,IF($U60=$F$43,$E$43,IF($U60=$F$44,$E$44,IF($U60=$F$45,$E$45,IF($U60=$F$46,$E$46,IF($U60=$F$47,$E$47,IF($U60=$F$48,$E$48,IF($U60=$F$49,$E$49,"")))))))))))))&amp;" "&amp;IF($U60=$F$37,"(A)",IF($U60=$F$38,"(B)",IF($U60=$F$39,"(C)",IF($U60=$F$40,"(D)",IF($U60=$F$41,"(E)",IF($U60=$F$42,"(F)",IF($U60=$F$43,"(G)",IF($U60=$F$44,"(H)",IF($U60=$F$45,"(I)",IF($U60=$F$46,"(J)",IF($U60=$F$47,"(K)",IF($U60=$F$48,"(L)",IF($U60=$F$49,"(M)",""))))))))))))))</f>
        <v>11:45-12:35 (A)</v>
      </c>
      <c r="AL60" s="103" t="str">
        <f t="shared" ref="AL60:AL62" si="34">CONCATENATE(IF($U60=$H$37,$G$37,IF($U60=$H$38,$G$38,IF($U60=$H$39,$G$39,IF($U60=$H$40,$G$40,IF($U60=$H$41,$G$41,IF($U60=$H$42,$G$42,IF($U60=$H$43,$G$43,IF($U60=$H$44,$G$44,IF($U60=$H$45,$G$45,IF($U60=$H$46,$G$46,IF($U60=$H$47,$G$47,IF($U60=$H$48,$G$48,IF($U60=$H$49,$G$49,"")))))))))))))&amp;" "&amp;IF($U60=$H$37,"(A)",IF($U60=$H$38,"(B)",IF($U60=$H$39,"(C)",IF($U60=$H$40,"(D)",IF($U60=$H$41,"(E)",IF($U60=$H$42,"(F)",IF($U60=$H$43,"(G)",IF($U60=$H$44,"(H)",IF($U60=$H$45,"(I)",IF($U60=$H$46,"(J)",IF($U60=$H$47,"(K)",IF($U60=$H$48,"(L)",IF($U60=$H$49,"(M)",""))))))))))))))</f>
        <v>12:35-1:25 (A)</v>
      </c>
      <c r="AM60" s="26" t="str">
        <f t="shared" ref="AM60:AM62" si="35">CONCATENATE(IF($U60=$L$37,$K$37,IF($U60=$L$38,$K$38,IF($U60=$L$39,$K$39,IF($U60=$L$40,$K$40,IF($U60=$L$41,$K$41,IF($U60=$L$42,$K$42,IF($U60=$L$43,$K$43,IF($U60=$L$44,$K$44,IF($U60=$L$45,$K$45,IF($U60=$L$46,$K$46,IF($U60=$L$47,$K$47,IF($U60=$L$48,$K$48,IF($U60=$L$49,$K$49,"")))))))))))))&amp;" "&amp;IF($U60=$L$37,"(A)",IF($U60=$L$38,"(B)",IF($U60=$L$39,"(C)",IF($U60=$L$40,"(D)",IF($U60=$L$41,"(E)",IF($U60=$L$42,"(F)",IF($U60=$L$43,"(G)",IF($U60=$L$44,"(H)",IF($U60=$L$45,"(I)",IF($U60=$L$46,"(J)",IF($U60=$L$47,"(K)",IF($U60=$L$48,"(L)",IF($U60=$L$49,"(M)",""))))))))))))))</f>
        <v>2:05-2:55 (A)</v>
      </c>
      <c r="AN60" s="27" t="str">
        <f t="shared" ref="AN60:AN62" si="36">CONCATENATE(IF($U60=$N$37,$M$37,IF($U60=$N$38,$M$38,IF($U60=$N$39,$M$39,IF($U60=$N$40,$M$40,IF($U60=$N$41,$M$41,IF($U60=$N$42,$M$42,IF($U60=$N$43,$M$43,IF($U60=$N$44,$M$44,IF($U60=$N$45,$M$45,IF($U60=$N$46,$M$46,IF($U60=$N$47,$M$47,IF($U60=$N$48,$M$48,IF($U60=$N$49,$M$49,"")))))))))))))&amp;" "&amp;IF($U60=$N$37,"(A)",IF($U60=$N$38,"(B)",IF($U60=$N$39,"(C)",IF($U60=$N$40,"(D)",IF($U60=$N$41,"(E)",IF($U60=$N$42,"(F)",IF($U60=$N$43,"(G)",IF($U60=$N$44,"(H)",IF($U60=$N$45,"(I)",IF($U60=$N$46,"(J)",IF($U60=$N$47,"(K)",IF($U60=$N$48,"(L)",IF($U60=$N$49,"(M)",""))))))))))))))</f>
        <v>2:55-3:45 (A)</v>
      </c>
    </row>
    <row r="61" spans="1:40" ht="15" thickBot="1" x14ac:dyDescent="0.4">
      <c r="U61" s="165">
        <f>Mon!U61</f>
        <v>0</v>
      </c>
      <c r="V61" s="9">
        <f t="shared" si="24"/>
        <v>0</v>
      </c>
      <c r="W61" s="36">
        <f>SUM(Mon!V61,Tue!V61,Wed!V61)</f>
        <v>0</v>
      </c>
      <c r="X61" s="106"/>
      <c r="Y61" s="171">
        <f t="shared" si="25"/>
        <v>0</v>
      </c>
      <c r="Z61" s="23">
        <f t="shared" si="26"/>
        <v>0</v>
      </c>
      <c r="AA61" s="23">
        <f t="shared" si="27"/>
        <v>0</v>
      </c>
      <c r="AB61" s="24">
        <f t="shared" si="28"/>
        <v>0</v>
      </c>
      <c r="AC61" s="25" t="str">
        <f t="shared" si="18"/>
        <v xml:space="preserve"> </v>
      </c>
      <c r="AD61" s="26" t="str">
        <f t="shared" si="19"/>
        <v xml:space="preserve"> </v>
      </c>
      <c r="AE61" s="26" t="str">
        <f t="shared" si="20"/>
        <v xml:space="preserve"> </v>
      </c>
      <c r="AF61" s="27" t="str">
        <f t="shared" si="21"/>
        <v xml:space="preserve"> </v>
      </c>
      <c r="AG61" s="102" t="str">
        <f t="shared" si="29"/>
        <v xml:space="preserve"> </v>
      </c>
      <c r="AH61" s="103" t="str">
        <f t="shared" si="30"/>
        <v xml:space="preserve"> </v>
      </c>
      <c r="AI61" s="103" t="str">
        <f t="shared" si="31"/>
        <v xml:space="preserve"> </v>
      </c>
      <c r="AJ61" s="104" t="str">
        <f t="shared" si="32"/>
        <v>Dual Programme (A)</v>
      </c>
      <c r="AK61" s="102" t="str">
        <f t="shared" si="33"/>
        <v>11:45-12:35 (A)</v>
      </c>
      <c r="AL61" s="103" t="str">
        <f t="shared" si="34"/>
        <v>12:35-1:25 (A)</v>
      </c>
      <c r="AM61" s="26" t="str">
        <f t="shared" si="35"/>
        <v>2:05-2:55 (A)</v>
      </c>
      <c r="AN61" s="27" t="str">
        <f t="shared" si="36"/>
        <v>2:55-3:45 (A)</v>
      </c>
    </row>
    <row r="62" spans="1:40" x14ac:dyDescent="0.35">
      <c r="U62" s="165">
        <f>Mon!U62</f>
        <v>0</v>
      </c>
      <c r="V62" s="9">
        <f t="shared" si="24"/>
        <v>0</v>
      </c>
      <c r="W62" s="36">
        <f>SUM(Mon!V62,Tue!V62,Wed!V62)</f>
        <v>0</v>
      </c>
      <c r="X62" s="106"/>
      <c r="Y62" s="171">
        <f t="shared" si="25"/>
        <v>0</v>
      </c>
      <c r="Z62" s="23">
        <f t="shared" si="26"/>
        <v>0</v>
      </c>
      <c r="AA62" s="23">
        <f t="shared" si="27"/>
        <v>0</v>
      </c>
      <c r="AB62" s="24">
        <f t="shared" si="28"/>
        <v>0</v>
      </c>
      <c r="AC62" s="25" t="str">
        <f t="shared" si="18"/>
        <v xml:space="preserve"> </v>
      </c>
      <c r="AD62" s="26" t="str">
        <f t="shared" si="19"/>
        <v xml:space="preserve"> </v>
      </c>
      <c r="AE62" s="26" t="str">
        <f t="shared" si="20"/>
        <v xml:space="preserve"> </v>
      </c>
      <c r="AF62" s="27" t="str">
        <f t="shared" si="21"/>
        <v xml:space="preserve"> </v>
      </c>
      <c r="AG62" s="102" t="str">
        <f t="shared" si="29"/>
        <v xml:space="preserve"> </v>
      </c>
      <c r="AH62" s="103" t="str">
        <f t="shared" si="30"/>
        <v xml:space="preserve"> </v>
      </c>
      <c r="AI62" s="103" t="str">
        <f t="shared" si="31"/>
        <v xml:space="preserve"> </v>
      </c>
      <c r="AJ62" s="104" t="str">
        <f t="shared" si="32"/>
        <v>Dual Programme (A)</v>
      </c>
      <c r="AK62" s="102" t="str">
        <f t="shared" si="33"/>
        <v>11:45-12:35 (A)</v>
      </c>
      <c r="AL62" s="103" t="str">
        <f t="shared" si="34"/>
        <v>12:35-1:25 (A)</v>
      </c>
      <c r="AM62" s="26" t="str">
        <f t="shared" si="35"/>
        <v>2:05-2:55 (A)</v>
      </c>
      <c r="AN62" s="27" t="str">
        <f t="shared" si="36"/>
        <v>2:55-3:45 (A)</v>
      </c>
    </row>
    <row r="71" spans="1:30" x14ac:dyDescent="0.35">
      <c r="A71" s="361" t="s">
        <v>4</v>
      </c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3"/>
      <c r="AC71" s="323" t="s">
        <v>87</v>
      </c>
      <c r="AD71" s="324"/>
    </row>
    <row r="72" spans="1:30" x14ac:dyDescent="0.35">
      <c r="A72" s="341" t="s">
        <v>161</v>
      </c>
      <c r="B72" s="342"/>
      <c r="C72" s="341" t="s">
        <v>162</v>
      </c>
      <c r="D72" s="342"/>
      <c r="E72" s="341" t="s">
        <v>163</v>
      </c>
      <c r="F72" s="342"/>
      <c r="G72" s="341" t="s">
        <v>164</v>
      </c>
      <c r="H72" s="342"/>
      <c r="I72" s="341" t="s">
        <v>165</v>
      </c>
      <c r="J72" s="342"/>
      <c r="K72" s="341" t="s">
        <v>166</v>
      </c>
      <c r="L72" s="342"/>
      <c r="M72" s="341" t="s">
        <v>167</v>
      </c>
      <c r="N72" s="342"/>
      <c r="O72" s="341" t="s">
        <v>168</v>
      </c>
      <c r="P72" s="342"/>
      <c r="Q72" s="341" t="s">
        <v>169</v>
      </c>
      <c r="R72" s="342"/>
      <c r="S72" s="341" t="s">
        <v>170</v>
      </c>
      <c r="T72" s="342"/>
      <c r="U72" s="341" t="s">
        <v>171</v>
      </c>
      <c r="V72" s="342"/>
      <c r="W72" s="341" t="s">
        <v>172</v>
      </c>
      <c r="X72" s="342"/>
      <c r="Y72" s="341" t="s">
        <v>173</v>
      </c>
      <c r="Z72" s="342"/>
      <c r="AA72" s="341" t="s">
        <v>174</v>
      </c>
      <c r="AB72" s="342"/>
      <c r="AC72" s="318" t="s">
        <v>175</v>
      </c>
      <c r="AD72" s="172" t="s">
        <v>176</v>
      </c>
    </row>
    <row r="73" spans="1:30" x14ac:dyDescent="0.35">
      <c r="A73" s="166" t="s">
        <v>175</v>
      </c>
      <c r="B73" s="167" t="s">
        <v>176</v>
      </c>
      <c r="C73" s="166" t="s">
        <v>175</v>
      </c>
      <c r="D73" s="167" t="s">
        <v>176</v>
      </c>
      <c r="E73" s="166" t="s">
        <v>175</v>
      </c>
      <c r="F73" s="167" t="s">
        <v>176</v>
      </c>
      <c r="G73" s="166" t="s">
        <v>175</v>
      </c>
      <c r="H73" s="167" t="s">
        <v>176</v>
      </c>
      <c r="I73" s="166" t="s">
        <v>175</v>
      </c>
      <c r="J73" s="167" t="s">
        <v>176</v>
      </c>
      <c r="K73" s="166" t="s">
        <v>175</v>
      </c>
      <c r="L73" s="167" t="s">
        <v>176</v>
      </c>
      <c r="M73" s="166" t="s">
        <v>175</v>
      </c>
      <c r="N73" s="167" t="s">
        <v>176</v>
      </c>
      <c r="O73" s="166" t="s">
        <v>175</v>
      </c>
      <c r="P73" s="167" t="s">
        <v>176</v>
      </c>
      <c r="Q73" s="166" t="s">
        <v>175</v>
      </c>
      <c r="R73" s="167" t="s">
        <v>176</v>
      </c>
      <c r="S73" s="166" t="s">
        <v>175</v>
      </c>
      <c r="T73" s="167" t="s">
        <v>176</v>
      </c>
      <c r="U73" s="166" t="s">
        <v>175</v>
      </c>
      <c r="V73" s="172" t="s">
        <v>176</v>
      </c>
      <c r="W73" s="166" t="s">
        <v>175</v>
      </c>
      <c r="X73" s="167" t="s">
        <v>176</v>
      </c>
      <c r="Y73" s="166" t="s">
        <v>175</v>
      </c>
      <c r="Z73" s="167" t="s">
        <v>176</v>
      </c>
      <c r="AA73" s="166" t="s">
        <v>175</v>
      </c>
      <c r="AB73" s="167" t="s">
        <v>176</v>
      </c>
      <c r="AC73" s="315" t="s">
        <v>98</v>
      </c>
      <c r="AD73" s="315" t="s">
        <v>157</v>
      </c>
    </row>
    <row r="74" spans="1:30" x14ac:dyDescent="0.35">
      <c r="A74" s="174" t="str">
        <f>Mon!A74</f>
        <v>(SC)</v>
      </c>
      <c r="B74" s="170" t="str">
        <f>Mon!B74</f>
        <v>AE</v>
      </c>
      <c r="C74" s="174" t="str">
        <f>Mon!C74</f>
        <v>(SA)</v>
      </c>
      <c r="D74" s="170" t="str">
        <f>Mon!D74</f>
        <v>AE</v>
      </c>
      <c r="E74" s="169" t="str">
        <f>Mon!E74</f>
        <v>(PR)</v>
      </c>
      <c r="F74" s="170" t="str">
        <f>Mon!F74</f>
        <v>AE</v>
      </c>
      <c r="G74" s="174" t="str">
        <f>Mon!G74</f>
        <v>(PR)</v>
      </c>
      <c r="H74" s="170" t="str">
        <f>Mon!H74</f>
        <v>AE</v>
      </c>
      <c r="I74" s="169" t="str">
        <f>Mon!I74</f>
        <v>(SC)</v>
      </c>
      <c r="J74" s="170" t="str">
        <f>Mon!J74</f>
        <v>AE</v>
      </c>
      <c r="K74" s="174" t="str">
        <f>Mon!K74</f>
        <v>(SC)</v>
      </c>
      <c r="L74" s="170" t="str">
        <f>Mon!L74</f>
        <v>AE</v>
      </c>
      <c r="M74" s="174" t="str">
        <f>Mon!M74</f>
        <v>(SN)</v>
      </c>
      <c r="N74" s="170" t="str">
        <f>Mon!N74</f>
        <v>AE</v>
      </c>
      <c r="O74" s="169" t="str">
        <f>Mon!O74</f>
        <v>(SN)</v>
      </c>
      <c r="P74" s="170" t="str">
        <f>Mon!P74</f>
        <v>AE</v>
      </c>
      <c r="Q74" s="174" t="str">
        <f>Mon!Q74</f>
        <v>(SV)</v>
      </c>
      <c r="R74" s="170" t="str">
        <f>Mon!R74</f>
        <v>HIN</v>
      </c>
      <c r="S74" s="169" t="str">
        <f>Mon!S74</f>
        <v>(SV)</v>
      </c>
      <c r="T74" s="89" t="str">
        <f>Mon!T74</f>
        <v>HIN</v>
      </c>
      <c r="U74" s="183" t="str">
        <f>Mon!U74</f>
        <v>(SV)</v>
      </c>
      <c r="V74" s="89" t="str">
        <f>Mon!V74</f>
        <v>HIN</v>
      </c>
      <c r="W74" s="184" t="str">
        <f>Mon!W74</f>
        <v>(SV)</v>
      </c>
      <c r="X74" s="170" t="str">
        <f>Mon!X74</f>
        <v>HIN</v>
      </c>
      <c r="Y74" s="8" t="str">
        <f>Mon!Y74</f>
        <v>(HEM)</v>
      </c>
      <c r="Z74" s="170" t="str">
        <f>Mon!Z74</f>
        <v>KAN</v>
      </c>
      <c r="AA74" s="8" t="str">
        <f>Mon!AA74</f>
        <v>(RP)</v>
      </c>
      <c r="AB74" s="170" t="str">
        <f>Mon!AB74</f>
        <v>SAN</v>
      </c>
      <c r="AC74" s="315" t="s">
        <v>131</v>
      </c>
      <c r="AD74" s="315" t="s">
        <v>159</v>
      </c>
    </row>
    <row r="75" spans="1:30" x14ac:dyDescent="0.35">
      <c r="A75" s="169" t="str">
        <f>Mon!A75</f>
        <v>(SA)</v>
      </c>
      <c r="B75" s="170" t="str">
        <f>Mon!B75</f>
        <v>GE</v>
      </c>
      <c r="C75" s="169" t="str">
        <f>Mon!C75</f>
        <v>(PR)</v>
      </c>
      <c r="D75" s="170" t="str">
        <f>Mon!D75</f>
        <v>GE</v>
      </c>
      <c r="E75" s="169" t="str">
        <f>Mon!E75</f>
        <v>(SN)</v>
      </c>
      <c r="F75" s="170" t="str">
        <f>Mon!F75</f>
        <v>GE</v>
      </c>
      <c r="G75" s="169" t="str">
        <f>Mon!G75</f>
        <v>(SC)</v>
      </c>
      <c r="H75" s="170" t="str">
        <f>Mon!H75</f>
        <v>GE</v>
      </c>
      <c r="I75" s="174" t="str">
        <f>Mon!I75</f>
        <v>(CG)</v>
      </c>
      <c r="J75" s="170" t="str">
        <f>Mon!J75</f>
        <v>GE</v>
      </c>
      <c r="K75" s="169" t="str">
        <f>Mon!K75</f>
        <v>(PR)</v>
      </c>
      <c r="L75" s="170" t="str">
        <f>Mon!L75</f>
        <v>GE</v>
      </c>
      <c r="M75" s="169" t="str">
        <f>Mon!M75</f>
        <v>(SC)</v>
      </c>
      <c r="N75" s="170" t="str">
        <f>Mon!N75</f>
        <v>GE</v>
      </c>
      <c r="O75" s="169" t="str">
        <f>Mon!O75</f>
        <v>(SA)</v>
      </c>
      <c r="P75" s="170" t="str">
        <f>Mon!P75</f>
        <v>GE</v>
      </c>
      <c r="Q75" s="169" t="str">
        <f>Mon!Q75</f>
        <v>(CG)</v>
      </c>
      <c r="R75" s="170" t="str">
        <f>Mon!R75</f>
        <v>GE</v>
      </c>
      <c r="S75" s="169" t="str">
        <f>Mon!S75</f>
        <v>(SN)</v>
      </c>
      <c r="T75" s="170" t="str">
        <f>Mon!T75</f>
        <v>GE</v>
      </c>
      <c r="U75" s="169" t="str">
        <f>Mon!U75</f>
        <v>(SN)</v>
      </c>
      <c r="V75" s="88" t="str">
        <f>Mon!V75</f>
        <v>GE</v>
      </c>
      <c r="W75" s="185" t="str">
        <f>Mon!W75</f>
        <v>(PR)</v>
      </c>
      <c r="X75" s="170" t="str">
        <f>Mon!X75</f>
        <v>GE</v>
      </c>
      <c r="Y75" s="8" t="str">
        <f>Mon!Y75</f>
        <v>(SA)</v>
      </c>
      <c r="Z75" s="170" t="str">
        <f>Mon!Z75</f>
        <v>GE</v>
      </c>
      <c r="AA75" s="8" t="str">
        <f>Mon!AA75</f>
        <v>(SA)</v>
      </c>
      <c r="AB75" s="170" t="str">
        <f>Mon!AB75</f>
        <v>GE</v>
      </c>
      <c r="AC75" s="315" t="s">
        <v>94</v>
      </c>
      <c r="AD75" s="315" t="s">
        <v>177</v>
      </c>
    </row>
    <row r="76" spans="1:30" x14ac:dyDescent="0.35">
      <c r="A76" s="169" t="str">
        <f>Mon!A76</f>
        <v>(AW)</v>
      </c>
      <c r="B76" s="170" t="str">
        <f>Mon!B76</f>
        <v>BT</v>
      </c>
      <c r="C76" s="169" t="str">
        <f>Mon!C76</f>
        <v>(YL)</v>
      </c>
      <c r="D76" s="170" t="str">
        <f>Mon!D76</f>
        <v>BT</v>
      </c>
      <c r="E76" s="169" t="str">
        <f>Mon!E76</f>
        <v>(AW)</v>
      </c>
      <c r="F76" s="170" t="str">
        <f>Mon!F76</f>
        <v>BT</v>
      </c>
      <c r="G76" s="169" t="str">
        <f>Mon!G76</f>
        <v>(JAY)</v>
      </c>
      <c r="H76" s="170" t="str">
        <f>Mon!H76</f>
        <v>BT</v>
      </c>
      <c r="I76" s="169" t="str">
        <f>Mon!I76</f>
        <v>(JAY)</v>
      </c>
      <c r="J76" s="170" t="str">
        <f>Mon!J76</f>
        <v>BT</v>
      </c>
      <c r="K76" s="169" t="str">
        <f>Mon!K76</f>
        <v>(JAY)</v>
      </c>
      <c r="L76" s="170" t="str">
        <f>Mon!L76</f>
        <v>BT</v>
      </c>
      <c r="M76" s="169" t="str">
        <f>Mon!M76</f>
        <v>(AB)</v>
      </c>
      <c r="N76" s="170" t="str">
        <f>Mon!N76</f>
        <v>BT</v>
      </c>
      <c r="O76" s="169" t="str">
        <f>Mon!O76</f>
        <v>(AW)</v>
      </c>
      <c r="P76" s="170" t="str">
        <f>Mon!P76</f>
        <v>BT</v>
      </c>
      <c r="Q76" s="169" t="str">
        <f>Mon!Q76</f>
        <v>(JAY)</v>
      </c>
      <c r="R76" s="170" t="str">
        <f>Mon!R76</f>
        <v>BT</v>
      </c>
      <c r="S76" s="169" t="str">
        <f>Mon!S76</f>
        <v>(AB)</v>
      </c>
      <c r="T76" s="170" t="str">
        <f>Mon!T76</f>
        <v>BT</v>
      </c>
      <c r="U76" s="169" t="str">
        <f>Mon!U76</f>
        <v>(AW)</v>
      </c>
      <c r="V76" s="170" t="str">
        <f>Mon!V76</f>
        <v>BT</v>
      </c>
      <c r="W76" s="185" t="str">
        <f>Mon!W76</f>
        <v>(SE)</v>
      </c>
      <c r="X76" s="170" t="str">
        <f>Mon!X76</f>
        <v>BT</v>
      </c>
      <c r="Y76" s="8" t="str">
        <f>Mon!Y76</f>
        <v>(SE)</v>
      </c>
      <c r="Z76" s="170" t="str">
        <f>Mon!Z76</f>
        <v>BT</v>
      </c>
      <c r="AA76" s="8" t="str">
        <f>Mon!AA76</f>
        <v>(JAY)</v>
      </c>
      <c r="AB76" s="170" t="str">
        <f>Mon!AB76</f>
        <v>BT</v>
      </c>
      <c r="AC76" s="315" t="s">
        <v>77</v>
      </c>
      <c r="AD76" s="315" t="s">
        <v>179</v>
      </c>
    </row>
    <row r="77" spans="1:30" x14ac:dyDescent="0.35">
      <c r="A77" s="169" t="str">
        <f>Mon!A77</f>
        <v>(AS)</v>
      </c>
      <c r="B77" s="170" t="str">
        <f>Mon!B77</f>
        <v>BM</v>
      </c>
      <c r="C77" s="169" t="str">
        <f>Mon!C77</f>
        <v>(SE)</v>
      </c>
      <c r="D77" s="170" t="str">
        <f>Mon!D77</f>
        <v>BM</v>
      </c>
      <c r="E77" s="169" t="str">
        <f>Mon!E77</f>
        <v>(JAY)</v>
      </c>
      <c r="F77" s="170" t="str">
        <f>Mon!F77</f>
        <v>BM</v>
      </c>
      <c r="G77" s="169" t="str">
        <f>Mon!G77</f>
        <v>(DRP)</v>
      </c>
      <c r="H77" s="170" t="str">
        <f>Mon!H77</f>
        <v>BM</v>
      </c>
      <c r="I77" s="169" t="str">
        <f>Mon!I77</f>
        <v>(SE)</v>
      </c>
      <c r="J77" s="170" t="str">
        <f>Mon!J77</f>
        <v>BM</v>
      </c>
      <c r="K77" s="169" t="str">
        <f>Mon!K77</f>
        <v>(SE)</v>
      </c>
      <c r="L77" s="170" t="str">
        <f>Mon!L77</f>
        <v>BM</v>
      </c>
      <c r="M77" s="169" t="str">
        <f>Mon!M77</f>
        <v>(AG)</v>
      </c>
      <c r="N77" s="170" t="str">
        <f>Mon!N77</f>
        <v>BM</v>
      </c>
      <c r="O77" s="174" t="str">
        <f>Mon!O77</f>
        <v>(DRP)</v>
      </c>
      <c r="P77" s="170" t="str">
        <f>Mon!P77</f>
        <v>BM</v>
      </c>
      <c r="Q77" s="174" t="str">
        <f>Mon!Q77</f>
        <v>(DRP)</v>
      </c>
      <c r="R77" s="170" t="str">
        <f>Mon!R77</f>
        <v>BM</v>
      </c>
      <c r="S77" s="169" t="str">
        <f>Mon!S77</f>
        <v>(SE)</v>
      </c>
      <c r="T77" s="170" t="str">
        <f>Mon!T77</f>
        <v>BM</v>
      </c>
      <c r="U77" s="169" t="str">
        <f>Mon!U77</f>
        <v>(AG)</v>
      </c>
      <c r="V77" s="170" t="str">
        <f>Mon!V77</f>
        <v>BM</v>
      </c>
      <c r="W77" s="169" t="str">
        <f>Mon!W77</f>
        <v>(DRP)</v>
      </c>
      <c r="X77" s="170" t="str">
        <f>Mon!X77</f>
        <v>BM</v>
      </c>
      <c r="Y77" s="8" t="str">
        <f>Mon!Y77</f>
        <v>(DRP)</v>
      </c>
      <c r="Z77" s="170" t="str">
        <f>Mon!Z77</f>
        <v>BM</v>
      </c>
      <c r="AA77" s="8" t="str">
        <f>Mon!AA77</f>
        <v>(AG)</v>
      </c>
      <c r="AB77" s="170" t="str">
        <f>Mon!AB77</f>
        <v>BM</v>
      </c>
      <c r="AC77" s="315" t="s">
        <v>153</v>
      </c>
      <c r="AD77" s="315" t="s">
        <v>158</v>
      </c>
    </row>
    <row r="78" spans="1:30" x14ac:dyDescent="0.35">
      <c r="A78" s="169" t="str">
        <f>Mon!A78</f>
        <v>(MK)</v>
      </c>
      <c r="B78" s="170" t="str">
        <f>Mon!B78</f>
        <v>FA</v>
      </c>
      <c r="C78" s="169" t="str">
        <f>Mon!C78</f>
        <v>(VIN)</v>
      </c>
      <c r="D78" s="170" t="str">
        <f>Mon!D78</f>
        <v>FA</v>
      </c>
      <c r="E78" s="169" t="str">
        <f>Mon!E78</f>
        <v>(MK)</v>
      </c>
      <c r="F78" s="170" t="str">
        <f>Mon!F78</f>
        <v>FA</v>
      </c>
      <c r="G78" s="169" t="str">
        <f>Mon!G78</f>
        <v>Y</v>
      </c>
      <c r="H78" s="170" t="str">
        <f>Mon!H78</f>
        <v>FA</v>
      </c>
      <c r="I78" s="169" t="str">
        <f>Mon!I78</f>
        <v>x</v>
      </c>
      <c r="J78" s="170" t="str">
        <f>Mon!J78</f>
        <v>FA</v>
      </c>
      <c r="K78" s="169" t="str">
        <f>Mon!K78</f>
        <v>X</v>
      </c>
      <c r="L78" s="170" t="str">
        <f>Mon!L78</f>
        <v>FA</v>
      </c>
      <c r="M78" s="169" t="str">
        <f>Mon!M78</f>
        <v>(VIN)</v>
      </c>
      <c r="N78" s="170" t="str">
        <f>Mon!N78</f>
        <v>FA</v>
      </c>
      <c r="O78" s="169" t="str">
        <f>Mon!O78</f>
        <v>(MK)</v>
      </c>
      <c r="P78" s="170" t="str">
        <f>Mon!P78</f>
        <v>FA</v>
      </c>
      <c r="Q78" s="169" t="str">
        <f>Mon!Q78</f>
        <v>(VIN)</v>
      </c>
      <c r="R78" s="170" t="str">
        <f>Mon!R78</f>
        <v>FA</v>
      </c>
      <c r="S78" s="169" t="str">
        <f>Mon!S78</f>
        <v>(VA)</v>
      </c>
      <c r="T78" s="170" t="str">
        <f>Mon!T78</f>
        <v>FA</v>
      </c>
      <c r="U78" s="169" t="s">
        <v>115</v>
      </c>
      <c r="V78" s="170" t="str">
        <f>Mon!V78</f>
        <v>FA</v>
      </c>
      <c r="W78" s="169" t="str">
        <f>Mon!W78</f>
        <v>(VIN)</v>
      </c>
      <c r="X78" s="170" t="str">
        <f>Mon!X78</f>
        <v>FA</v>
      </c>
      <c r="Y78" s="165" t="str">
        <f>Mon!Y78</f>
        <v>(VIN)</v>
      </c>
      <c r="Z78" s="170" t="str">
        <f>Mon!Z78</f>
        <v>FA</v>
      </c>
      <c r="AA78" s="165" t="str">
        <f>Mon!AA78</f>
        <v>(MK)</v>
      </c>
      <c r="AB78" s="170" t="str">
        <f>Mon!AB78</f>
        <v>FA</v>
      </c>
      <c r="AC78" s="315" t="s">
        <v>127</v>
      </c>
      <c r="AD78" s="315" t="s">
        <v>156</v>
      </c>
    </row>
    <row r="79" spans="1:30" x14ac:dyDescent="0.35">
      <c r="A79" s="169" t="str">
        <f>Mon!A79</f>
        <v>(VRL)</v>
      </c>
      <c r="B79" s="170" t="str">
        <f>Mon!B79</f>
        <v>QT</v>
      </c>
      <c r="C79" s="169" t="str">
        <f>Mon!C79</f>
        <v>(BB)</v>
      </c>
      <c r="D79" s="170" t="str">
        <f>Mon!D79</f>
        <v>QT</v>
      </c>
      <c r="E79" s="169" t="str">
        <f>Mon!E79</f>
        <v>(BB)</v>
      </c>
      <c r="F79" s="170" t="str">
        <f>Mon!F79</f>
        <v>QT</v>
      </c>
      <c r="G79" s="169" t="str">
        <f>Mon!G79</f>
        <v>(VRL)</v>
      </c>
      <c r="H79" s="170" t="str">
        <f>Mon!H79</f>
        <v>QT</v>
      </c>
      <c r="I79" s="169" t="str">
        <f>Mon!I79</f>
        <v>(PM)</v>
      </c>
      <c r="J79" s="170" t="str">
        <f>Mon!J79</f>
        <v>QT</v>
      </c>
      <c r="K79" s="169" t="str">
        <f>Mon!K79</f>
        <v>(PM)</v>
      </c>
      <c r="L79" s="170" t="str">
        <f>Mon!L79</f>
        <v>QT</v>
      </c>
      <c r="M79" s="169" t="str">
        <f>Mon!M79</f>
        <v>(BB)</v>
      </c>
      <c r="N79" s="170" t="str">
        <f>Mon!N79</f>
        <v>QT</v>
      </c>
      <c r="O79" s="169" t="str">
        <f>Mon!O79</f>
        <v>(VRL)</v>
      </c>
      <c r="P79" s="170" t="str">
        <f>Mon!P79</f>
        <v>QT</v>
      </c>
      <c r="Q79" s="169" t="str">
        <f>Mon!Q79</f>
        <v>(PM)</v>
      </c>
      <c r="R79" s="170" t="str">
        <f>Mon!R79</f>
        <v>QT</v>
      </c>
      <c r="S79" s="169" t="str">
        <f>Mon!S79</f>
        <v>(BD)</v>
      </c>
      <c r="T79" s="170" t="str">
        <f>Mon!T79</f>
        <v>QT</v>
      </c>
      <c r="U79" s="169" t="str">
        <f>Mon!U79</f>
        <v>(BD)</v>
      </c>
      <c r="V79" s="170" t="str">
        <f>Mon!V79</f>
        <v>QT</v>
      </c>
      <c r="W79" s="169" t="str">
        <f>Mon!W79</f>
        <v>(VRL)</v>
      </c>
      <c r="X79" s="170" t="str">
        <f>Mon!X79</f>
        <v>QT</v>
      </c>
      <c r="Y79" s="165" t="s">
        <v>151</v>
      </c>
      <c r="Z79" s="170" t="str">
        <f>Mon!Z79</f>
        <v>QT</v>
      </c>
      <c r="AA79" s="165" t="str">
        <f>Mon!AA79</f>
        <v>X</v>
      </c>
      <c r="AB79" s="170" t="str">
        <f>Mon!AB79</f>
        <v>QT</v>
      </c>
      <c r="AC79" s="315" t="s">
        <v>144</v>
      </c>
      <c r="AD79" s="315"/>
    </row>
    <row r="80" spans="1:30" x14ac:dyDescent="0.35">
      <c r="A80" s="169"/>
      <c r="B80" s="170"/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0"/>
      <c r="O80" s="169"/>
      <c r="P80" s="170"/>
      <c r="Q80" s="169"/>
      <c r="R80" s="170"/>
      <c r="S80" s="169"/>
      <c r="T80" s="170"/>
      <c r="U80" s="169"/>
      <c r="V80" s="170"/>
      <c r="W80" s="169"/>
      <c r="X80" s="170"/>
      <c r="Y80" s="165"/>
      <c r="Z80" s="170"/>
      <c r="AA80" s="165"/>
      <c r="AB80" s="170"/>
      <c r="AC80" s="315" t="s">
        <v>85</v>
      </c>
      <c r="AD80" s="315"/>
    </row>
    <row r="81" spans="1:30" x14ac:dyDescent="0.35">
      <c r="A81" s="169"/>
      <c r="B81" s="170"/>
      <c r="C81" s="169"/>
      <c r="D81" s="170"/>
      <c r="E81" s="169"/>
      <c r="F81" s="170"/>
      <c r="G81" s="169"/>
      <c r="H81" s="170"/>
      <c r="I81" s="169"/>
      <c r="J81" s="170"/>
      <c r="K81" s="169"/>
      <c r="L81" s="170"/>
      <c r="M81" s="169"/>
      <c r="N81" s="170"/>
      <c r="O81" s="169"/>
      <c r="P81" s="170"/>
      <c r="Q81" s="169"/>
      <c r="R81" s="170"/>
      <c r="S81" s="169"/>
      <c r="T81" s="170"/>
      <c r="U81" s="169"/>
      <c r="V81" s="170"/>
      <c r="W81" s="169"/>
      <c r="X81" s="170"/>
      <c r="Y81" s="165"/>
      <c r="Z81" s="170"/>
      <c r="AA81" s="165"/>
      <c r="AB81" s="170"/>
      <c r="AC81" s="315"/>
      <c r="AD81" s="315"/>
    </row>
    <row r="82" spans="1:30" x14ac:dyDescent="0.35">
      <c r="A82" s="169"/>
      <c r="B82" s="170"/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0"/>
      <c r="O82" s="169"/>
      <c r="P82" s="170"/>
      <c r="Q82" s="169"/>
      <c r="R82" s="170"/>
      <c r="S82" s="169"/>
      <c r="T82" s="170"/>
      <c r="U82" s="169"/>
      <c r="V82" s="170"/>
      <c r="W82" s="169"/>
      <c r="X82" s="170"/>
      <c r="Y82" s="165"/>
      <c r="Z82" s="170"/>
      <c r="AA82" s="165"/>
      <c r="AB82" s="170"/>
      <c r="AC82" s="315"/>
      <c r="AD82" s="315"/>
    </row>
    <row r="83" spans="1:30" x14ac:dyDescent="0.35">
      <c r="A83" s="30"/>
      <c r="B83" s="31"/>
      <c r="C83" s="30"/>
      <c r="D83" s="31"/>
      <c r="E83" s="30"/>
      <c r="F83" s="31"/>
      <c r="G83" s="30"/>
      <c r="H83" s="31"/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0"/>
      <c r="V83" s="31"/>
      <c r="W83" s="30"/>
      <c r="X83" s="31"/>
      <c r="Y83" s="30"/>
      <c r="Z83" s="31"/>
      <c r="AA83" s="30"/>
      <c r="AB83" s="31"/>
      <c r="AC83" s="315"/>
      <c r="AD83" s="315"/>
    </row>
    <row r="85" spans="1:30" x14ac:dyDescent="0.35">
      <c r="A85" s="376" t="s">
        <v>3</v>
      </c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8"/>
      <c r="AC85" s="359" t="s">
        <v>184</v>
      </c>
      <c r="AD85" s="360"/>
    </row>
    <row r="86" spans="1:30" x14ac:dyDescent="0.35">
      <c r="A86" s="341" t="s">
        <v>161</v>
      </c>
      <c r="B86" s="342"/>
      <c r="C86" s="341" t="s">
        <v>162</v>
      </c>
      <c r="D86" s="342"/>
      <c r="E86" s="341" t="s">
        <v>163</v>
      </c>
      <c r="F86" s="342"/>
      <c r="G86" s="341" t="s">
        <v>164</v>
      </c>
      <c r="H86" s="342"/>
      <c r="I86" s="341" t="s">
        <v>165</v>
      </c>
      <c r="J86" s="342"/>
      <c r="K86" s="341" t="s">
        <v>166</v>
      </c>
      <c r="L86" s="342"/>
      <c r="M86" s="341" t="s">
        <v>167</v>
      </c>
      <c r="N86" s="342"/>
      <c r="O86" s="341" t="s">
        <v>168</v>
      </c>
      <c r="P86" s="342"/>
      <c r="Q86" s="341" t="s">
        <v>169</v>
      </c>
      <c r="R86" s="342"/>
      <c r="S86" s="341" t="s">
        <v>170</v>
      </c>
      <c r="T86" s="342"/>
      <c r="U86" s="341" t="s">
        <v>171</v>
      </c>
      <c r="V86" s="342"/>
      <c r="W86" s="341" t="s">
        <v>172</v>
      </c>
      <c r="X86" s="342"/>
      <c r="Y86" s="341" t="s">
        <v>173</v>
      </c>
      <c r="Z86" s="342"/>
      <c r="AA86" s="341" t="s">
        <v>174</v>
      </c>
      <c r="AB86" s="342"/>
      <c r="AC86" s="321" t="s">
        <v>113</v>
      </c>
      <c r="AD86" s="319"/>
    </row>
    <row r="87" spans="1:30" x14ac:dyDescent="0.35">
      <c r="A87" s="166" t="s">
        <v>175</v>
      </c>
      <c r="B87" s="167" t="s">
        <v>176</v>
      </c>
      <c r="C87" s="166" t="s">
        <v>175</v>
      </c>
      <c r="D87" s="167" t="s">
        <v>176</v>
      </c>
      <c r="E87" s="166" t="s">
        <v>175</v>
      </c>
      <c r="F87" s="167" t="s">
        <v>176</v>
      </c>
      <c r="G87" s="166" t="s">
        <v>175</v>
      </c>
      <c r="H87" s="167" t="s">
        <v>176</v>
      </c>
      <c r="I87" s="166" t="s">
        <v>175</v>
      </c>
      <c r="J87" s="167" t="s">
        <v>176</v>
      </c>
      <c r="K87" s="166" t="s">
        <v>175</v>
      </c>
      <c r="L87" s="167" t="s">
        <v>176</v>
      </c>
      <c r="M87" s="166" t="s">
        <v>175</v>
      </c>
      <c r="N87" s="167" t="s">
        <v>176</v>
      </c>
      <c r="O87" s="166" t="s">
        <v>175</v>
      </c>
      <c r="P87" s="167" t="s">
        <v>176</v>
      </c>
      <c r="Q87" s="166" t="s">
        <v>175</v>
      </c>
      <c r="R87" s="167" t="s">
        <v>176</v>
      </c>
      <c r="S87" s="166" t="s">
        <v>175</v>
      </c>
      <c r="T87" s="167" t="s">
        <v>176</v>
      </c>
      <c r="U87" s="166" t="s">
        <v>175</v>
      </c>
      <c r="V87" s="167" t="s">
        <v>176</v>
      </c>
      <c r="W87" s="166" t="s">
        <v>175</v>
      </c>
      <c r="X87" s="167" t="s">
        <v>176</v>
      </c>
      <c r="Y87" s="166" t="s">
        <v>175</v>
      </c>
      <c r="Z87" s="167" t="s">
        <v>176</v>
      </c>
      <c r="AA87" s="166" t="s">
        <v>175</v>
      </c>
      <c r="AB87" s="167" t="s">
        <v>176</v>
      </c>
      <c r="AC87" s="322" t="s">
        <v>98</v>
      </c>
      <c r="AD87" s="315" t="s">
        <v>129</v>
      </c>
    </row>
    <row r="88" spans="1:30" x14ac:dyDescent="0.35">
      <c r="A88" s="169" t="str">
        <f>Mon!A88</f>
        <v>(KM)</v>
      </c>
      <c r="B88" s="170" t="str">
        <f>Mon!B88</f>
        <v>MM</v>
      </c>
      <c r="C88" s="169" t="str">
        <f>Mon!C88</f>
        <v>(SRS)</v>
      </c>
      <c r="D88" s="170" t="str">
        <f>Mon!D88</f>
        <v>MM</v>
      </c>
      <c r="E88" s="169" t="str">
        <f>Mon!E88</f>
        <v>(SB)</v>
      </c>
      <c r="F88" s="170" t="str">
        <f>Mon!F88</f>
        <v>MM</v>
      </c>
      <c r="G88" s="169" t="str">
        <f>Mon!G88</f>
        <v>(SAK)</v>
      </c>
      <c r="H88" s="170" t="str">
        <f>Mon!H88</f>
        <v>MM</v>
      </c>
      <c r="I88" s="174" t="str">
        <f>Mon!I88</f>
        <v>(LV)</v>
      </c>
      <c r="J88" s="170" t="str">
        <f>Mon!J88</f>
        <v>MM</v>
      </c>
      <c r="K88" s="169" t="str">
        <f>Mon!K88</f>
        <v>(SB)</v>
      </c>
      <c r="L88" s="170" t="str">
        <f>Mon!L88</f>
        <v>MM</v>
      </c>
      <c r="M88" s="169" t="str">
        <f>Mon!M88</f>
        <v>(VAR)</v>
      </c>
      <c r="N88" s="170" t="str">
        <f>Mon!N88</f>
        <v>MM</v>
      </c>
      <c r="O88" s="169" t="str">
        <f>Mon!O88</f>
        <v>(SRS)</v>
      </c>
      <c r="P88" s="170" t="str">
        <f>Mon!P88</f>
        <v>MM</v>
      </c>
      <c r="Q88" s="174" t="str">
        <f>Mon!Q88</f>
        <v>(SAK)</v>
      </c>
      <c r="R88" s="170" t="str">
        <f>Mon!R88</f>
        <v>MM</v>
      </c>
      <c r="S88" s="169" t="str">
        <f>Mon!S88</f>
        <v>(SRS)</v>
      </c>
      <c r="T88" s="170" t="str">
        <f>Mon!T88</f>
        <v>MM</v>
      </c>
      <c r="U88" s="169" t="str">
        <f>Mon!U88</f>
        <v>(SAK)</v>
      </c>
      <c r="V88" s="170" t="str">
        <f>Mon!V88</f>
        <v>MM</v>
      </c>
      <c r="W88" s="169" t="str">
        <f>Mon!W88</f>
        <v>(SRS)</v>
      </c>
      <c r="X88" s="170" t="str">
        <f>Mon!X88</f>
        <v>MM</v>
      </c>
      <c r="Y88" s="169" t="str">
        <f>Mon!Y88</f>
        <v>(SB)</v>
      </c>
      <c r="Z88" s="170" t="str">
        <f>Mon!Z88</f>
        <v>MM</v>
      </c>
      <c r="AA88" s="169" t="str">
        <f>Mon!AA88</f>
        <v>(KM)</v>
      </c>
      <c r="AB88" s="170" t="str">
        <f>Mon!AB88</f>
        <v>MM</v>
      </c>
      <c r="AC88" s="322" t="s">
        <v>131</v>
      </c>
      <c r="AD88" s="315" t="s">
        <v>130</v>
      </c>
    </row>
    <row r="89" spans="1:30" x14ac:dyDescent="0.35">
      <c r="A89" s="169" t="str">
        <f>Mon!A89</f>
        <v>(RT)</v>
      </c>
      <c r="B89" s="170" t="str">
        <f>Mon!B89</f>
        <v>HR</v>
      </c>
      <c r="C89" s="169" t="str">
        <f>Mon!C89</f>
        <v>(BD)</v>
      </c>
      <c r="D89" s="170" t="str">
        <f>Mon!D89</f>
        <v>HR</v>
      </c>
      <c r="E89" s="174" t="str">
        <f>Mon!E89</f>
        <v>(AS)</v>
      </c>
      <c r="F89" s="170" t="str">
        <f>Mon!F89</f>
        <v>HR</v>
      </c>
      <c r="G89" s="169" t="str">
        <f>Mon!G89</f>
        <v>(SUH)</v>
      </c>
      <c r="H89" s="170" t="str">
        <f>Mon!H89</f>
        <v>HR</v>
      </c>
      <c r="I89" s="169" t="str">
        <f>Mon!I89</f>
        <v>(SUH)</v>
      </c>
      <c r="J89" s="170" t="str">
        <f>Mon!J89</f>
        <v>HR</v>
      </c>
      <c r="K89" s="169" t="str">
        <f>Mon!K89</f>
        <v>(BD)</v>
      </c>
      <c r="L89" s="170" t="str">
        <f>Mon!L89</f>
        <v>HR</v>
      </c>
      <c r="M89" s="174" t="str">
        <f>Mon!M89</f>
        <v>(AS)</v>
      </c>
      <c r="N89" s="170" t="str">
        <f>Mon!N89</f>
        <v>HR</v>
      </c>
      <c r="O89" s="174" t="str">
        <f>Mon!O89</f>
        <v>(RT)</v>
      </c>
      <c r="P89" s="170" t="str">
        <f>Mon!P89</f>
        <v>HR</v>
      </c>
      <c r="Q89" s="169" t="str">
        <f>Mon!Q89</f>
        <v>(SUH)</v>
      </c>
      <c r="R89" s="170" t="str">
        <f>Mon!R89</f>
        <v>HR</v>
      </c>
      <c r="S89" s="169" t="str">
        <f>Mon!S89</f>
        <v>(AS)</v>
      </c>
      <c r="T89" s="170" t="str">
        <f>Mon!T89</f>
        <v>HR</v>
      </c>
      <c r="U89" s="169" t="str">
        <f>Mon!U89</f>
        <v>(AS)</v>
      </c>
      <c r="V89" s="170" t="str">
        <f>Mon!V89</f>
        <v>HR</v>
      </c>
      <c r="W89" s="169" t="str">
        <f>Mon!W89</f>
        <v>(AS)</v>
      </c>
      <c r="X89" s="170" t="str">
        <f>Mon!X89</f>
        <v>HR</v>
      </c>
      <c r="Y89" s="169" t="str">
        <f>Mon!Y89</f>
        <v>(RT)</v>
      </c>
      <c r="Z89" s="170" t="str">
        <f>Mon!Z89</f>
        <v>HR</v>
      </c>
      <c r="AA89" s="169" t="str">
        <f>Mon!AA89</f>
        <v>(BD)</v>
      </c>
      <c r="AB89" s="170" t="str">
        <f>Mon!AB89</f>
        <v>HR</v>
      </c>
      <c r="AC89" s="322" t="s">
        <v>94</v>
      </c>
      <c r="AD89" s="315" t="s">
        <v>135</v>
      </c>
    </row>
    <row r="90" spans="1:30" x14ac:dyDescent="0.35">
      <c r="A90" s="169" t="str">
        <f>Mon!A90</f>
        <v>(YL)</v>
      </c>
      <c r="B90" s="170" t="str">
        <f>Mon!B90</f>
        <v>ED</v>
      </c>
      <c r="C90" s="174" t="str">
        <f>Mon!C90</f>
        <v>(LV)</v>
      </c>
      <c r="D90" s="170" t="str">
        <f>Mon!D90</f>
        <v>ED</v>
      </c>
      <c r="E90" s="169" t="str">
        <f>Mon!E90</f>
        <v>(MS)</v>
      </c>
      <c r="F90" s="170" t="str">
        <f>Mon!F90</f>
        <v>ED</v>
      </c>
      <c r="G90" s="174" t="str">
        <f>Mon!G90</f>
        <v>(RR)</v>
      </c>
      <c r="H90" s="170" t="str">
        <f>Mon!H90</f>
        <v>ED</v>
      </c>
      <c r="I90" s="169" t="str">
        <f>Mon!I90</f>
        <v>(EC)</v>
      </c>
      <c r="J90" s="170" t="str">
        <f>Mon!J90</f>
        <v>ED</v>
      </c>
      <c r="K90" s="169" t="str">
        <f>Mon!K90</f>
        <v>(YL)</v>
      </c>
      <c r="L90" s="170" t="str">
        <f>Mon!L90</f>
        <v>ED</v>
      </c>
      <c r="M90" s="174" t="str">
        <f>Mon!M90</f>
        <v>(RR)</v>
      </c>
      <c r="N90" s="170" t="str">
        <f>Mon!N90</f>
        <v>ED</v>
      </c>
      <c r="O90" s="169" t="str">
        <f>Mon!O90</f>
        <v>(LV)</v>
      </c>
      <c r="P90" s="170" t="str">
        <f>Mon!P90</f>
        <v>ED</v>
      </c>
      <c r="Q90" s="174" t="str">
        <f>Mon!Q90</f>
        <v>(MS)</v>
      </c>
      <c r="R90" s="170" t="str">
        <f>Mon!R90</f>
        <v>ED</v>
      </c>
      <c r="S90" s="174" t="str">
        <f>Mon!S90</f>
        <v>(LV)</v>
      </c>
      <c r="T90" s="170" t="str">
        <f>Mon!T90</f>
        <v>ED</v>
      </c>
      <c r="U90" s="169" t="str">
        <f>Mon!U90</f>
        <v>(RR)</v>
      </c>
      <c r="V90" s="170" t="str">
        <f>Mon!V90</f>
        <v>ED</v>
      </c>
      <c r="W90" s="174" t="str">
        <f>Mon!W90</f>
        <v>(LV)</v>
      </c>
      <c r="X90" s="170" t="str">
        <f>Mon!X90</f>
        <v>ED</v>
      </c>
      <c r="Y90" s="174" t="str">
        <f>Mon!Y90</f>
        <v>(LV)</v>
      </c>
      <c r="Z90" s="170" t="str">
        <f>Mon!Z90</f>
        <v>ED</v>
      </c>
      <c r="AA90" s="174" t="str">
        <f>Mon!AA90</f>
        <v>(YL)</v>
      </c>
      <c r="AB90" s="170" t="str">
        <f>Mon!AB90</f>
        <v>ED</v>
      </c>
      <c r="AC90" s="322" t="s">
        <v>100</v>
      </c>
      <c r="AD90" s="315" t="s">
        <v>188</v>
      </c>
    </row>
    <row r="91" spans="1:30" x14ac:dyDescent="0.35">
      <c r="A91" s="169" t="str">
        <f>Mon!A91</f>
        <v>(RG)</v>
      </c>
      <c r="B91" s="170" t="str">
        <f>Mon!B91</f>
        <v>CA</v>
      </c>
      <c r="C91" s="169" t="str">
        <f>Mon!C91</f>
        <v>(TK)</v>
      </c>
      <c r="D91" s="170" t="str">
        <f>Mon!D91</f>
        <v>CA</v>
      </c>
      <c r="E91" s="169" t="str">
        <f>Mon!E91</f>
        <v>(VA)</v>
      </c>
      <c r="F91" s="170" t="str">
        <f>Mon!F91</f>
        <v>CA</v>
      </c>
      <c r="G91" s="169" t="str">
        <f>Mon!G91</f>
        <v>(MEG)</v>
      </c>
      <c r="H91" s="170" t="str">
        <f>Mon!H91</f>
        <v>CA</v>
      </c>
      <c r="I91" s="169" t="str">
        <f>Mon!I91</f>
        <v>(SW)</v>
      </c>
      <c r="J91" s="170" t="str">
        <f>Mon!J91</f>
        <v>CA</v>
      </c>
      <c r="K91" s="169" t="str">
        <f>Mon!K91</f>
        <v>(VA)</v>
      </c>
      <c r="L91" s="170" t="str">
        <f>Mon!L91</f>
        <v>CA</v>
      </c>
      <c r="M91" s="169" t="str">
        <f>Mon!M91</f>
        <v>(KR)</v>
      </c>
      <c r="N91" s="170" t="str">
        <f>Mon!N91</f>
        <v>CA</v>
      </c>
      <c r="O91" s="169" t="str">
        <f>Mon!O91</f>
        <v>(SW)</v>
      </c>
      <c r="P91" s="170" t="str">
        <f>Mon!P91</f>
        <v>CA</v>
      </c>
      <c r="Q91" s="169" t="str">
        <f>Mon!Q91</f>
        <v>(VA)</v>
      </c>
      <c r="R91" s="170" t="str">
        <f>Mon!R91</f>
        <v>CA</v>
      </c>
      <c r="S91" s="169" t="str">
        <f>Mon!S91</f>
        <v>(SW)</v>
      </c>
      <c r="T91" s="170" t="str">
        <f>Mon!T91</f>
        <v>CA</v>
      </c>
      <c r="U91" s="169" t="str">
        <f>Mon!U91</f>
        <v>(TK)</v>
      </c>
      <c r="V91" s="170" t="str">
        <f>Mon!V91</f>
        <v>CA</v>
      </c>
      <c r="W91" s="169" t="str">
        <f>Mon!W91</f>
        <v>(MEG)</v>
      </c>
      <c r="X91" s="170" t="str">
        <f>Mon!X91</f>
        <v>CA</v>
      </c>
      <c r="Y91" s="169" t="str">
        <f>Mon!Y91</f>
        <v>(SW)</v>
      </c>
      <c r="Z91" s="170" t="str">
        <f>Mon!Z91</f>
        <v>CA</v>
      </c>
      <c r="AA91" s="169" t="str">
        <f>Mon!AA91</f>
        <v>(TK)</v>
      </c>
      <c r="AB91" s="170" t="str">
        <f>Mon!AB91</f>
        <v>CA</v>
      </c>
      <c r="AC91" s="322" t="s">
        <v>89</v>
      </c>
      <c r="AD91" s="315" t="s">
        <v>190</v>
      </c>
    </row>
    <row r="92" spans="1:30" x14ac:dyDescent="0.35">
      <c r="A92" s="169" t="str">
        <f>Mon!A92</f>
        <v>(SUH)</v>
      </c>
      <c r="B92" s="170" t="str">
        <f>Mon!B92</f>
        <v>EVS</v>
      </c>
      <c r="C92" s="174" t="str">
        <f>Mon!C92</f>
        <v>(MB)</v>
      </c>
      <c r="D92" s="170" t="str">
        <f>Mon!D92</f>
        <v>EVS</v>
      </c>
      <c r="E92" s="169" t="str">
        <f>Mon!E92</f>
        <v>(AG)</v>
      </c>
      <c r="F92" s="170" t="str">
        <f>Mon!F92</f>
        <v>EVS</v>
      </c>
      <c r="G92" s="174" t="str">
        <f>Mon!G92</f>
        <v>(MH)</v>
      </c>
      <c r="H92" s="170" t="str">
        <f>Mon!H92</f>
        <v>EVS</v>
      </c>
      <c r="I92" s="174" t="str">
        <f>Mon!I92</f>
        <v>(RR)</v>
      </c>
      <c r="J92" s="170" t="str">
        <f>Mon!J92</f>
        <v>EVS</v>
      </c>
      <c r="K92" s="169" t="str">
        <f>Mon!K92</f>
        <v>(RR)</v>
      </c>
      <c r="L92" s="170" t="str">
        <f>Mon!L92</f>
        <v>EVS</v>
      </c>
      <c r="M92" s="169" t="str">
        <f>Mon!M92</f>
        <v>(MB)</v>
      </c>
      <c r="N92" s="170" t="str">
        <f>Mon!N92</f>
        <v>EVS</v>
      </c>
      <c r="O92" s="169" t="str">
        <f>Mon!O92</f>
        <v>(NEW)</v>
      </c>
      <c r="P92" s="170" t="str">
        <f>Mon!P92</f>
        <v>EVS</v>
      </c>
      <c r="Q92" s="174" t="str">
        <f>Mon!Q92</f>
        <v>(NEW)</v>
      </c>
      <c r="R92" s="170" t="str">
        <f>Mon!R92</f>
        <v>EVS</v>
      </c>
      <c r="S92" s="169" t="str">
        <f>Mon!S92</f>
        <v>(AG)</v>
      </c>
      <c r="T92" s="170" t="str">
        <f>Mon!T92</f>
        <v>EVS</v>
      </c>
      <c r="U92" s="174" t="str">
        <f>Mon!U92</f>
        <v>(New)</v>
      </c>
      <c r="V92" s="170" t="str">
        <f>Mon!V92</f>
        <v>EVS</v>
      </c>
      <c r="W92" s="169" t="str">
        <f>Mon!W92</f>
        <v>(RR)</v>
      </c>
      <c r="X92" s="170" t="str">
        <f>Mon!X92</f>
        <v>EVS</v>
      </c>
      <c r="Y92" s="169" t="str">
        <f>Mon!Y92</f>
        <v>(AG)</v>
      </c>
      <c r="Z92" s="170" t="str">
        <f>Mon!Z92</f>
        <v>EVS</v>
      </c>
      <c r="AA92" s="169" t="str">
        <f>Mon!AA92</f>
        <v>(MB)</v>
      </c>
      <c r="AB92" s="170" t="str">
        <f>Mon!AB92</f>
        <v>EVS</v>
      </c>
      <c r="AC92" s="322" t="s">
        <v>192</v>
      </c>
      <c r="AD92" s="315" t="s">
        <v>132</v>
      </c>
    </row>
    <row r="93" spans="1:30" x14ac:dyDescent="0.35">
      <c r="A93" s="169" t="str">
        <f>Mon!A93</f>
        <v>(AV)</v>
      </c>
      <c r="B93" s="170" t="str">
        <f>Mon!B93</f>
        <v>CM</v>
      </c>
      <c r="C93" s="169" t="str">
        <f>Mon!C93</f>
        <v>(SAK)</v>
      </c>
      <c r="D93" s="170" t="str">
        <f>Mon!D93</f>
        <v>CM</v>
      </c>
      <c r="E93" s="169" t="str">
        <f>Mon!E93</f>
        <v>(SUH)</v>
      </c>
      <c r="F93" s="170" t="str">
        <f>Mon!F93</f>
        <v>CM</v>
      </c>
      <c r="G93" s="169" t="str">
        <f>Mon!G93</f>
        <v>(SW)</v>
      </c>
      <c r="H93" s="170" t="str">
        <f>Mon!H93</f>
        <v>CM</v>
      </c>
      <c r="I93" s="169" t="str">
        <f>Mon!I93</f>
        <v>(SAK)</v>
      </c>
      <c r="J93" s="170" t="str">
        <f>Mon!J93</f>
        <v>CM</v>
      </c>
      <c r="K93" s="169" t="str">
        <f>Mon!K93</f>
        <v>(SAK)</v>
      </c>
      <c r="L93" s="170" t="str">
        <f>Mon!L93</f>
        <v>CM</v>
      </c>
      <c r="M93" s="169" t="str">
        <f>Mon!M93</f>
        <v>(SP)</v>
      </c>
      <c r="N93" s="170" t="str">
        <f>Mon!N93</f>
        <v>CP</v>
      </c>
      <c r="O93" s="169" t="str">
        <f>Mon!O93</f>
        <v>(MB)</v>
      </c>
      <c r="P93" s="170" t="str">
        <f>Mon!P93</f>
        <v>CP</v>
      </c>
      <c r="Q93" s="169" t="str">
        <f>Mon!Q93</f>
        <v>(SP)</v>
      </c>
      <c r="R93" s="170" t="str">
        <f>Mon!R93</f>
        <v>CP</v>
      </c>
      <c r="S93" s="181" t="str">
        <f>Mon!S93</f>
        <v>(MB)</v>
      </c>
      <c r="T93" s="170" t="str">
        <f>Mon!T93</f>
        <v>CP</v>
      </c>
      <c r="U93" s="169" t="str">
        <f>Mon!U93</f>
        <v>(AV)</v>
      </c>
      <c r="V93" s="170" t="str">
        <f>Mon!V93</f>
        <v>CM</v>
      </c>
      <c r="W93" s="169" t="s">
        <v>105</v>
      </c>
      <c r="X93" s="170" t="str">
        <f>Mon!X93</f>
        <v>CP</v>
      </c>
      <c r="Y93" s="169" t="str">
        <f>Mon!Y93</f>
        <v>(SUH)</v>
      </c>
      <c r="Z93" s="170" t="str">
        <f>Mon!Z93</f>
        <v>CM</v>
      </c>
      <c r="AA93" s="169" t="str">
        <f>Mon!AA93</f>
        <v>(SP)</v>
      </c>
      <c r="AB93" s="170" t="str">
        <f>Mon!AB93</f>
        <v>CP</v>
      </c>
      <c r="AC93" s="322" t="s">
        <v>195</v>
      </c>
      <c r="AD93" s="315" t="s">
        <v>134</v>
      </c>
    </row>
    <row r="94" spans="1:30" x14ac:dyDescent="0.35">
      <c r="A94" s="169" t="str">
        <f>Mon!A94</f>
        <v>(ND)</v>
      </c>
      <c r="B94" s="170" t="str">
        <f>Mon!B94</f>
        <v>OP</v>
      </c>
      <c r="C94" s="169" t="str">
        <f>Mon!C94</f>
        <v>(SB)</v>
      </c>
      <c r="D94" s="170" t="str">
        <f>Mon!D94</f>
        <v>OP</v>
      </c>
      <c r="E94" s="169" t="str">
        <f>Mon!E94</f>
        <v>(ND)</v>
      </c>
      <c r="F94" s="170" t="str">
        <f>Mon!F94</f>
        <v>OP</v>
      </c>
      <c r="G94" s="169" t="str">
        <f>Mon!G94</f>
        <v>NEW</v>
      </c>
      <c r="H94" s="170" t="str">
        <f>Mon!H94</f>
        <v>OP</v>
      </c>
      <c r="I94" s="169" t="str">
        <f>Mon!I94</f>
        <v>NEW</v>
      </c>
      <c r="J94" s="170" t="str">
        <f>Mon!J94</f>
        <v>OP</v>
      </c>
      <c r="K94" s="169" t="str">
        <f>Mon!K94</f>
        <v>(MH)</v>
      </c>
      <c r="L94" s="170" t="str">
        <f>Mon!L94</f>
        <v>SP</v>
      </c>
      <c r="M94" s="169" t="str">
        <f>Mon!M94</f>
        <v>(SB)</v>
      </c>
      <c r="N94" s="170" t="str">
        <f>Mon!N94</f>
        <v>OP</v>
      </c>
      <c r="O94" s="169" t="str">
        <f>Mon!O94</f>
        <v>(MH)</v>
      </c>
      <c r="P94" s="170" t="str">
        <f>Mon!P94</f>
        <v>SP</v>
      </c>
      <c r="Q94" s="169" t="str">
        <f>Mon!Q94</f>
        <v>(SB)</v>
      </c>
      <c r="R94" s="170" t="str">
        <f>Mon!R94</f>
        <v>OP</v>
      </c>
      <c r="S94" s="169" t="str">
        <f>Mon!S94</f>
        <v>(ND)</v>
      </c>
      <c r="T94" s="170" t="str">
        <f>Mon!T94</f>
        <v>OP</v>
      </c>
      <c r="U94" s="169" t="str">
        <f>Mon!U94</f>
        <v>(ND)</v>
      </c>
      <c r="V94" s="170" t="str">
        <f>Mon!V94</f>
        <v>OP</v>
      </c>
      <c r="W94" s="169" t="str">
        <f>Mon!W94</f>
        <v>(ND)</v>
      </c>
      <c r="X94" s="170" t="str">
        <f>Mon!X94</f>
        <v>OP</v>
      </c>
      <c r="Y94" s="174" t="str">
        <f>Mon!Y94</f>
        <v>(MH)</v>
      </c>
      <c r="Z94" s="175" t="str">
        <f>Mon!Z94</f>
        <v>SP</v>
      </c>
      <c r="AA94" s="174" t="str">
        <f>Mon!AA94</f>
        <v>(MH)</v>
      </c>
      <c r="AB94" s="175" t="str">
        <f>Mon!AB94</f>
        <v>SP</v>
      </c>
      <c r="AC94" s="322" t="s">
        <v>133</v>
      </c>
      <c r="AD94" s="315" t="s">
        <v>197</v>
      </c>
    </row>
    <row r="95" spans="1:30" x14ac:dyDescent="0.35">
      <c r="A95" s="30"/>
      <c r="B95" s="31"/>
      <c r="C95" s="30"/>
      <c r="D95" s="31"/>
      <c r="E95" s="30"/>
      <c r="F95" s="31"/>
      <c r="G95" s="30"/>
      <c r="H95" s="31"/>
      <c r="I95" s="30"/>
      <c r="J95" s="31"/>
      <c r="K95" s="30"/>
      <c r="L95" s="31"/>
      <c r="M95" s="169">
        <f>Mon!M95</f>
        <v>0</v>
      </c>
      <c r="N95" s="170">
        <f>Mon!N95</f>
        <v>0</v>
      </c>
      <c r="O95" s="30"/>
      <c r="P95" s="31"/>
      <c r="Q95" s="30"/>
      <c r="R95" s="31"/>
      <c r="S95" s="30"/>
      <c r="T95" s="31"/>
      <c r="U95" s="30"/>
      <c r="V95" s="31"/>
      <c r="W95" s="169">
        <f>Mon!W95</f>
        <v>0</v>
      </c>
      <c r="X95" s="170">
        <f>Mon!X95</f>
        <v>0</v>
      </c>
      <c r="Y95" s="30"/>
      <c r="Z95" s="31"/>
      <c r="AA95" s="30"/>
      <c r="AB95" s="31"/>
      <c r="AC95" s="322" t="s">
        <v>123</v>
      </c>
      <c r="AD95" s="315" t="s">
        <v>198</v>
      </c>
    </row>
    <row r="96" spans="1:30" x14ac:dyDescent="0.35">
      <c r="AC96" s="315" t="s">
        <v>147</v>
      </c>
      <c r="AD96" s="315"/>
    </row>
    <row r="97" spans="1:28" x14ac:dyDescent="0.35">
      <c r="A97" s="355" t="s">
        <v>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7"/>
      <c r="AA97" s="325" t="s">
        <v>199</v>
      </c>
      <c r="AB97" s="326"/>
    </row>
    <row r="98" spans="1:28" x14ac:dyDescent="0.35">
      <c r="A98" s="341" t="s">
        <v>161</v>
      </c>
      <c r="B98" s="342"/>
      <c r="C98" s="341" t="s">
        <v>162</v>
      </c>
      <c r="D98" s="342"/>
      <c r="E98" s="341" t="s">
        <v>163</v>
      </c>
      <c r="F98" s="342"/>
      <c r="G98" s="341" t="s">
        <v>164</v>
      </c>
      <c r="H98" s="342"/>
      <c r="I98" s="341" t="s">
        <v>165</v>
      </c>
      <c r="J98" s="342"/>
      <c r="K98" s="341" t="s">
        <v>166</v>
      </c>
      <c r="L98" s="342"/>
      <c r="M98" s="341" t="s">
        <v>167</v>
      </c>
      <c r="N98" s="342"/>
      <c r="O98" s="341" t="s">
        <v>168</v>
      </c>
      <c r="P98" s="342"/>
      <c r="Q98" s="341" t="s">
        <v>169</v>
      </c>
      <c r="R98" s="342"/>
      <c r="S98" s="341" t="s">
        <v>170</v>
      </c>
      <c r="T98" s="342"/>
      <c r="U98" s="341" t="s">
        <v>171</v>
      </c>
      <c r="V98" s="342"/>
      <c r="W98" s="341" t="s">
        <v>172</v>
      </c>
      <c r="X98" s="342"/>
      <c r="Y98" s="341" t="s">
        <v>200</v>
      </c>
      <c r="Z98" s="342"/>
      <c r="AA98" s="318" t="s">
        <v>175</v>
      </c>
      <c r="AB98" s="172" t="s">
        <v>176</v>
      </c>
    </row>
    <row r="99" spans="1:28" x14ac:dyDescent="0.35">
      <c r="A99" s="166" t="s">
        <v>175</v>
      </c>
      <c r="B99" s="167" t="s">
        <v>176</v>
      </c>
      <c r="C99" s="166" t="s">
        <v>175</v>
      </c>
      <c r="D99" s="167" t="s">
        <v>176</v>
      </c>
      <c r="E99" s="166" t="s">
        <v>175</v>
      </c>
      <c r="F99" s="167" t="s">
        <v>176</v>
      </c>
      <c r="G99" s="166" t="s">
        <v>175</v>
      </c>
      <c r="H99" s="167" t="s">
        <v>176</v>
      </c>
      <c r="I99" s="166" t="s">
        <v>175</v>
      </c>
      <c r="J99" s="167" t="s">
        <v>176</v>
      </c>
      <c r="K99" s="166" t="s">
        <v>175</v>
      </c>
      <c r="L99" s="167" t="s">
        <v>176</v>
      </c>
      <c r="M99" s="166" t="s">
        <v>175</v>
      </c>
      <c r="N99" s="167" t="s">
        <v>176</v>
      </c>
      <c r="O99" s="166" t="s">
        <v>175</v>
      </c>
      <c r="P99" s="167" t="s">
        <v>176</v>
      </c>
      <c r="Q99" s="166" t="s">
        <v>175</v>
      </c>
      <c r="R99" s="167" t="s">
        <v>176</v>
      </c>
      <c r="S99" s="166" t="s">
        <v>175</v>
      </c>
      <c r="T99" s="167" t="s">
        <v>176</v>
      </c>
      <c r="U99" s="166" t="s">
        <v>175</v>
      </c>
      <c r="V99" s="167" t="s">
        <v>176</v>
      </c>
      <c r="W99" s="166" t="s">
        <v>175</v>
      </c>
      <c r="X99" s="167" t="s">
        <v>176</v>
      </c>
      <c r="Y99" s="166" t="s">
        <v>175</v>
      </c>
      <c r="Z99" s="167" t="s">
        <v>176</v>
      </c>
      <c r="AA99" s="315" t="s">
        <v>89</v>
      </c>
      <c r="AB99" s="315" t="s">
        <v>88</v>
      </c>
    </row>
    <row r="100" spans="1:28" x14ac:dyDescent="0.35">
      <c r="A100" s="169" t="str">
        <f>Mon!A100</f>
        <v>(AV)</v>
      </c>
      <c r="B100" s="170" t="str">
        <f>Mon!B100</f>
        <v>IB</v>
      </c>
      <c r="C100" s="169" t="str">
        <f>Mon!C100</f>
        <v>(KM)</v>
      </c>
      <c r="D100" s="170" t="str">
        <f>Mon!D100</f>
        <v>IB</v>
      </c>
      <c r="E100" s="169" t="str">
        <f>Mon!E100</f>
        <v>(SUN)</v>
      </c>
      <c r="F100" s="170" t="str">
        <f>Mon!F100</f>
        <v>IB</v>
      </c>
      <c r="G100" s="169" t="str">
        <f>Mon!G100</f>
        <v>(YL)</v>
      </c>
      <c r="H100" s="170" t="str">
        <f>Mon!H100</f>
        <v>IB</v>
      </c>
      <c r="I100" s="169" t="str">
        <f>Mon!I100</f>
        <v>(EC)</v>
      </c>
      <c r="J100" s="170" t="str">
        <f>Mon!J100</f>
        <v>IB</v>
      </c>
      <c r="K100" s="169" t="str">
        <f>Mon!K100</f>
        <v>(YL)</v>
      </c>
      <c r="L100" s="170" t="str">
        <f>Mon!L100</f>
        <v>IB</v>
      </c>
      <c r="M100" s="169" t="str">
        <f>Mon!M100</f>
        <v>(EC)</v>
      </c>
      <c r="N100" s="170" t="str">
        <f>Mon!N100</f>
        <v>IB</v>
      </c>
      <c r="O100" s="169" t="str">
        <f>Mon!O100</f>
        <v>(SUN)</v>
      </c>
      <c r="P100" s="170" t="str">
        <f>Mon!P100</f>
        <v>IB</v>
      </c>
      <c r="Q100" s="169" t="str">
        <f>Mon!Q100</f>
        <v>(AV)</v>
      </c>
      <c r="R100" s="170" t="str">
        <f>Mon!R100</f>
        <v>IB</v>
      </c>
      <c r="S100" s="169" t="str">
        <f>Mon!S100</f>
        <v>(EC)</v>
      </c>
      <c r="T100" s="170" t="str">
        <f>Mon!T100</f>
        <v>IB</v>
      </c>
      <c r="U100" s="169" t="str">
        <f>Mon!U100</f>
        <v>(EC)</v>
      </c>
      <c r="V100" s="170" t="str">
        <f>Mon!V100</f>
        <v>IB</v>
      </c>
      <c r="W100" s="169" t="str">
        <f>Mon!W100</f>
        <v>(AV)</v>
      </c>
      <c r="X100" s="170" t="str">
        <f>Mon!X100</f>
        <v>IB</v>
      </c>
      <c r="Y100" s="169" t="str">
        <f>Mon!Y100</f>
        <v>(DT)</v>
      </c>
      <c r="Z100" s="170" t="str">
        <f>Mon!Z100</f>
        <v>EBO</v>
      </c>
      <c r="AA100" s="315" t="s">
        <v>100</v>
      </c>
      <c r="AB100" s="315" t="s">
        <v>203</v>
      </c>
    </row>
    <row r="101" spans="1:28" x14ac:dyDescent="0.35">
      <c r="A101" s="169" t="str">
        <f>Mon!A101</f>
        <v>(SRN)</v>
      </c>
      <c r="B101" s="170" t="str">
        <f>Mon!B101</f>
        <v>IT</v>
      </c>
      <c r="C101" s="169" t="str">
        <f>Mon!C101</f>
        <v>(UK)</v>
      </c>
      <c r="D101" s="170" t="str">
        <f>Mon!D101</f>
        <v>IT</v>
      </c>
      <c r="E101" s="169" t="str">
        <f>Mon!E101</f>
        <v>(SUP)</v>
      </c>
      <c r="F101" s="170" t="str">
        <f>Mon!F101</f>
        <v>IT</v>
      </c>
      <c r="G101" s="174" t="str">
        <f>Mon!G101</f>
        <v>(SRN)</v>
      </c>
      <c r="H101" s="170" t="str">
        <f>Mon!H101</f>
        <v>IT</v>
      </c>
      <c r="I101" s="169" t="str">
        <f>Mon!I101</f>
        <v>(AD)</v>
      </c>
      <c r="J101" s="170" t="str">
        <f>Mon!J101</f>
        <v>IT</v>
      </c>
      <c r="K101" s="169" t="str">
        <f>Mon!K101</f>
        <v>(UK)</v>
      </c>
      <c r="L101" s="170" t="str">
        <f>Mon!L101</f>
        <v>IT</v>
      </c>
      <c r="M101" s="174" t="str">
        <f>Mon!M101</f>
        <v>(UK)</v>
      </c>
      <c r="N101" s="170" t="str">
        <f>Mon!N101</f>
        <v>IT</v>
      </c>
      <c r="O101" s="169" t="str">
        <f>Mon!O101</f>
        <v>(SRN)</v>
      </c>
      <c r="P101" s="170" t="str">
        <f>Mon!P101</f>
        <v>IT</v>
      </c>
      <c r="Q101" s="169" t="str">
        <f>Mon!Q101</f>
        <v>(SUP)</v>
      </c>
      <c r="R101" s="170" t="str">
        <f>Mon!R101</f>
        <v>IT</v>
      </c>
      <c r="S101" s="174" t="str">
        <f>Mon!S101</f>
        <v>(AD)</v>
      </c>
      <c r="T101" s="170" t="str">
        <f>Mon!T101</f>
        <v>IT</v>
      </c>
      <c r="U101" s="169" t="str">
        <f>Mon!U101</f>
        <v>(AD)</v>
      </c>
      <c r="V101" s="170" t="str">
        <f>Mon!V101</f>
        <v>IT</v>
      </c>
      <c r="W101" s="174" t="str">
        <f>Mon!W101</f>
        <v>(AD)</v>
      </c>
      <c r="X101" s="170" t="str">
        <f>Mon!X101</f>
        <v>IT</v>
      </c>
      <c r="Y101" s="169" t="str">
        <f>Mon!Y101</f>
        <v>(ND)</v>
      </c>
      <c r="Z101" s="170" t="str">
        <f>Mon!Z101</f>
        <v>ES</v>
      </c>
      <c r="AA101" s="315" t="s">
        <v>89</v>
      </c>
      <c r="AB101" s="315" t="s">
        <v>96</v>
      </c>
    </row>
    <row r="102" spans="1:28" x14ac:dyDescent="0.35">
      <c r="A102" s="169" t="str">
        <f>Mon!A102</f>
        <v>(KR)</v>
      </c>
      <c r="B102" s="170" t="str">
        <f>Mon!B102</f>
        <v>MA</v>
      </c>
      <c r="C102" s="169" t="str">
        <f>Mon!C102</f>
        <v>(TK)</v>
      </c>
      <c r="D102" s="170" t="str">
        <f>Mon!D102</f>
        <v>MA</v>
      </c>
      <c r="E102" s="169" t="str">
        <f>Mon!E102</f>
        <v>(RG)</v>
      </c>
      <c r="F102" s="170" t="str">
        <f>Mon!F102</f>
        <v>MA</v>
      </c>
      <c r="G102" s="169" t="str">
        <f>Mon!G102</f>
        <v>(MEG)</v>
      </c>
      <c r="H102" s="170" t="str">
        <f>Mon!H102</f>
        <v>MA</v>
      </c>
      <c r="I102" s="169" t="str">
        <f>Mon!I102</f>
        <v>(KR)</v>
      </c>
      <c r="J102" s="170" t="str">
        <f>Mon!J102</f>
        <v>MA</v>
      </c>
      <c r="K102" s="174" t="str">
        <f>Mon!K102</f>
        <v>(PM)</v>
      </c>
      <c r="L102" s="170" t="str">
        <f>Mon!L102</f>
        <v>MA</v>
      </c>
      <c r="M102" s="169" t="str">
        <f>Mon!M102</f>
        <v>(NG)</v>
      </c>
      <c r="N102" s="170" t="str">
        <f>Mon!N102</f>
        <v>MA</v>
      </c>
      <c r="O102" s="169" t="str">
        <f>Mon!O102</f>
        <v>(RG)</v>
      </c>
      <c r="P102" s="170" t="str">
        <f>Mon!P102</f>
        <v>MA</v>
      </c>
      <c r="Q102" s="169" t="str">
        <f>Mon!Q102</f>
        <v>(NG)</v>
      </c>
      <c r="R102" s="170" t="str">
        <f>Mon!R102</f>
        <v>MA</v>
      </c>
      <c r="S102" s="169" t="str">
        <f>Mon!S102</f>
        <v>(MEG)</v>
      </c>
      <c r="T102" s="170" t="str">
        <f>Mon!T102</f>
        <v>MA</v>
      </c>
      <c r="U102" s="169" t="str">
        <f>Mon!U102</f>
        <v>(NG)</v>
      </c>
      <c r="V102" s="170" t="str">
        <f>Mon!V102</f>
        <v>MA</v>
      </c>
      <c r="W102" s="169" t="str">
        <f>Mon!W102</f>
        <v>(RG)</v>
      </c>
      <c r="X102" s="170" t="str">
        <f>Mon!X102</f>
        <v>MA</v>
      </c>
      <c r="Y102" s="181" t="str">
        <f>Mon!Y102</f>
        <v>(LK)</v>
      </c>
      <c r="Z102" s="170" t="str">
        <f>Mon!Z102</f>
        <v>LE</v>
      </c>
      <c r="AA102" s="315" t="s">
        <v>98</v>
      </c>
      <c r="AB102" s="315" t="s">
        <v>92</v>
      </c>
    </row>
    <row r="103" spans="1:28" x14ac:dyDescent="0.35">
      <c r="A103" s="169" t="str">
        <f>Mon!A103</f>
        <v>(SUN)</v>
      </c>
      <c r="B103" s="170" t="str">
        <f>Mon!B103</f>
        <v>FMS</v>
      </c>
      <c r="C103" s="174" t="str">
        <f>Mon!C103</f>
        <v>(MS)</v>
      </c>
      <c r="D103" s="170" t="str">
        <f>Mon!D103</f>
        <v>FMS</v>
      </c>
      <c r="E103" s="169" t="str">
        <f>Mon!E103</f>
        <v>(NG)</v>
      </c>
      <c r="F103" s="170" t="str">
        <f>Mon!F103</f>
        <v>FMS</v>
      </c>
      <c r="G103" s="169" t="str">
        <f>Mon!G103</f>
        <v>(SUN)</v>
      </c>
      <c r="H103" s="170" t="str">
        <f>Mon!H103</f>
        <v>FMS</v>
      </c>
      <c r="I103" s="169" t="str">
        <f>Mon!I103</f>
        <v>(MS)</v>
      </c>
      <c r="J103" s="170" t="str">
        <f>Mon!J103</f>
        <v>FMS</v>
      </c>
      <c r="K103" s="174" t="str">
        <f>Mon!K103</f>
        <v>(NG)</v>
      </c>
      <c r="L103" s="170" t="str">
        <f>Mon!L103</f>
        <v>FMS</v>
      </c>
      <c r="M103" s="169" t="str">
        <f>Mon!M103</f>
        <v>(KM)</v>
      </c>
      <c r="N103" s="170" t="str">
        <f>Mon!N103</f>
        <v>CB</v>
      </c>
      <c r="O103" s="169" t="str">
        <f>Mon!O103</f>
        <v>(SRS)</v>
      </c>
      <c r="P103" s="170" t="str">
        <f>Mon!P103</f>
        <v>CB</v>
      </c>
      <c r="Q103" s="169" t="str">
        <f>Mon!Q103</f>
        <v>(KM)</v>
      </c>
      <c r="R103" s="170" t="str">
        <f>Mon!R103</f>
        <v>CB</v>
      </c>
      <c r="S103" s="169" t="str">
        <f>Mon!S103</f>
        <v>(KM)</v>
      </c>
      <c r="T103" s="170" t="str">
        <f>Mon!T103</f>
        <v>CB</v>
      </c>
      <c r="U103" s="169" t="str">
        <f>Mon!U103</f>
        <v>(SRS)</v>
      </c>
      <c r="V103" s="170" t="str">
        <f>Mon!V103</f>
        <v>CB</v>
      </c>
      <c r="W103" s="174" t="str">
        <f>Mon!W103</f>
        <v>(EC)</v>
      </c>
      <c r="X103" s="175" t="str">
        <f>Mon!X103</f>
        <v>HRD</v>
      </c>
      <c r="Y103" s="169" t="str">
        <f>Mon!Y103</f>
        <v>(SP)</v>
      </c>
      <c r="Z103" s="170" t="str">
        <f>Mon!Z103</f>
        <v>PR</v>
      </c>
      <c r="AA103" s="315" t="s">
        <v>94</v>
      </c>
      <c r="AB103" s="315" t="s">
        <v>101</v>
      </c>
    </row>
    <row r="104" spans="1:28" x14ac:dyDescent="0.35">
      <c r="A104" s="169" t="str">
        <f>Mon!A104</f>
        <v>(VAR)</v>
      </c>
      <c r="B104" s="170" t="str">
        <f>Mon!B104</f>
        <v>IF</v>
      </c>
      <c r="C104" s="169" t="str">
        <f>Mon!C104</f>
        <v>(SRN)</v>
      </c>
      <c r="D104" s="170" t="str">
        <f>Mon!D104</f>
        <v>IF</v>
      </c>
      <c r="E104" s="169" t="str">
        <f>Mon!E104</f>
        <v>(VAR)</v>
      </c>
      <c r="F104" s="170" t="str">
        <f>Mon!F104</f>
        <v>IF</v>
      </c>
      <c r="G104" s="169" t="str">
        <f>Mon!G104</f>
        <v>(VAR)</v>
      </c>
      <c r="H104" s="170" t="str">
        <f>Mon!H104</f>
        <v>IF</v>
      </c>
      <c r="I104" s="169" t="str">
        <f>Mon!I104</f>
        <v>(SRN)</v>
      </c>
      <c r="J104" s="170" t="str">
        <f>Mon!J104</f>
        <v>IF</v>
      </c>
      <c r="K104" s="169" t="str">
        <f>Mon!K104</f>
        <v>(VAR)</v>
      </c>
      <c r="L104" s="170" t="str">
        <f>Mon!L104</f>
        <v>IF</v>
      </c>
      <c r="M104" s="169" t="str">
        <f>Mon!M104</f>
        <v>(DT)</v>
      </c>
      <c r="N104" s="170" t="str">
        <f>Mon!N104</f>
        <v>MIP</v>
      </c>
      <c r="O104" s="169" t="str">
        <f>Mon!O104</f>
        <v>(LK)</v>
      </c>
      <c r="P104" s="170" t="str">
        <f>Mon!P104</f>
        <v>MIP</v>
      </c>
      <c r="Q104" s="169" t="str">
        <f>Mon!Q104</f>
        <v>(LK)</v>
      </c>
      <c r="R104" s="170" t="str">
        <f>Mon!R104</f>
        <v>MIP</v>
      </c>
      <c r="S104" s="169" t="str">
        <f>Mon!S104</f>
        <v>(AV)</v>
      </c>
      <c r="T104" s="170" t="str">
        <f>Mon!T104</f>
        <v>MIP</v>
      </c>
      <c r="U104" s="169" t="str">
        <f>Mon!U104</f>
        <v>(DT)</v>
      </c>
      <c r="V104" s="170" t="str">
        <f>Mon!V104</f>
        <v>MIP</v>
      </c>
      <c r="W104" s="174" t="str">
        <f>Mon!W104</f>
        <v>(SR)</v>
      </c>
      <c r="X104" s="175" t="str">
        <f>Mon!X104</f>
        <v>IHRM</v>
      </c>
      <c r="Y104" s="169">
        <f>Mon!Y104</f>
        <v>0</v>
      </c>
      <c r="Z104" s="170">
        <f>Mon!Z104</f>
        <v>0</v>
      </c>
      <c r="AA104" s="315" t="s">
        <v>91</v>
      </c>
      <c r="AB104" s="315" t="s">
        <v>90</v>
      </c>
    </row>
    <row r="105" spans="1:28" x14ac:dyDescent="0.35">
      <c r="A105" s="169" t="str">
        <f>Mon!A105</f>
        <v>(SUP)</v>
      </c>
      <c r="B105" s="170" t="str">
        <f>Mon!B105</f>
        <v>AA</v>
      </c>
      <c r="C105" s="169" t="str">
        <f>Mon!C105</f>
        <v>(VAR)</v>
      </c>
      <c r="D105" s="170" t="str">
        <f>Mon!D105</f>
        <v>AA</v>
      </c>
      <c r="E105" s="169" t="str">
        <f>Mon!E105</f>
        <v>(MS)</v>
      </c>
      <c r="F105" s="170" t="str">
        <f>Mon!F105</f>
        <v>AA</v>
      </c>
      <c r="G105" s="169" t="str">
        <f>Mon!G105</f>
        <v>(SUP)</v>
      </c>
      <c r="H105" s="170" t="str">
        <f>Mon!H105</f>
        <v>AA</v>
      </c>
      <c r="I105" s="169" t="str">
        <f>Mon!I105</f>
        <v>(SUP)</v>
      </c>
      <c r="J105" s="170" t="str">
        <f>Mon!J105</f>
        <v>AA</v>
      </c>
      <c r="K105" s="169" t="str">
        <f>Mon!K105</f>
        <v>(MS)</v>
      </c>
      <c r="L105" s="170" t="str">
        <f>Mon!L105</f>
        <v>AA</v>
      </c>
      <c r="M105" s="169" t="str">
        <f>Mon!M105</f>
        <v>(LK)</v>
      </c>
      <c r="N105" s="170" t="str">
        <f>Mon!N105</f>
        <v>RM</v>
      </c>
      <c r="O105" s="169" t="str">
        <f>Mon!O105</f>
        <v>(VRL)</v>
      </c>
      <c r="P105" s="170" t="str">
        <f>Mon!P105</f>
        <v>RM</v>
      </c>
      <c r="Q105" s="169" t="str">
        <f>Mon!Q105</f>
        <v>(AD)</v>
      </c>
      <c r="R105" s="170" t="str">
        <f>Mon!R105</f>
        <v>RM</v>
      </c>
      <c r="S105" s="169" t="str">
        <f>Mon!S105</f>
        <v>(LK)</v>
      </c>
      <c r="T105" s="170" t="str">
        <f>Mon!T105</f>
        <v>RM</v>
      </c>
      <c r="U105" s="169" t="str">
        <f>Mon!U105</f>
        <v>(LK)</v>
      </c>
      <c r="V105" s="170" t="str">
        <f>Mon!V105</f>
        <v>RM</v>
      </c>
      <c r="W105" s="174" t="str">
        <f>Mon!W105</f>
        <v>(RT)</v>
      </c>
      <c r="X105" s="175" t="str">
        <f>Mon!X105</f>
        <v>CHRM</v>
      </c>
      <c r="Y105" s="181">
        <f>Mon!Y105</f>
        <v>0</v>
      </c>
      <c r="Z105" s="170">
        <f>Mon!Z105</f>
        <v>0</v>
      </c>
      <c r="AA105" s="315"/>
      <c r="AB105" s="315" t="s">
        <v>93</v>
      </c>
    </row>
    <row r="106" spans="1:28" x14ac:dyDescent="0.35">
      <c r="A106" s="169" t="str">
        <f>Mon!A106</f>
        <v>(AW)</v>
      </c>
      <c r="B106" s="170" t="str">
        <f>Mon!B106</f>
        <v>ECOM</v>
      </c>
      <c r="C106" s="169" t="str">
        <f>Mon!C106</f>
        <v>(SR)</v>
      </c>
      <c r="D106" s="170" t="str">
        <f>Mon!D106</f>
        <v>ECOM</v>
      </c>
      <c r="E106" s="169" t="str">
        <f>Mon!E106</f>
        <v>(AW)</v>
      </c>
      <c r="F106" s="170" t="str">
        <f>Mon!F106</f>
        <v>ECOM</v>
      </c>
      <c r="G106" s="169" t="str">
        <f>Mon!G106</f>
        <v>(SR)</v>
      </c>
      <c r="H106" s="170" t="str">
        <f>Mon!H106</f>
        <v>ECOM</v>
      </c>
      <c r="I106" s="169" t="str">
        <f>Mon!I106</f>
        <v>(DT)</v>
      </c>
      <c r="J106" s="170" t="str">
        <f>Mon!J106</f>
        <v>ECOM</v>
      </c>
      <c r="K106" s="169" t="str">
        <f>Mon!K106</f>
        <v>(SP)</v>
      </c>
      <c r="L106" s="170" t="str">
        <f>Mon!L106</f>
        <v>PR</v>
      </c>
      <c r="M106" s="169" t="str">
        <f>Mon!M106</f>
        <v>(SR)</v>
      </c>
      <c r="N106" s="170" t="str">
        <f>Mon!N106</f>
        <v>ECOM</v>
      </c>
      <c r="O106" s="169" t="str">
        <f>Mon!O106</f>
        <v>(SR)</v>
      </c>
      <c r="P106" s="170" t="str">
        <f>Mon!P106</f>
        <v>ECOM</v>
      </c>
      <c r="Q106" s="169" t="str">
        <f>Mon!Q106</f>
        <v>(DT)</v>
      </c>
      <c r="R106" s="170" t="str">
        <f>Mon!R106</f>
        <v>ECOM</v>
      </c>
      <c r="S106" s="169" t="str">
        <f>Mon!S106</f>
        <v>(SR)</v>
      </c>
      <c r="T106" s="170" t="str">
        <f>Mon!T106</f>
        <v>PR</v>
      </c>
      <c r="U106" s="169" t="str">
        <f>Mon!U106</f>
        <v>(SP)</v>
      </c>
      <c r="V106" s="170" t="str">
        <f>Mon!V106</f>
        <v>PR</v>
      </c>
      <c r="W106" s="174" t="str">
        <f>Mon!W106</f>
        <v>(BB)</v>
      </c>
      <c r="X106" s="175" t="str">
        <f>Mon!X106</f>
        <v>ECOM</v>
      </c>
      <c r="Y106" s="169">
        <f>Mon!Y106</f>
        <v>0</v>
      </c>
      <c r="Z106" s="170">
        <f>Mon!Z106</f>
        <v>0</v>
      </c>
      <c r="AA106" s="315"/>
      <c r="AB106" s="315" t="s">
        <v>99</v>
      </c>
    </row>
    <row r="107" spans="1:28" x14ac:dyDescent="0.35">
      <c r="A107" s="30"/>
      <c r="B107" s="31"/>
      <c r="C107" s="30"/>
      <c r="D107" s="31"/>
      <c r="E107" s="30"/>
      <c r="F107" s="31"/>
      <c r="G107" s="30"/>
      <c r="H107" s="31"/>
      <c r="I107" s="30"/>
      <c r="J107" s="31"/>
      <c r="K107" s="30"/>
      <c r="L107" s="31"/>
      <c r="M107" s="30"/>
      <c r="N107" s="170"/>
      <c r="O107" s="30"/>
      <c r="P107" s="31"/>
      <c r="Q107" s="30"/>
      <c r="R107" s="31"/>
      <c r="S107" s="30"/>
      <c r="T107" s="31"/>
      <c r="U107" s="30"/>
      <c r="V107" s="31"/>
      <c r="W107" s="169"/>
      <c r="X107" s="31"/>
      <c r="Y107" s="30"/>
      <c r="Z107" s="31"/>
      <c r="AA107" s="315"/>
      <c r="AB107" s="315" t="s">
        <v>97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</sheetData>
  <mergeCells count="77">
    <mergeCell ref="AC85:AD85"/>
    <mergeCell ref="AC1:AN1"/>
    <mergeCell ref="Y2:AB2"/>
    <mergeCell ref="AC2:AF2"/>
    <mergeCell ref="AG2:AJ2"/>
    <mergeCell ref="AK2:AN2"/>
    <mergeCell ref="A71:Z71"/>
    <mergeCell ref="K72:L72"/>
    <mergeCell ref="M72:N72"/>
    <mergeCell ref="O72:P72"/>
    <mergeCell ref="Q72:R72"/>
    <mergeCell ref="S72:T72"/>
    <mergeCell ref="U72:V72"/>
    <mergeCell ref="K20:L20"/>
    <mergeCell ref="M20:N20"/>
    <mergeCell ref="I5:J19"/>
    <mergeCell ref="AA86:AB86"/>
    <mergeCell ref="AA72:AB72"/>
    <mergeCell ref="A97:Z97"/>
    <mergeCell ref="A98:B98"/>
    <mergeCell ref="C98:D98"/>
    <mergeCell ref="E98:F98"/>
    <mergeCell ref="G98:H98"/>
    <mergeCell ref="I98:J98"/>
    <mergeCell ref="M86:N86"/>
    <mergeCell ref="O86:P86"/>
    <mergeCell ref="G86:H86"/>
    <mergeCell ref="I86:J86"/>
    <mergeCell ref="G72:H72"/>
    <mergeCell ref="I72:J72"/>
    <mergeCell ref="Q86:R86"/>
    <mergeCell ref="S86:T86"/>
    <mergeCell ref="BX3:CA3"/>
    <mergeCell ref="E4:F4"/>
    <mergeCell ref="G4:H4"/>
    <mergeCell ref="I4:J4"/>
    <mergeCell ref="K4:L4"/>
    <mergeCell ref="M4:N4"/>
    <mergeCell ref="A5:A19"/>
    <mergeCell ref="A3:H3"/>
    <mergeCell ref="I3:N3"/>
    <mergeCell ref="A21:A36"/>
    <mergeCell ref="I21:J36"/>
    <mergeCell ref="M21:N34"/>
    <mergeCell ref="E20:F20"/>
    <mergeCell ref="G20:H20"/>
    <mergeCell ref="I20:J20"/>
    <mergeCell ref="B16:B17"/>
    <mergeCell ref="C16:C17"/>
    <mergeCell ref="W72:X72"/>
    <mergeCell ref="Y72:Z72"/>
    <mergeCell ref="A85:Z85"/>
    <mergeCell ref="K37:L37"/>
    <mergeCell ref="M37:N37"/>
    <mergeCell ref="E37:F37"/>
    <mergeCell ref="G37:H37"/>
    <mergeCell ref="I37:J37"/>
    <mergeCell ref="A38:A53"/>
    <mergeCell ref="I38:J53"/>
    <mergeCell ref="A72:B72"/>
    <mergeCell ref="C72:D72"/>
    <mergeCell ref="E72:F72"/>
    <mergeCell ref="W86:X86"/>
    <mergeCell ref="Y86:Z86"/>
    <mergeCell ref="K86:L86"/>
    <mergeCell ref="U86:V86"/>
    <mergeCell ref="A86:B86"/>
    <mergeCell ref="C86:D86"/>
    <mergeCell ref="E86:F86"/>
    <mergeCell ref="Y98:Z98"/>
    <mergeCell ref="O98:P98"/>
    <mergeCell ref="Q98:R98"/>
    <mergeCell ref="K98:L98"/>
    <mergeCell ref="M98:N98"/>
    <mergeCell ref="S98:T98"/>
    <mergeCell ref="U98:V98"/>
    <mergeCell ref="W98:X98"/>
  </mergeCells>
  <conditionalFormatting sqref="E18">
    <cfRule type="duplicateValues" dxfId="3802" priority="515"/>
  </conditionalFormatting>
  <conditionalFormatting sqref="E18:E19">
    <cfRule type="cellIs" dxfId="3801" priority="514" operator="equal">
      <formula>0</formula>
    </cfRule>
  </conditionalFormatting>
  <conditionalFormatting sqref="E19">
    <cfRule type="duplicateValues" dxfId="3800" priority="516"/>
  </conditionalFormatting>
  <conditionalFormatting sqref="E21">
    <cfRule type="duplicateValues" dxfId="3799" priority="66"/>
  </conditionalFormatting>
  <conditionalFormatting sqref="E21:E34">
    <cfRule type="cellIs" dxfId="3798" priority="53" operator="equal">
      <formula>$O$5</formula>
    </cfRule>
    <cfRule type="cellIs" dxfId="3797" priority="51" operator="equal">
      <formula>$O$7</formula>
    </cfRule>
    <cfRule type="cellIs" dxfId="3796" priority="50" operator="equal">
      <formula>$O$8</formula>
    </cfRule>
    <cfRule type="cellIs" dxfId="3795" priority="49" operator="equal">
      <formula>$O$9</formula>
    </cfRule>
    <cfRule type="cellIs" dxfId="3794" priority="48" operator="equal">
      <formula>$O$11</formula>
    </cfRule>
    <cfRule type="cellIs" dxfId="3793" priority="52" operator="equal">
      <formula>$O$6</formula>
    </cfRule>
  </conditionalFormatting>
  <conditionalFormatting sqref="E22">
    <cfRule type="duplicateValues" dxfId="3792" priority="65"/>
  </conditionalFormatting>
  <conditionalFormatting sqref="E23">
    <cfRule type="duplicateValues" dxfId="3791" priority="64"/>
  </conditionalFormatting>
  <conditionalFormatting sqref="E25">
    <cfRule type="duplicateValues" dxfId="3790" priority="63"/>
  </conditionalFormatting>
  <conditionalFormatting sqref="E26">
    <cfRule type="duplicateValues" dxfId="3789" priority="62"/>
  </conditionalFormatting>
  <conditionalFormatting sqref="E27">
    <cfRule type="duplicateValues" dxfId="3788" priority="61"/>
  </conditionalFormatting>
  <conditionalFormatting sqref="E28">
    <cfRule type="duplicateValues" dxfId="3787" priority="60"/>
  </conditionalFormatting>
  <conditionalFormatting sqref="E29">
    <cfRule type="duplicateValues" dxfId="3786" priority="59"/>
  </conditionalFormatting>
  <conditionalFormatting sqref="E30">
    <cfRule type="duplicateValues" dxfId="3785" priority="58"/>
  </conditionalFormatting>
  <conditionalFormatting sqref="E31">
    <cfRule type="duplicateValues" dxfId="3784" priority="57"/>
  </conditionalFormatting>
  <conditionalFormatting sqref="E32">
    <cfRule type="duplicateValues" dxfId="3783" priority="56"/>
  </conditionalFormatting>
  <conditionalFormatting sqref="E33">
    <cfRule type="duplicateValues" dxfId="3782" priority="55"/>
  </conditionalFormatting>
  <conditionalFormatting sqref="E34">
    <cfRule type="duplicateValues" dxfId="3781" priority="46"/>
    <cfRule type="duplicateValues" dxfId="3780" priority="47"/>
    <cfRule type="duplicateValues" dxfId="3779" priority="45"/>
  </conditionalFormatting>
  <conditionalFormatting sqref="E35">
    <cfRule type="duplicateValues" dxfId="3778" priority="758"/>
    <cfRule type="duplicateValues" dxfId="3777" priority="373"/>
  </conditionalFormatting>
  <conditionalFormatting sqref="E36">
    <cfRule type="duplicateValues" dxfId="3776" priority="372"/>
    <cfRule type="duplicateValues" dxfId="3775" priority="371"/>
    <cfRule type="duplicateValues" dxfId="3774" priority="370"/>
    <cfRule type="duplicateValues" dxfId="3773" priority="755"/>
    <cfRule type="duplicateValues" dxfId="3772" priority="756"/>
    <cfRule type="duplicateValues" dxfId="3771" priority="757"/>
  </conditionalFormatting>
  <conditionalFormatting sqref="E38">
    <cfRule type="duplicateValues" dxfId="3770" priority="163"/>
    <cfRule type="duplicateValues" dxfId="3769" priority="190"/>
  </conditionalFormatting>
  <conditionalFormatting sqref="E39">
    <cfRule type="duplicateValues" dxfId="3768" priority="177"/>
    <cfRule type="duplicateValues" dxfId="3767" priority="189"/>
  </conditionalFormatting>
  <conditionalFormatting sqref="E40">
    <cfRule type="duplicateValues" dxfId="3766" priority="188"/>
    <cfRule type="duplicateValues" dxfId="3765" priority="176"/>
  </conditionalFormatting>
  <conditionalFormatting sqref="E41">
    <cfRule type="duplicateValues" dxfId="3764" priority="187"/>
    <cfRule type="duplicateValues" dxfId="3763" priority="175"/>
  </conditionalFormatting>
  <conditionalFormatting sqref="E42">
    <cfRule type="duplicateValues" dxfId="3762" priority="186"/>
    <cfRule type="duplicateValues" dxfId="3761" priority="174"/>
  </conditionalFormatting>
  <conditionalFormatting sqref="E43">
    <cfRule type="duplicateValues" dxfId="3760" priority="185"/>
    <cfRule type="duplicateValues" dxfId="3759" priority="173"/>
  </conditionalFormatting>
  <conditionalFormatting sqref="E44">
    <cfRule type="duplicateValues" dxfId="3758" priority="184"/>
    <cfRule type="duplicateValues" dxfId="3757" priority="172"/>
  </conditionalFormatting>
  <conditionalFormatting sqref="E45">
    <cfRule type="duplicateValues" dxfId="3756" priority="171"/>
    <cfRule type="duplicateValues" dxfId="3755" priority="183"/>
  </conditionalFormatting>
  <conditionalFormatting sqref="E46">
    <cfRule type="duplicateValues" dxfId="3754" priority="170"/>
    <cfRule type="duplicateValues" dxfId="3753" priority="182"/>
  </conditionalFormatting>
  <conditionalFormatting sqref="E47">
    <cfRule type="duplicateValues" dxfId="3752" priority="169"/>
    <cfRule type="duplicateValues" dxfId="3751" priority="181"/>
  </conditionalFormatting>
  <conditionalFormatting sqref="E48">
    <cfRule type="duplicateValues" dxfId="3750" priority="180"/>
    <cfRule type="duplicateValues" dxfId="3749" priority="168"/>
  </conditionalFormatting>
  <conditionalFormatting sqref="E49">
    <cfRule type="duplicateValues" dxfId="3748" priority="179"/>
    <cfRule type="duplicateValues" dxfId="3747" priority="167"/>
    <cfRule type="duplicateValues" dxfId="3746" priority="178"/>
  </conditionalFormatting>
  <conditionalFormatting sqref="E50">
    <cfRule type="duplicateValues" dxfId="3745" priority="165"/>
    <cfRule type="duplicateValues" dxfId="3744" priority="166"/>
  </conditionalFormatting>
  <conditionalFormatting sqref="E51">
    <cfRule type="duplicateValues" dxfId="3743" priority="161"/>
    <cfRule type="duplicateValues" dxfId="3742" priority="160"/>
  </conditionalFormatting>
  <conditionalFormatting sqref="E52">
    <cfRule type="duplicateValues" dxfId="3741" priority="926"/>
    <cfRule type="duplicateValues" dxfId="3740" priority="928"/>
  </conditionalFormatting>
  <conditionalFormatting sqref="E53">
    <cfRule type="duplicateValues" dxfId="3739" priority="927"/>
    <cfRule type="duplicateValues" dxfId="3738" priority="925"/>
  </conditionalFormatting>
  <conditionalFormatting sqref="E5:H16 K5:N16">
    <cfRule type="cellIs" dxfId="3737" priority="1580" operator="equal">
      <formula>0</formula>
    </cfRule>
  </conditionalFormatting>
  <conditionalFormatting sqref="E21:H36">
    <cfRule type="cellIs" dxfId="3736" priority="32" operator="equal">
      <formula>0</formula>
    </cfRule>
  </conditionalFormatting>
  <conditionalFormatting sqref="E35:H36">
    <cfRule type="cellIs" dxfId="3735" priority="764" operator="equal">
      <formula>$O$8</formula>
    </cfRule>
    <cfRule type="cellIs" dxfId="3734" priority="763" operator="equal">
      <formula>$O$9</formula>
    </cfRule>
    <cfRule type="cellIs" dxfId="3733" priority="765" operator="equal">
      <formula>$O$7</formula>
    </cfRule>
    <cfRule type="cellIs" dxfId="3732" priority="766" operator="equal">
      <formula>$O$6</formula>
    </cfRule>
    <cfRule type="cellIs" dxfId="3731" priority="762" operator="equal">
      <formula>$O$11</formula>
    </cfRule>
    <cfRule type="cellIs" dxfId="3730" priority="767" operator="equal">
      <formula>$O$5</formula>
    </cfRule>
  </conditionalFormatting>
  <conditionalFormatting sqref="E38:H53">
    <cfRule type="cellIs" dxfId="3729" priority="131" operator="equal">
      <formula>0</formula>
    </cfRule>
  </conditionalFormatting>
  <conditionalFormatting sqref="E4:N4">
    <cfRule type="cellIs" dxfId="3728" priority="950" operator="equal">
      <formula>$O$8</formula>
    </cfRule>
    <cfRule type="cellIs" dxfId="3727" priority="948" operator="equal">
      <formula>$O$11</formula>
    </cfRule>
    <cfRule type="cellIs" dxfId="3726" priority="949" operator="equal">
      <formula>$O$9</formula>
    </cfRule>
    <cfRule type="cellIs" dxfId="3725" priority="951" operator="equal">
      <formula>$O$7</formula>
    </cfRule>
    <cfRule type="cellIs" dxfId="3724" priority="952" operator="equal">
      <formula>$O$6</formula>
    </cfRule>
    <cfRule type="cellIs" dxfId="3723" priority="954" operator="equal">
      <formula>0</formula>
    </cfRule>
    <cfRule type="cellIs" dxfId="3722" priority="953" operator="equal">
      <formula>$O$5</formula>
    </cfRule>
  </conditionalFormatting>
  <conditionalFormatting sqref="E20:N20">
    <cfRule type="cellIs" dxfId="3721" priority="945" operator="equal">
      <formula>$O$6</formula>
    </cfRule>
    <cfRule type="cellIs" dxfId="3720" priority="943" operator="equal">
      <formula>$O$8</formula>
    </cfRule>
    <cfRule type="cellIs" dxfId="3719" priority="942" operator="equal">
      <formula>$O$9</formula>
    </cfRule>
    <cfRule type="cellIs" dxfId="3718" priority="941" operator="equal">
      <formula>$O$11</formula>
    </cfRule>
    <cfRule type="cellIs" dxfId="3717" priority="944" operator="equal">
      <formula>$O$7</formula>
    </cfRule>
    <cfRule type="cellIs" dxfId="3716" priority="947" operator="equal">
      <formula>0</formula>
    </cfRule>
    <cfRule type="cellIs" dxfId="3715" priority="946" operator="equal">
      <formula>$O$5</formula>
    </cfRule>
  </conditionalFormatting>
  <conditionalFormatting sqref="E37:N37">
    <cfRule type="cellIs" dxfId="3714" priority="2954" operator="equal">
      <formula>$O$9</formula>
    </cfRule>
    <cfRule type="cellIs" dxfId="3713" priority="2953" operator="equal">
      <formula>$O$11</formula>
    </cfRule>
    <cfRule type="cellIs" dxfId="3712" priority="2959" operator="equal">
      <formula>0</formula>
    </cfRule>
    <cfRule type="cellIs" dxfId="3711" priority="2958" operator="equal">
      <formula>$O$5</formula>
    </cfRule>
    <cfRule type="cellIs" dxfId="3710" priority="2957" operator="equal">
      <formula>$O$6</formula>
    </cfRule>
    <cfRule type="cellIs" dxfId="3709" priority="2956" operator="equal">
      <formula>$O$7</formula>
    </cfRule>
    <cfRule type="cellIs" dxfId="3708" priority="2955" operator="equal">
      <formula>$O$8</formula>
    </cfRule>
  </conditionalFormatting>
  <conditionalFormatting sqref="F5:F16">
    <cfRule type="duplicateValues" dxfId="3697" priority="1171"/>
    <cfRule type="duplicateValues" dxfId="3696" priority="1603"/>
    <cfRule type="duplicateValues" dxfId="3695" priority="1602"/>
  </conditionalFormatting>
  <conditionalFormatting sqref="F5:F17 F21:F34">
    <cfRule type="duplicateValues" dxfId="3694" priority="958"/>
  </conditionalFormatting>
  <conditionalFormatting sqref="F17">
    <cfRule type="cellIs" dxfId="3693" priority="990" operator="equal">
      <formula>$O$14</formula>
    </cfRule>
    <cfRule type="cellIs" dxfId="3692" priority="992" operator="equal">
      <formula>$O$13</formula>
    </cfRule>
    <cfRule type="cellIs" dxfId="3691" priority="993" operator="equal">
      <formula>$O$12</formula>
    </cfRule>
    <cfRule type="cellIs" dxfId="3690" priority="994" operator="equal">
      <formula>$O$11</formula>
    </cfRule>
    <cfRule type="cellIs" dxfId="3689" priority="996" operator="equal">
      <formula>$O$10</formula>
    </cfRule>
    <cfRule type="cellIs" dxfId="3688" priority="997" operator="equal">
      <formula>$O$9</formula>
    </cfRule>
    <cfRule type="cellIs" dxfId="3687" priority="998" operator="equal">
      <formula>$O$8</formula>
    </cfRule>
    <cfRule type="cellIs" dxfId="3686" priority="1000" operator="equal">
      <formula>$O$6</formula>
    </cfRule>
    <cfRule type="cellIs" dxfId="3685" priority="1001" operator="equal">
      <formula>$O$5</formula>
    </cfRule>
    <cfRule type="duplicateValues" dxfId="3684" priority="1002"/>
    <cfRule type="duplicateValues" dxfId="3683" priority="1003"/>
    <cfRule type="cellIs" dxfId="3682" priority="1004" operator="equal">
      <formula>$O$18</formula>
    </cfRule>
    <cfRule type="cellIs" dxfId="3681" priority="1005" operator="equal">
      <formula>$O$10</formula>
    </cfRule>
    <cfRule type="cellIs" dxfId="3680" priority="1006" operator="equal">
      <formula>$O$17</formula>
    </cfRule>
    <cfRule type="cellIs" dxfId="3679" priority="1007" operator="equal">
      <formula>$O$16</formula>
    </cfRule>
    <cfRule type="cellIs" dxfId="3678" priority="1008" operator="equal">
      <formula>$O$15</formula>
    </cfRule>
    <cfRule type="cellIs" dxfId="3677" priority="1009" operator="equal">
      <formula>$O$14</formula>
    </cfRule>
    <cfRule type="cellIs" dxfId="3676" priority="1010" operator="equal">
      <formula>$O$13</formula>
    </cfRule>
    <cfRule type="cellIs" dxfId="3675" priority="1011" operator="equal">
      <formula>$O$12</formula>
    </cfRule>
    <cfRule type="cellIs" dxfId="3674" priority="1012" operator="equal">
      <formula>$O$11</formula>
    </cfRule>
    <cfRule type="cellIs" dxfId="3673" priority="1015" operator="equal">
      <formula>$O$9</formula>
    </cfRule>
    <cfRule type="cellIs" dxfId="3672" priority="1017" operator="equal">
      <formula>$O$8</formula>
    </cfRule>
    <cfRule type="cellIs" dxfId="3671" priority="1018" operator="equal">
      <formula>$O$7</formula>
    </cfRule>
    <cfRule type="cellIs" dxfId="3670" priority="1019" operator="equal">
      <formula>$O$6</formula>
    </cfRule>
    <cfRule type="cellIs" dxfId="3669" priority="1020" operator="equal">
      <formula>$O$5</formula>
    </cfRule>
    <cfRule type="cellIs" dxfId="3668" priority="999" operator="equal">
      <formula>$O$7</formula>
    </cfRule>
    <cfRule type="cellIs" dxfId="3667" priority="960" operator="equal">
      <formula>$O$13</formula>
    </cfRule>
    <cfRule type="cellIs" dxfId="3666" priority="961" operator="equal">
      <formula>$O$12</formula>
    </cfRule>
    <cfRule type="cellIs" dxfId="3665" priority="962" operator="equal">
      <formula>$O$11</formula>
    </cfRule>
    <cfRule type="cellIs" dxfId="3664" priority="963" operator="equal">
      <formula>$O$10</formula>
    </cfRule>
    <cfRule type="cellIs" dxfId="3663" priority="964" operator="equal">
      <formula>$O$9</formula>
    </cfRule>
    <cfRule type="cellIs" dxfId="3662" priority="965" operator="equal">
      <formula>$O$8</formula>
    </cfRule>
    <cfRule type="cellIs" dxfId="3661" priority="966" operator="equal">
      <formula>$O$7</formula>
    </cfRule>
    <cfRule type="cellIs" dxfId="3660" priority="967" operator="equal">
      <formula>$O$6</formula>
    </cfRule>
    <cfRule type="cellIs" dxfId="3659" priority="968" operator="equal">
      <formula>$O$5</formula>
    </cfRule>
    <cfRule type="cellIs" dxfId="3658" priority="970" operator="equal">
      <formula>$O$18</formula>
    </cfRule>
    <cfRule type="cellIs" dxfId="3657" priority="971" operator="equal">
      <formula>$O$17</formula>
    </cfRule>
    <cfRule type="cellIs" dxfId="3656" priority="972" operator="equal">
      <formula>$O$16</formula>
    </cfRule>
    <cfRule type="cellIs" dxfId="3655" priority="973" operator="equal">
      <formula>$O$15</formula>
    </cfRule>
    <cfRule type="cellIs" dxfId="3654" priority="974" operator="equal">
      <formula>$O$14</formula>
    </cfRule>
    <cfRule type="duplicateValues" dxfId="3653" priority="984"/>
    <cfRule type="duplicateValues" dxfId="3652" priority="985"/>
    <cfRule type="cellIs" dxfId="3651" priority="986" operator="equal">
      <formula>$O$18</formula>
    </cfRule>
    <cfRule type="cellIs" dxfId="3650" priority="987" operator="equal">
      <formula>$O$17</formula>
    </cfRule>
    <cfRule type="cellIs" dxfId="3649" priority="988" operator="equal">
      <formula>$O$16</formula>
    </cfRule>
    <cfRule type="cellIs" dxfId="3648" priority="989" operator="equal">
      <formula>$O$15</formula>
    </cfRule>
  </conditionalFormatting>
  <conditionalFormatting sqref="F17:F19">
    <cfRule type="cellIs" dxfId="3647" priority="499" operator="equal">
      <formula>0</formula>
    </cfRule>
  </conditionalFormatting>
  <conditionalFormatting sqref="F18">
    <cfRule type="duplicateValues" dxfId="3646" priority="502"/>
  </conditionalFormatting>
  <conditionalFormatting sqref="F18:F19">
    <cfRule type="cellIs" dxfId="3645" priority="489" operator="equal">
      <formula>$O$14</formula>
    </cfRule>
    <cfRule type="duplicateValues" dxfId="3639" priority="517"/>
    <cfRule type="duplicateValues" dxfId="3638" priority="484"/>
    <cfRule type="cellIs" dxfId="3637" priority="485" operator="equal">
      <formula>$O$18</formula>
    </cfRule>
    <cfRule type="cellIs" dxfId="3636" priority="486" operator="equal">
      <formula>$O$17</formula>
    </cfRule>
    <cfRule type="cellIs" dxfId="3635" priority="487" operator="equal">
      <formula>$O$16</formula>
    </cfRule>
    <cfRule type="cellIs" dxfId="3634" priority="496" operator="equal">
      <formula>$O$7</formula>
    </cfRule>
    <cfRule type="cellIs" dxfId="3633" priority="488" operator="equal">
      <formula>$O$15</formula>
    </cfRule>
    <cfRule type="cellIs" dxfId="3632" priority="490" operator="equal">
      <formula>$O$13</formula>
    </cfRule>
    <cfRule type="cellIs" dxfId="3631" priority="491" operator="equal">
      <formula>$O$12</formula>
    </cfRule>
    <cfRule type="cellIs" dxfId="3630" priority="492" operator="equal">
      <formula>$O$11</formula>
    </cfRule>
    <cfRule type="cellIs" dxfId="3629" priority="493" operator="equal">
      <formula>$O$10</formula>
    </cfRule>
    <cfRule type="cellIs" dxfId="3628" priority="494" operator="equal">
      <formula>$O$9</formula>
    </cfRule>
    <cfRule type="cellIs" dxfId="3627" priority="495" operator="equal">
      <formula>$O$8</formula>
    </cfRule>
    <cfRule type="cellIs" dxfId="3626" priority="497" operator="equal">
      <formula>$O$6</formula>
    </cfRule>
    <cfRule type="cellIs" dxfId="3623" priority="498" operator="equal">
      <formula>$O$5</formula>
    </cfRule>
    <cfRule type="duplicateValues" dxfId="3622" priority="500"/>
    <cfRule type="duplicateValues" dxfId="3621" priority="501"/>
  </conditionalFormatting>
  <conditionalFormatting sqref="F19">
    <cfRule type="duplicateValues" dxfId="3617" priority="503"/>
  </conditionalFormatting>
  <conditionalFormatting sqref="F21 F24:F31">
    <cfRule type="duplicateValues" dxfId="3616" priority="1831"/>
  </conditionalFormatting>
  <conditionalFormatting sqref="F21 L21:M21 H21">
    <cfRule type="duplicateValues" dxfId="3615" priority="1795"/>
  </conditionalFormatting>
  <conditionalFormatting sqref="F21:F33">
    <cfRule type="duplicateValues" dxfId="3612" priority="1798"/>
  </conditionalFormatting>
  <conditionalFormatting sqref="F21:F34">
    <cfRule type="duplicateValues" dxfId="3611" priority="1835"/>
  </conditionalFormatting>
  <conditionalFormatting sqref="F22 L22 H22">
    <cfRule type="duplicateValues" dxfId="3610" priority="1794"/>
  </conditionalFormatting>
  <conditionalFormatting sqref="F22:F23">
    <cfRule type="duplicateValues" dxfId="3609" priority="1832"/>
    <cfRule type="duplicateValues" dxfId="3608" priority="1823"/>
    <cfRule type="duplicateValues" dxfId="3607" priority="1822"/>
  </conditionalFormatting>
  <conditionalFormatting sqref="F24 L24 H24">
    <cfRule type="duplicateValues" dxfId="3606" priority="1792"/>
  </conditionalFormatting>
  <conditionalFormatting sqref="F25 L25 H25">
    <cfRule type="duplicateValues" dxfId="3605" priority="1791"/>
  </conditionalFormatting>
  <conditionalFormatting sqref="F26 L26 H26">
    <cfRule type="duplicateValues" dxfId="3604" priority="1790"/>
  </conditionalFormatting>
  <conditionalFormatting sqref="F27 L27 H27">
    <cfRule type="duplicateValues" dxfId="3603" priority="1789"/>
  </conditionalFormatting>
  <conditionalFormatting sqref="F28 L28 H28">
    <cfRule type="duplicateValues" dxfId="3602" priority="1788"/>
  </conditionalFormatting>
  <conditionalFormatting sqref="F29 L29 H29">
    <cfRule type="duplicateValues" dxfId="3601" priority="1787"/>
  </conditionalFormatting>
  <conditionalFormatting sqref="F31">
    <cfRule type="duplicateValues" dxfId="3600" priority="1140"/>
    <cfRule type="duplicateValues" dxfId="3599" priority="1141"/>
    <cfRule type="duplicateValues" dxfId="3598" priority="1142"/>
    <cfRule type="duplicateValues" dxfId="3597" priority="1143"/>
    <cfRule type="duplicateValues" dxfId="3596" priority="1144"/>
    <cfRule type="duplicateValues" dxfId="3594" priority="1146"/>
    <cfRule type="duplicateValues" dxfId="3593" priority="1148"/>
    <cfRule type="duplicateValues" dxfId="3591" priority="1121"/>
    <cfRule type="duplicateValues" dxfId="3590" priority="1147"/>
    <cfRule type="duplicateValues" dxfId="3589" priority="1122"/>
    <cfRule type="duplicateValues" dxfId="3588" priority="1123"/>
    <cfRule type="duplicateValues" dxfId="3586" priority="1119"/>
  </conditionalFormatting>
  <conditionalFormatting sqref="F32 L32 H32">
    <cfRule type="duplicateValues" dxfId="3584" priority="1784"/>
  </conditionalFormatting>
  <conditionalFormatting sqref="F32:F33">
    <cfRule type="duplicateValues" dxfId="3583" priority="1827"/>
  </conditionalFormatting>
  <conditionalFormatting sqref="F33 L33 H33">
    <cfRule type="duplicateValues" dxfId="3582" priority="1783"/>
  </conditionalFormatting>
  <conditionalFormatting sqref="F34 L34 H34">
    <cfRule type="duplicateValues" dxfId="3581" priority="1649"/>
  </conditionalFormatting>
  <conditionalFormatting sqref="F34">
    <cfRule type="cellIs" dxfId="3579" priority="1101" operator="equal">
      <formula>$O$17</formula>
    </cfRule>
    <cfRule type="cellIs" dxfId="3578" priority="1100" operator="equal">
      <formula>$O$18</formula>
    </cfRule>
    <cfRule type="cellIs" dxfId="3577" priority="1099" operator="equal">
      <formula>$O$10</formula>
    </cfRule>
    <cfRule type="cellIs" dxfId="3575" priority="1102" operator="equal">
      <formula>$O$16</formula>
    </cfRule>
    <cfRule type="cellIs" dxfId="3574" priority="1103" operator="equal">
      <formula>$O$15</formula>
    </cfRule>
    <cfRule type="cellIs" dxfId="3573" priority="1104" operator="equal">
      <formula>$O$14</formula>
    </cfRule>
    <cfRule type="cellIs" dxfId="3572" priority="1105" operator="equal">
      <formula>$O$13</formula>
    </cfRule>
    <cfRule type="cellIs" dxfId="3571" priority="1106" operator="equal">
      <formula>$O$12</formula>
    </cfRule>
    <cfRule type="cellIs" dxfId="3570" priority="1107" operator="equal">
      <formula>$O$11</formula>
    </cfRule>
    <cfRule type="duplicateValues" dxfId="3569" priority="1108"/>
  </conditionalFormatting>
  <conditionalFormatting sqref="F35">
    <cfRule type="duplicateValues" dxfId="3560" priority="358"/>
    <cfRule type="duplicateValues" dxfId="3554" priority="752"/>
    <cfRule type="duplicateValues" dxfId="3553" priority="742"/>
    <cfRule type="duplicateValues" dxfId="3552" priority="743"/>
    <cfRule type="duplicateValues" dxfId="3547" priority="367"/>
    <cfRule type="duplicateValues" dxfId="3536" priority="357"/>
  </conditionalFormatting>
  <conditionalFormatting sqref="F35:F36">
    <cfRule type="duplicateValues" dxfId="3534" priority="769"/>
    <cfRule type="cellIs" dxfId="3533" priority="318" operator="equal">
      <formula>$O$10</formula>
    </cfRule>
    <cfRule type="cellIs" dxfId="3532" priority="319" operator="equal">
      <formula>$O$18</formula>
    </cfRule>
    <cfRule type="cellIs" dxfId="3531" priority="320" operator="equal">
      <formula>$O$17</formula>
    </cfRule>
    <cfRule type="cellIs" dxfId="3530" priority="321" operator="equal">
      <formula>$O$16</formula>
    </cfRule>
    <cfRule type="cellIs" dxfId="3529" priority="322" operator="equal">
      <formula>$O$15</formula>
    </cfRule>
    <cfRule type="cellIs" dxfId="3528" priority="323" operator="equal">
      <formula>$O$14</formula>
    </cfRule>
    <cfRule type="cellIs" dxfId="3527" priority="324" operator="equal">
      <formula>$O$13</formula>
    </cfRule>
    <cfRule type="cellIs" dxfId="3526" priority="325" operator="equal">
      <formula>$O$12</formula>
    </cfRule>
    <cfRule type="cellIs" dxfId="3525" priority="326" operator="equal">
      <formula>$O$11</formula>
    </cfRule>
    <cfRule type="cellIs" dxfId="3524" priority="343" operator="equal">
      <formula>$O$9</formula>
    </cfRule>
    <cfRule type="cellIs" dxfId="3523" priority="344" operator="equal">
      <formula>$O$8</formula>
    </cfRule>
    <cfRule type="cellIs" dxfId="3522" priority="345" operator="equal">
      <formula>$O$7</formula>
    </cfRule>
    <cfRule type="cellIs" dxfId="3521" priority="346" operator="equal">
      <formula>$O$6</formula>
    </cfRule>
    <cfRule type="cellIs" dxfId="3520" priority="347" operator="equal">
      <formula>$O$5</formula>
    </cfRule>
    <cfRule type="duplicateValues" dxfId="3519" priority="374"/>
    <cfRule type="duplicateValues" dxfId="3518" priority="375"/>
    <cfRule type="duplicateValues" dxfId="3517" priority="376"/>
    <cfRule type="duplicateValues" dxfId="3516" priority="377"/>
    <cfRule type="duplicateValues" dxfId="3515" priority="378"/>
    <cfRule type="cellIs" dxfId="3514" priority="703" operator="equal">
      <formula>$O$10</formula>
    </cfRule>
    <cfRule type="cellIs" dxfId="3513" priority="704" operator="equal">
      <formula>$O$18</formula>
    </cfRule>
    <cfRule type="cellIs" dxfId="3512" priority="705" operator="equal">
      <formula>$O$17</formula>
    </cfRule>
    <cfRule type="cellIs" dxfId="3511" priority="706" operator="equal">
      <formula>$O$16</formula>
    </cfRule>
    <cfRule type="cellIs" dxfId="3510" priority="707" operator="equal">
      <formula>$O$15</formula>
    </cfRule>
    <cfRule type="cellIs" dxfId="3509" priority="708" operator="equal">
      <formula>$O$14</formula>
    </cfRule>
    <cfRule type="cellIs" dxfId="3508" priority="709" operator="equal">
      <formula>$O$13</formula>
    </cfRule>
    <cfRule type="cellIs" dxfId="3507" priority="710" operator="equal">
      <formula>$O$12</formula>
    </cfRule>
    <cfRule type="cellIs" dxfId="3506" priority="711" operator="equal">
      <formula>$O$11</formula>
    </cfRule>
    <cfRule type="cellIs" dxfId="3505" priority="728" operator="equal">
      <formula>$O$9</formula>
    </cfRule>
    <cfRule type="cellIs" dxfId="3504" priority="729" operator="equal">
      <formula>$O$8</formula>
    </cfRule>
    <cfRule type="cellIs" dxfId="3503" priority="730" operator="equal">
      <formula>$O$7</formula>
    </cfRule>
    <cfRule type="cellIs" dxfId="3502" priority="731" operator="equal">
      <formula>$O$6</formula>
    </cfRule>
    <cfRule type="cellIs" dxfId="3501" priority="732" operator="equal">
      <formula>$O$5</formula>
    </cfRule>
    <cfRule type="duplicateValues" dxfId="3500" priority="760"/>
  </conditionalFormatting>
  <conditionalFormatting sqref="F36">
    <cfRule type="duplicateValues" dxfId="3491" priority="338"/>
    <cfRule type="duplicateValues" dxfId="3489" priority="327"/>
    <cfRule type="duplicateValues" dxfId="3487" priority="723"/>
    <cfRule type="duplicateValues" dxfId="3477" priority="712"/>
  </conditionalFormatting>
  <conditionalFormatting sqref="F38 L38 H38 N38">
    <cfRule type="duplicateValues" dxfId="3475" priority="2314"/>
    <cfRule type="duplicateValues" dxfId="3474" priority="2182"/>
  </conditionalFormatting>
  <conditionalFormatting sqref="F38:F49">
    <cfRule type="duplicateValues" dxfId="3463" priority="2315"/>
    <cfRule type="duplicateValues" dxfId="3462" priority="2344"/>
    <cfRule type="duplicateValues" dxfId="3461" priority="2303"/>
  </conditionalFormatting>
  <conditionalFormatting sqref="F38:F50">
    <cfRule type="duplicateValues" dxfId="3460" priority="2186"/>
    <cfRule type="duplicateValues" dxfId="3459" priority="2046"/>
  </conditionalFormatting>
  <conditionalFormatting sqref="F38:F51">
    <cfRule type="duplicateValues" dxfId="3458" priority="1908"/>
    <cfRule type="duplicateValues" dxfId="3457" priority="1898"/>
  </conditionalFormatting>
  <conditionalFormatting sqref="F38:F53">
    <cfRule type="containsText" dxfId="3456" priority="890" operator="containsText" text="(HEM)">
      <formula>NOT(ISERROR(SEARCH("(HEM)",F38)))</formula>
    </cfRule>
    <cfRule type="containsText" dxfId="3455" priority="891" operator="containsText" text="(SV)">
      <formula>NOT(ISERROR(SEARCH("(SV)",F38)))</formula>
    </cfRule>
  </conditionalFormatting>
  <conditionalFormatting sqref="F39 L39 H39 N39">
    <cfRule type="duplicateValues" dxfId="3454" priority="2313"/>
    <cfRule type="duplicateValues" dxfId="3453" priority="2181"/>
  </conditionalFormatting>
  <conditionalFormatting sqref="F40 L40 H40 N40">
    <cfRule type="duplicateValues" dxfId="3452" priority="2312"/>
  </conditionalFormatting>
  <conditionalFormatting sqref="F41 L41 H41 N41">
    <cfRule type="duplicateValues" dxfId="3451" priority="2179"/>
    <cfRule type="duplicateValues" dxfId="3450" priority="2311"/>
  </conditionalFormatting>
  <conditionalFormatting sqref="F42 L42 H42 N42">
    <cfRule type="duplicateValues" dxfId="3449" priority="2178"/>
    <cfRule type="duplicateValues" dxfId="3448" priority="2310"/>
  </conditionalFormatting>
  <conditionalFormatting sqref="F43 L43 H43 N43">
    <cfRule type="duplicateValues" dxfId="3447" priority="2177"/>
    <cfRule type="duplicateValues" dxfId="3446" priority="2309"/>
  </conditionalFormatting>
  <conditionalFormatting sqref="F44 L44 H44 N44">
    <cfRule type="duplicateValues" dxfId="3445" priority="2176"/>
    <cfRule type="duplicateValues" dxfId="3444" priority="2308"/>
  </conditionalFormatting>
  <conditionalFormatting sqref="F45 L45 H45 N45">
    <cfRule type="duplicateValues" dxfId="3443" priority="2307"/>
    <cfRule type="duplicateValues" dxfId="3442" priority="2175"/>
  </conditionalFormatting>
  <conditionalFormatting sqref="F46 L46 H46 N46">
    <cfRule type="duplicateValues" dxfId="3441" priority="2174"/>
    <cfRule type="duplicateValues" dxfId="3440" priority="2306"/>
  </conditionalFormatting>
  <conditionalFormatting sqref="F47 L47 H47 N47">
    <cfRule type="duplicateValues" dxfId="3439" priority="2305"/>
    <cfRule type="duplicateValues" dxfId="3438" priority="2173"/>
  </conditionalFormatting>
  <conditionalFormatting sqref="F48 L48 H48 N48">
    <cfRule type="duplicateValues" dxfId="3437" priority="2304"/>
    <cfRule type="duplicateValues" dxfId="3436" priority="2172"/>
  </conditionalFormatting>
  <conditionalFormatting sqref="F49 H49">
    <cfRule type="duplicateValues" dxfId="3431" priority="2271"/>
  </conditionalFormatting>
  <conditionalFormatting sqref="F49">
    <cfRule type="duplicateValues" dxfId="3430" priority="2270"/>
    <cfRule type="duplicateValues" dxfId="3429" priority="2279"/>
    <cfRule type="duplicateValues" dxfId="3428" priority="2277"/>
    <cfRule type="duplicateValues" dxfId="3427" priority="2272"/>
    <cfRule type="duplicateValues" dxfId="3426" priority="2261"/>
    <cfRule type="duplicateValues" dxfId="3425" priority="2269"/>
  </conditionalFormatting>
  <conditionalFormatting sqref="F50 H50">
    <cfRule type="duplicateValues" dxfId="3424" priority="2139"/>
  </conditionalFormatting>
  <conditionalFormatting sqref="F50 L50 H50 N50">
    <cfRule type="duplicateValues" dxfId="3419" priority="2055"/>
  </conditionalFormatting>
  <conditionalFormatting sqref="F50">
    <cfRule type="duplicateValues" dxfId="3418" priority="2147"/>
    <cfRule type="duplicateValues" dxfId="3417" priority="2145"/>
    <cfRule type="duplicateValues" dxfId="3416" priority="2129"/>
    <cfRule type="duplicateValues" dxfId="3415" priority="2137"/>
    <cfRule type="duplicateValues" dxfId="3414" priority="2138"/>
    <cfRule type="duplicateValues" dxfId="3413" priority="2140"/>
  </conditionalFormatting>
  <conditionalFormatting sqref="F51 H51 L51 N51">
    <cfRule type="cellIs" dxfId="3412" priority="2041" operator="equal">
      <formula>$O$14</formula>
    </cfRule>
    <cfRule type="cellIs" dxfId="3411" priority="2040" operator="equal">
      <formula>$O$15</formula>
    </cfRule>
    <cfRule type="cellIs" dxfId="3410" priority="2039" operator="equal">
      <formula>$O$16</formula>
    </cfRule>
  </conditionalFormatting>
  <conditionalFormatting sqref="F51 H51">
    <cfRule type="cellIs" dxfId="3409" priority="2043" operator="equal">
      <formula>$O$12</formula>
    </cfRule>
    <cfRule type="cellIs" dxfId="3408" priority="2044" operator="equal">
      <formula>$O$11</formula>
    </cfRule>
    <cfRule type="cellIs" dxfId="3407" priority="2042" operator="equal">
      <formula>$O$13</formula>
    </cfRule>
    <cfRule type="duplicateValues" dxfId="3403" priority="1994"/>
  </conditionalFormatting>
  <conditionalFormatting sqref="F51 L51 H51 N51">
    <cfRule type="duplicateValues" dxfId="3401" priority="1910"/>
  </conditionalFormatting>
  <conditionalFormatting sqref="F51">
    <cfRule type="duplicateValues" dxfId="3400" priority="2002"/>
    <cfRule type="duplicateValues" dxfId="3399" priority="2000"/>
    <cfRule type="duplicateValues" dxfId="3398" priority="1995"/>
    <cfRule type="duplicateValues" dxfId="3397" priority="1909"/>
    <cfRule type="duplicateValues" dxfId="3396" priority="1993"/>
    <cfRule type="duplicateValues" dxfId="3395" priority="1992"/>
    <cfRule type="duplicateValues" dxfId="3394" priority="1984"/>
    <cfRule type="duplicateValues" dxfId="3393" priority="2029"/>
  </conditionalFormatting>
  <conditionalFormatting sqref="F52">
    <cfRule type="duplicateValues" dxfId="3392" priority="893"/>
    <cfRule type="duplicateValues" dxfId="3391" priority="896"/>
  </conditionalFormatting>
  <conditionalFormatting sqref="F52:F53 H52:H53">
    <cfRule type="cellIs" dxfId="3390" priority="939" operator="equal">
      <formula>$O$11</formula>
    </cfRule>
    <cfRule type="cellIs" dxfId="3389" priority="937" operator="equal">
      <formula>$O$13</formula>
    </cfRule>
    <cfRule type="cellIs" dxfId="3388" priority="936" operator="equal">
      <formula>$O$14</formula>
    </cfRule>
    <cfRule type="cellIs" dxfId="3387" priority="935" operator="equal">
      <formula>$O$15</formula>
    </cfRule>
    <cfRule type="cellIs" dxfId="3386" priority="934" operator="equal">
      <formula>$O$16</formula>
    </cfRule>
    <cfRule type="cellIs" dxfId="3385" priority="938" operator="equal">
      <formula>$O$12</formula>
    </cfRule>
  </conditionalFormatting>
  <conditionalFormatting sqref="F52:F53">
    <cfRule type="cellIs" dxfId="3378" priority="898" operator="equal">
      <formula>$O$13</formula>
    </cfRule>
    <cfRule type="duplicateValues" dxfId="3377" priority="894"/>
    <cfRule type="duplicateValues" dxfId="3376" priority="897"/>
    <cfRule type="cellIs" dxfId="3375" priority="899" operator="equal">
      <formula>$O$12</formula>
    </cfRule>
    <cfRule type="cellIs" dxfId="3374" priority="900" operator="equal">
      <formula>$O$11</formula>
    </cfRule>
    <cfRule type="cellIs" dxfId="3373" priority="901" operator="equal">
      <formula>$O$10</formula>
    </cfRule>
    <cfRule type="cellIs" dxfId="3372" priority="902" operator="equal">
      <formula>$O$9</formula>
    </cfRule>
    <cfRule type="cellIs" dxfId="3371" priority="903" operator="equal">
      <formula>$O$8</formula>
    </cfRule>
    <cfRule type="cellIs" dxfId="3370" priority="904" operator="equal">
      <formula>$O$7</formula>
    </cfRule>
    <cfRule type="cellIs" dxfId="3369" priority="905" operator="equal">
      <formula>$O$6</formula>
    </cfRule>
    <cfRule type="cellIs" dxfId="3368" priority="906" operator="equal">
      <formula>$O$5</formula>
    </cfRule>
    <cfRule type="cellIs" dxfId="3367" priority="908" operator="equal">
      <formula>$O$18</formula>
    </cfRule>
    <cfRule type="cellIs" dxfId="3366" priority="909" operator="equal">
      <formula>$O$17</formula>
    </cfRule>
    <cfRule type="duplicateValues" dxfId="3365" priority="910"/>
    <cfRule type="duplicateValues" dxfId="3363" priority="933"/>
    <cfRule type="duplicateValues" dxfId="3362" priority="931"/>
    <cfRule type="duplicateValues" dxfId="3361" priority="930"/>
  </conditionalFormatting>
  <conditionalFormatting sqref="F53">
    <cfRule type="duplicateValues" dxfId="3357" priority="892"/>
    <cfRule type="duplicateValues" dxfId="3356" priority="895"/>
  </conditionalFormatting>
  <conditionalFormatting sqref="G18">
    <cfRule type="duplicateValues" dxfId="3355" priority="480"/>
  </conditionalFormatting>
  <conditionalFormatting sqref="G18:G19">
    <cfRule type="cellIs" dxfId="3354" priority="479" operator="equal">
      <formula>0</formula>
    </cfRule>
  </conditionalFormatting>
  <conditionalFormatting sqref="G19">
    <cfRule type="duplicateValues" dxfId="3353" priority="481"/>
  </conditionalFormatting>
  <conditionalFormatting sqref="G21">
    <cfRule type="duplicateValues" dxfId="3352" priority="44"/>
  </conditionalFormatting>
  <conditionalFormatting sqref="G21:G34">
    <cfRule type="cellIs" dxfId="3351" priority="31" operator="equal">
      <formula>$O$5</formula>
    </cfRule>
    <cfRule type="cellIs" dxfId="3350" priority="30" operator="equal">
      <formula>$O$6</formula>
    </cfRule>
    <cfRule type="cellIs" dxfId="3349" priority="29" operator="equal">
      <formula>$O$7</formula>
    </cfRule>
    <cfRule type="cellIs" dxfId="3348" priority="28" operator="equal">
      <formula>$O$8</formula>
    </cfRule>
    <cfRule type="cellIs" dxfId="3347" priority="26" operator="equal">
      <formula>$O$11</formula>
    </cfRule>
    <cfRule type="cellIs" dxfId="3346" priority="27" operator="equal">
      <formula>$O$9</formula>
    </cfRule>
  </conditionalFormatting>
  <conditionalFormatting sqref="G22">
    <cfRule type="duplicateValues" dxfId="3345" priority="43"/>
  </conditionalFormatting>
  <conditionalFormatting sqref="G23">
    <cfRule type="duplicateValues" dxfId="3344" priority="42"/>
  </conditionalFormatting>
  <conditionalFormatting sqref="G25">
    <cfRule type="duplicateValues" dxfId="3343" priority="41"/>
  </conditionalFormatting>
  <conditionalFormatting sqref="G26">
    <cfRule type="duplicateValues" dxfId="3342" priority="40"/>
  </conditionalFormatting>
  <conditionalFormatting sqref="G27">
    <cfRule type="duplicateValues" dxfId="3341" priority="39"/>
  </conditionalFormatting>
  <conditionalFormatting sqref="G28">
    <cfRule type="duplicateValues" dxfId="3340" priority="38"/>
  </conditionalFormatting>
  <conditionalFormatting sqref="G29">
    <cfRule type="duplicateValues" dxfId="3339" priority="37"/>
  </conditionalFormatting>
  <conditionalFormatting sqref="G30">
    <cfRule type="duplicateValues" dxfId="3338" priority="36"/>
  </conditionalFormatting>
  <conditionalFormatting sqref="G31">
    <cfRule type="duplicateValues" dxfId="3337" priority="35"/>
  </conditionalFormatting>
  <conditionalFormatting sqref="G32">
    <cfRule type="duplicateValues" dxfId="3336" priority="34"/>
  </conditionalFormatting>
  <conditionalFormatting sqref="G33">
    <cfRule type="duplicateValues" dxfId="3335" priority="33"/>
  </conditionalFormatting>
  <conditionalFormatting sqref="G34">
    <cfRule type="duplicateValues" dxfId="3334" priority="25"/>
    <cfRule type="duplicateValues" dxfId="3333" priority="24"/>
    <cfRule type="duplicateValues" dxfId="3332" priority="23"/>
  </conditionalFormatting>
  <conditionalFormatting sqref="G35">
    <cfRule type="duplicateValues" dxfId="3331" priority="700"/>
  </conditionalFormatting>
  <conditionalFormatting sqref="G36">
    <cfRule type="duplicateValues" dxfId="3330" priority="699"/>
    <cfRule type="duplicateValues" dxfId="3329" priority="698"/>
    <cfRule type="duplicateValues" dxfId="3328" priority="697"/>
  </conditionalFormatting>
  <conditionalFormatting sqref="G38">
    <cfRule type="duplicateValues" dxfId="3327" priority="159"/>
    <cfRule type="duplicateValues" dxfId="3326" priority="132"/>
  </conditionalFormatting>
  <conditionalFormatting sqref="G39">
    <cfRule type="duplicateValues" dxfId="3325" priority="158"/>
    <cfRule type="duplicateValues" dxfId="3324" priority="146"/>
  </conditionalFormatting>
  <conditionalFormatting sqref="G40">
    <cfRule type="duplicateValues" dxfId="3323" priority="157"/>
    <cfRule type="duplicateValues" dxfId="3322" priority="145"/>
  </conditionalFormatting>
  <conditionalFormatting sqref="G41">
    <cfRule type="duplicateValues" dxfId="3321" priority="156"/>
    <cfRule type="duplicateValues" dxfId="3320" priority="144"/>
  </conditionalFormatting>
  <conditionalFormatting sqref="G42">
    <cfRule type="duplicateValues" dxfId="3319" priority="155"/>
    <cfRule type="duplicateValues" dxfId="3318" priority="143"/>
  </conditionalFormatting>
  <conditionalFormatting sqref="G43">
    <cfRule type="duplicateValues" dxfId="3317" priority="154"/>
    <cfRule type="duplicateValues" dxfId="3316" priority="142"/>
  </conditionalFormatting>
  <conditionalFormatting sqref="G44">
    <cfRule type="duplicateValues" dxfId="3315" priority="153"/>
    <cfRule type="duplicateValues" dxfId="3314" priority="141"/>
  </conditionalFormatting>
  <conditionalFormatting sqref="G45">
    <cfRule type="duplicateValues" dxfId="3313" priority="140"/>
    <cfRule type="duplicateValues" dxfId="3312" priority="152"/>
  </conditionalFormatting>
  <conditionalFormatting sqref="G46">
    <cfRule type="duplicateValues" dxfId="3311" priority="139"/>
    <cfRule type="duplicateValues" dxfId="3310" priority="151"/>
  </conditionalFormatting>
  <conditionalFormatting sqref="G47">
    <cfRule type="duplicateValues" dxfId="3309" priority="138"/>
    <cfRule type="duplicateValues" dxfId="3308" priority="150"/>
  </conditionalFormatting>
  <conditionalFormatting sqref="G48">
    <cfRule type="duplicateValues" dxfId="3307" priority="149"/>
    <cfRule type="duplicateValues" dxfId="3306" priority="137"/>
  </conditionalFormatting>
  <conditionalFormatting sqref="G49">
    <cfRule type="duplicateValues" dxfId="3305" priority="148"/>
    <cfRule type="duplicateValues" dxfId="3304" priority="136"/>
    <cfRule type="duplicateValues" dxfId="3303" priority="147"/>
  </conditionalFormatting>
  <conditionalFormatting sqref="G50">
    <cfRule type="duplicateValues" dxfId="3302" priority="135"/>
    <cfRule type="duplicateValues" dxfId="3301" priority="134"/>
  </conditionalFormatting>
  <conditionalFormatting sqref="G51">
    <cfRule type="duplicateValues" dxfId="3300" priority="130"/>
    <cfRule type="duplicateValues" dxfId="3299" priority="129"/>
  </conditionalFormatting>
  <conditionalFormatting sqref="G52">
    <cfRule type="duplicateValues" dxfId="3298" priority="922"/>
    <cfRule type="duplicateValues" dxfId="3297" priority="924"/>
  </conditionalFormatting>
  <conditionalFormatting sqref="G53">
    <cfRule type="duplicateValues" dxfId="3296" priority="921"/>
    <cfRule type="duplicateValues" dxfId="3295" priority="923"/>
  </conditionalFormatting>
  <conditionalFormatting sqref="H5 F5 L5 N5">
    <cfRule type="duplicateValues" dxfId="3294" priority="1581"/>
  </conditionalFormatting>
  <conditionalFormatting sqref="H5">
    <cfRule type="duplicateValues" dxfId="3293" priority="1599"/>
    <cfRule type="duplicateValues" dxfId="3292" priority="1598"/>
  </conditionalFormatting>
  <conditionalFormatting sqref="H5:H16">
    <cfRule type="duplicateValues" dxfId="3291" priority="1601"/>
    <cfRule type="duplicateValues" dxfId="3290" priority="1595"/>
    <cfRule type="duplicateValues" dxfId="3289" priority="1594"/>
    <cfRule type="duplicateValues" dxfId="3288" priority="1576"/>
  </conditionalFormatting>
  <conditionalFormatting sqref="H5:H17 H21:H34">
    <cfRule type="duplicateValues" dxfId="3287" priority="957"/>
  </conditionalFormatting>
  <conditionalFormatting sqref="H5:H17 L5:L17 N5:N17 F5:F16">
    <cfRule type="cellIs" dxfId="3286" priority="1560" operator="equal">
      <formula>$O$17</formula>
    </cfRule>
    <cfRule type="cellIs" dxfId="3285" priority="1559" operator="equal">
      <formula>$O$18</formula>
    </cfRule>
    <cfRule type="cellIs" dxfId="3284" priority="1572" operator="equal">
      <formula>$O$5</formula>
    </cfRule>
    <cfRule type="cellIs" dxfId="3283" priority="1571" operator="equal">
      <formula>$O$6</formula>
    </cfRule>
    <cfRule type="cellIs" dxfId="3282" priority="1570" operator="equal">
      <formula>$O$7</formula>
    </cfRule>
    <cfRule type="cellIs" dxfId="3281" priority="1569" operator="equal">
      <formula>$O$8</formula>
    </cfRule>
    <cfRule type="cellIs" dxfId="3280" priority="1568" operator="equal">
      <formula>$O$9</formula>
    </cfRule>
    <cfRule type="cellIs" dxfId="3279" priority="1567" operator="equal">
      <formula>$O$10</formula>
    </cfRule>
    <cfRule type="cellIs" dxfId="3278" priority="1566" operator="equal">
      <formula>$O$11</formula>
    </cfRule>
    <cfRule type="cellIs" dxfId="3277" priority="1565" operator="equal">
      <formula>$O$12</formula>
    </cfRule>
    <cfRule type="cellIs" dxfId="3276" priority="1564" operator="equal">
      <formula>$O$13</formula>
    </cfRule>
    <cfRule type="cellIs" dxfId="3275" priority="1563" operator="equal">
      <formula>$O$14</formula>
    </cfRule>
    <cfRule type="cellIs" dxfId="3274" priority="1562" operator="equal">
      <formula>$O$15</formula>
    </cfRule>
    <cfRule type="cellIs" dxfId="3273" priority="1561" operator="equal">
      <formula>$O$16</formula>
    </cfRule>
  </conditionalFormatting>
  <conditionalFormatting sqref="H5:H17">
    <cfRule type="duplicateValues" dxfId="3272" priority="1558"/>
  </conditionalFormatting>
  <conditionalFormatting sqref="H15">
    <cfRule type="duplicateValues" dxfId="3271" priority="1587"/>
    <cfRule type="duplicateValues" dxfId="3270" priority="1586"/>
  </conditionalFormatting>
  <conditionalFormatting sqref="H16">
    <cfRule type="duplicateValues" dxfId="3269" priority="1573"/>
    <cfRule type="duplicateValues" dxfId="3268" priority="1574"/>
  </conditionalFormatting>
  <conditionalFormatting sqref="H17">
    <cfRule type="cellIs" dxfId="3267" priority="1350" operator="equal">
      <formula>$O$16</formula>
    </cfRule>
    <cfRule type="cellIs" dxfId="3266" priority="1349" operator="equal">
      <formula>$O$17</formula>
    </cfRule>
    <cfRule type="cellIs" dxfId="3265" priority="1348" operator="equal">
      <formula>$O$10</formula>
    </cfRule>
    <cfRule type="cellIs" dxfId="3264" priority="1347" operator="equal">
      <formula>$O$18</formula>
    </cfRule>
    <cfRule type="duplicateValues" dxfId="3263" priority="1346"/>
    <cfRule type="duplicateValues" dxfId="3262" priority="1345"/>
    <cfRule type="cellIs" dxfId="3261" priority="1344" operator="equal">
      <formula>$O$5</formula>
    </cfRule>
    <cfRule type="cellIs" dxfId="3260" priority="1343" operator="equal">
      <formula>$O$6</formula>
    </cfRule>
    <cfRule type="cellIs" dxfId="3259" priority="1342" operator="equal">
      <formula>$O$7</formula>
    </cfRule>
    <cfRule type="cellIs" dxfId="3258" priority="1341" operator="equal">
      <formula>$O$8</formula>
    </cfRule>
    <cfRule type="cellIs" dxfId="3257" priority="1340" operator="equal">
      <formula>$O$9</formula>
    </cfRule>
    <cfRule type="cellIs" dxfId="3256" priority="1339" operator="equal">
      <formula>$O$10</formula>
    </cfRule>
    <cfRule type="cellIs" dxfId="3255" priority="1337" operator="equal">
      <formula>$O$11</formula>
    </cfRule>
    <cfRule type="cellIs" dxfId="3254" priority="1336" operator="equal">
      <formula>$O$12</formula>
    </cfRule>
    <cfRule type="cellIs" dxfId="3253" priority="1335" operator="equal">
      <formula>$O$13</formula>
    </cfRule>
    <cfRule type="cellIs" dxfId="3252" priority="1333" operator="equal">
      <formula>$O$14</formula>
    </cfRule>
    <cfRule type="cellIs" dxfId="3251" priority="1332" operator="equal">
      <formula>$O$15</formula>
    </cfRule>
    <cfRule type="cellIs" dxfId="3250" priority="1331" operator="equal">
      <formula>$O$16</formula>
    </cfRule>
    <cfRule type="cellIs" dxfId="3249" priority="1330" operator="equal">
      <formula>$O$17</formula>
    </cfRule>
    <cfRule type="cellIs" dxfId="3248" priority="1329" operator="equal">
      <formula>$O$18</formula>
    </cfRule>
    <cfRule type="duplicateValues" dxfId="3247" priority="1328"/>
    <cfRule type="duplicateValues" dxfId="3246" priority="1327"/>
    <cfRule type="cellIs" dxfId="3245" priority="1317" operator="equal">
      <formula>$O$14</formula>
    </cfRule>
    <cfRule type="cellIs" dxfId="3244" priority="1316" operator="equal">
      <formula>$O$15</formula>
    </cfRule>
    <cfRule type="cellIs" dxfId="3243" priority="1315" operator="equal">
      <formula>$O$16</formula>
    </cfRule>
    <cfRule type="cellIs" dxfId="3242" priority="1314" operator="equal">
      <formula>$O$17</formula>
    </cfRule>
    <cfRule type="cellIs" dxfId="3241" priority="1313" operator="equal">
      <formula>$O$18</formula>
    </cfRule>
    <cfRule type="cellIs" dxfId="3240" priority="1311" operator="equal">
      <formula>$O$5</formula>
    </cfRule>
    <cfRule type="cellIs" dxfId="3239" priority="1310" operator="equal">
      <formula>$O$6</formula>
    </cfRule>
    <cfRule type="cellIs" dxfId="3238" priority="1309" operator="equal">
      <formula>$O$7</formula>
    </cfRule>
    <cfRule type="cellIs" dxfId="3237" priority="1308" operator="equal">
      <formula>$O$8</formula>
    </cfRule>
    <cfRule type="cellIs" dxfId="3236" priority="1307" operator="equal">
      <formula>$O$9</formula>
    </cfRule>
    <cfRule type="cellIs" dxfId="3235" priority="1306" operator="equal">
      <formula>$O$10</formula>
    </cfRule>
    <cfRule type="cellIs" dxfId="3234" priority="1305" operator="equal">
      <formula>$O$11</formula>
    </cfRule>
    <cfRule type="cellIs" dxfId="3233" priority="1304" operator="equal">
      <formula>$O$12</formula>
    </cfRule>
    <cfRule type="cellIs" dxfId="3232" priority="1303" operator="equal">
      <formula>$O$13</formula>
    </cfRule>
    <cfRule type="duplicateValues" dxfId="3231" priority="1302"/>
    <cfRule type="duplicateValues" dxfId="3230" priority="1300"/>
    <cfRule type="cellIs" dxfId="3229" priority="1522" operator="equal">
      <formula>$O$17</formula>
    </cfRule>
    <cfRule type="cellIs" dxfId="3228" priority="1555" operator="equal">
      <formula>$O$5</formula>
    </cfRule>
    <cfRule type="cellIs" dxfId="3227" priority="1554" operator="equal">
      <formula>$O$6</formula>
    </cfRule>
    <cfRule type="cellIs" dxfId="3226" priority="1553" operator="equal">
      <formula>$O$7</formula>
    </cfRule>
    <cfRule type="cellIs" dxfId="3225" priority="1552" operator="equal">
      <formula>$O$8</formula>
    </cfRule>
    <cfRule type="cellIs" dxfId="3224" priority="1550" operator="equal">
      <formula>$O$9</formula>
    </cfRule>
    <cfRule type="cellIs" dxfId="3223" priority="1547" operator="equal">
      <formula>$O$11</formula>
    </cfRule>
    <cfRule type="cellIs" dxfId="3222" priority="1546" operator="equal">
      <formula>$O$12</formula>
    </cfRule>
    <cfRule type="cellIs" dxfId="3221" priority="1545" operator="equal">
      <formula>$O$13</formula>
    </cfRule>
    <cfRule type="cellIs" dxfId="3220" priority="1544" operator="equal">
      <formula>$O$14</formula>
    </cfRule>
    <cfRule type="cellIs" dxfId="3219" priority="1543" operator="equal">
      <formula>$O$15</formula>
    </cfRule>
    <cfRule type="cellIs" dxfId="3218" priority="1542" operator="equal">
      <formula>$O$16</formula>
    </cfRule>
    <cfRule type="cellIs" dxfId="3217" priority="1541" operator="equal">
      <formula>$O$17</formula>
    </cfRule>
    <cfRule type="cellIs" dxfId="3216" priority="1540" operator="equal">
      <formula>$O$10</formula>
    </cfRule>
    <cfRule type="cellIs" dxfId="3215" priority="1539" operator="equal">
      <formula>$O$18</formula>
    </cfRule>
    <cfRule type="duplicateValues" dxfId="3214" priority="1538"/>
    <cfRule type="duplicateValues" dxfId="3213" priority="1537"/>
    <cfRule type="cellIs" dxfId="3212" priority="1536" operator="equal">
      <formula>$O$5</formula>
    </cfRule>
    <cfRule type="cellIs" dxfId="3211" priority="1535" operator="equal">
      <formula>$O$6</formula>
    </cfRule>
    <cfRule type="cellIs" dxfId="3210" priority="1534" operator="equal">
      <formula>$O$7</formula>
    </cfRule>
    <cfRule type="cellIs" dxfId="3209" priority="1533" operator="equal">
      <formula>$O$8</formula>
    </cfRule>
    <cfRule type="cellIs" dxfId="3208" priority="1532" operator="equal">
      <formula>$O$9</formula>
    </cfRule>
    <cfRule type="cellIs" dxfId="3207" priority="1531" operator="equal">
      <formula>$O$10</formula>
    </cfRule>
    <cfRule type="cellIs" dxfId="3206" priority="1529" operator="equal">
      <formula>$O$11</formula>
    </cfRule>
    <cfRule type="cellIs" dxfId="3205" priority="1528" operator="equal">
      <formula>$O$12</formula>
    </cfRule>
    <cfRule type="cellIs" dxfId="3204" priority="1527" operator="equal">
      <formula>$O$13</formula>
    </cfRule>
    <cfRule type="cellIs" dxfId="3203" priority="1525" operator="equal">
      <formula>$O$14</formula>
    </cfRule>
    <cfRule type="cellIs" dxfId="3202" priority="1524" operator="equal">
      <formula>$O$15</formula>
    </cfRule>
    <cfRule type="cellIs" dxfId="3201" priority="1523" operator="equal">
      <formula>$O$16</formula>
    </cfRule>
    <cfRule type="cellIs" dxfId="3200" priority="1521" operator="equal">
      <formula>$O$18</formula>
    </cfRule>
    <cfRule type="duplicateValues" dxfId="3199" priority="1520"/>
    <cfRule type="duplicateValues" dxfId="3198" priority="1519"/>
    <cfRule type="cellIs" dxfId="3197" priority="1509" operator="equal">
      <formula>$O$14</formula>
    </cfRule>
    <cfRule type="cellIs" dxfId="3196" priority="1508" operator="equal">
      <formula>$O$15</formula>
    </cfRule>
    <cfRule type="cellIs" dxfId="3195" priority="1507" operator="equal">
      <formula>$O$16</formula>
    </cfRule>
    <cfRule type="cellIs" dxfId="3194" priority="1506" operator="equal">
      <formula>$O$17</formula>
    </cfRule>
    <cfRule type="cellIs" dxfId="3193" priority="1505" operator="equal">
      <formula>$O$18</formula>
    </cfRule>
    <cfRule type="cellIs" dxfId="3192" priority="1503" operator="equal">
      <formula>$O$5</formula>
    </cfRule>
    <cfRule type="cellIs" dxfId="3191" priority="1502" operator="equal">
      <formula>$O$6</formula>
    </cfRule>
    <cfRule type="cellIs" dxfId="3190" priority="1501" operator="equal">
      <formula>$O$7</formula>
    </cfRule>
    <cfRule type="cellIs" dxfId="3189" priority="1500" operator="equal">
      <formula>$O$8</formula>
    </cfRule>
    <cfRule type="cellIs" dxfId="3188" priority="1499" operator="equal">
      <formula>$O$9</formula>
    </cfRule>
    <cfRule type="cellIs" dxfId="3187" priority="1498" operator="equal">
      <formula>$O$10</formula>
    </cfRule>
    <cfRule type="cellIs" dxfId="3186" priority="1497" operator="equal">
      <formula>$O$11</formula>
    </cfRule>
    <cfRule type="cellIs" dxfId="3185" priority="1496" operator="equal">
      <formula>$O$12</formula>
    </cfRule>
    <cfRule type="cellIs" dxfId="3184" priority="1495" operator="equal">
      <formula>$O$13</formula>
    </cfRule>
    <cfRule type="duplicateValues" dxfId="3183" priority="1494"/>
    <cfRule type="duplicateValues" dxfId="3182" priority="1492"/>
    <cfRule type="cellIs" dxfId="3181" priority="1363" operator="equal">
      <formula>$O$5</formula>
    </cfRule>
    <cfRule type="cellIs" dxfId="3180" priority="1362" operator="equal">
      <formula>$O$6</formula>
    </cfRule>
    <cfRule type="cellIs" dxfId="3179" priority="1361" operator="equal">
      <formula>$O$7</formula>
    </cfRule>
    <cfRule type="cellIs" dxfId="3178" priority="1360" operator="equal">
      <formula>$O$8</formula>
    </cfRule>
    <cfRule type="cellIs" dxfId="3177" priority="1358" operator="equal">
      <formula>$O$9</formula>
    </cfRule>
    <cfRule type="cellIs" dxfId="3176" priority="1355" operator="equal">
      <formula>$O$11</formula>
    </cfRule>
    <cfRule type="cellIs" dxfId="3175" priority="1354" operator="equal">
      <formula>$O$12</formula>
    </cfRule>
    <cfRule type="cellIs" dxfId="3174" priority="1353" operator="equal">
      <formula>$O$13</formula>
    </cfRule>
    <cfRule type="cellIs" dxfId="3173" priority="1352" operator="equal">
      <formula>$O$14</formula>
    </cfRule>
    <cfRule type="cellIs" dxfId="3172" priority="1351" operator="equal">
      <formula>$O$15</formula>
    </cfRule>
  </conditionalFormatting>
  <conditionalFormatting sqref="H17:H19">
    <cfRule type="cellIs" dxfId="3171" priority="464" operator="equal">
      <formula>0</formula>
    </cfRule>
  </conditionalFormatting>
  <conditionalFormatting sqref="H18">
    <cfRule type="duplicateValues" dxfId="3170" priority="467"/>
  </conditionalFormatting>
  <conditionalFormatting sqref="H18:H19">
    <cfRule type="cellIs" dxfId="3169" priority="450" operator="equal">
      <formula>$O$18</formula>
    </cfRule>
    <cfRule type="cellIs" dxfId="3166" priority="453" operator="equal">
      <formula>$O$15</formula>
    </cfRule>
    <cfRule type="cellIs" dxfId="3165" priority="454" operator="equal">
      <formula>$O$14</formula>
    </cfRule>
    <cfRule type="cellIs" dxfId="3164" priority="455" operator="equal">
      <formula>$O$13</formula>
    </cfRule>
    <cfRule type="cellIs" dxfId="3163" priority="456" operator="equal">
      <formula>$O$12</formula>
    </cfRule>
    <cfRule type="cellIs" dxfId="3159" priority="463" operator="equal">
      <formula>$O$5</formula>
    </cfRule>
    <cfRule type="cellIs" dxfId="3157" priority="457" operator="equal">
      <formula>$O$11</formula>
    </cfRule>
    <cfRule type="cellIs" dxfId="3156" priority="458" operator="equal">
      <formula>$O$10</formula>
    </cfRule>
    <cfRule type="cellIs" dxfId="3155" priority="459" operator="equal">
      <formula>$O$9</formula>
    </cfRule>
    <cfRule type="cellIs" dxfId="3154" priority="460" operator="equal">
      <formula>$O$8</formula>
    </cfRule>
    <cfRule type="cellIs" dxfId="3153" priority="461" operator="equal">
      <formula>$O$7</formula>
    </cfRule>
    <cfRule type="duplicateValues" dxfId="3152" priority="482"/>
    <cfRule type="cellIs" dxfId="3151" priority="462" operator="equal">
      <formula>$O$6</formula>
    </cfRule>
    <cfRule type="duplicateValues" dxfId="3150" priority="449"/>
    <cfRule type="duplicateValues" dxfId="3149" priority="465"/>
    <cfRule type="cellIs" dxfId="3147" priority="451" operator="equal">
      <formula>$O$17</formula>
    </cfRule>
    <cfRule type="cellIs" dxfId="3146" priority="452" operator="equal">
      <formula>$O$16</formula>
    </cfRule>
    <cfRule type="duplicateValues" dxfId="3145" priority="466"/>
  </conditionalFormatting>
  <conditionalFormatting sqref="H19">
    <cfRule type="duplicateValues" dxfId="3141" priority="468"/>
  </conditionalFormatting>
  <conditionalFormatting sqref="H21 H24:H31">
    <cfRule type="duplicateValues" dxfId="3140" priority="1812"/>
  </conditionalFormatting>
  <conditionalFormatting sqref="H21">
    <cfRule type="duplicateValues" dxfId="3139" priority="1799"/>
  </conditionalFormatting>
  <conditionalFormatting sqref="H21:H31">
    <cfRule type="duplicateValues" dxfId="3138" priority="1830"/>
  </conditionalFormatting>
  <conditionalFormatting sqref="H21:H33 L21:L33 F21:F33">
    <cfRule type="cellIs" dxfId="3137" priority="1770" operator="equal">
      <formula>$O$14</formula>
    </cfRule>
    <cfRule type="cellIs" dxfId="3135" priority="1769" operator="equal">
      <formula>$O$15</formula>
    </cfRule>
    <cfRule type="cellIs" dxfId="3134" priority="1768" operator="equal">
      <formula>$O$16</formula>
    </cfRule>
  </conditionalFormatting>
  <conditionalFormatting sqref="H21:H33 L21:L33 F21:F34">
    <cfRule type="cellIs" dxfId="3127" priority="1756" operator="equal">
      <formula>$O$13</formula>
    </cfRule>
    <cfRule type="cellIs" dxfId="3126" priority="1757" operator="equal">
      <formula>$O$12</formula>
    </cfRule>
  </conditionalFormatting>
  <conditionalFormatting sqref="H21:H33 L21:L34 F21:F33">
    <cfRule type="cellIs" dxfId="3125" priority="1767" operator="equal">
      <formula>$O$17</formula>
    </cfRule>
    <cfRule type="cellIs" dxfId="3124" priority="1766" operator="equal">
      <formula>$O$18</formula>
    </cfRule>
  </conditionalFormatting>
  <conditionalFormatting sqref="H21:H33 L21:L34 F21:F34">
    <cfRule type="cellIs" dxfId="3123" priority="1759" operator="equal">
      <formula>$O$10</formula>
    </cfRule>
  </conditionalFormatting>
  <conditionalFormatting sqref="H21:H33">
    <cfRule type="duplicateValues" dxfId="3121" priority="1781"/>
    <cfRule type="duplicateValues" dxfId="3120" priority="1754"/>
  </conditionalFormatting>
  <conditionalFormatting sqref="H21:H34 L21:L34 F21:F34">
    <cfRule type="cellIs" dxfId="3118" priority="1762" operator="equal">
      <formula>$O$7</formula>
    </cfRule>
    <cfRule type="cellIs" dxfId="3117" priority="1758" operator="equal">
      <formula>$O$11</formula>
    </cfRule>
    <cfRule type="cellIs" dxfId="3116" priority="1764" operator="equal">
      <formula>$O$5</formula>
    </cfRule>
    <cfRule type="cellIs" dxfId="3115" priority="1763" operator="equal">
      <formula>$O$6</formula>
    </cfRule>
    <cfRule type="cellIs" dxfId="3114" priority="1761" operator="equal">
      <formula>$O$8</formula>
    </cfRule>
    <cfRule type="cellIs" dxfId="3113" priority="1760" operator="equal">
      <formula>$O$9</formula>
    </cfRule>
  </conditionalFormatting>
  <conditionalFormatting sqref="H21:H34">
    <cfRule type="duplicateValues" dxfId="3112" priority="1837"/>
    <cfRule type="duplicateValues" dxfId="3111" priority="1648"/>
  </conditionalFormatting>
  <conditionalFormatting sqref="H22:H23">
    <cfRule type="duplicateValues" dxfId="3110" priority="1811"/>
    <cfRule type="duplicateValues" dxfId="3109" priority="1813"/>
    <cfRule type="duplicateValues" dxfId="3108" priority="1810"/>
  </conditionalFormatting>
  <conditionalFormatting sqref="H23">
    <cfRule type="duplicateValues" dxfId="3106" priority="1136"/>
    <cfRule type="duplicateValues" dxfId="3105" priority="1134"/>
    <cfRule type="duplicateValues" dxfId="3104" priority="1137"/>
    <cfRule type="duplicateValues" dxfId="3103" priority="1138"/>
    <cfRule type="duplicateValues" dxfId="3102" priority="1133"/>
    <cfRule type="duplicateValues" dxfId="3101" priority="1139"/>
  </conditionalFormatting>
  <conditionalFormatting sqref="H27">
    <cfRule type="duplicateValues" dxfId="3100" priority="1156"/>
    <cfRule type="duplicateValues" dxfId="3099" priority="1158"/>
    <cfRule type="duplicateValues" dxfId="3098" priority="1159"/>
  </conditionalFormatting>
  <conditionalFormatting sqref="H32">
    <cfRule type="duplicateValues" dxfId="3096" priority="1169"/>
    <cfRule type="duplicateValues" dxfId="3094" priority="1168"/>
    <cfRule type="duplicateValues" dxfId="3093" priority="1166"/>
  </conditionalFormatting>
  <conditionalFormatting sqref="H32:H33">
    <cfRule type="duplicateValues" dxfId="3092" priority="1826"/>
  </conditionalFormatting>
  <conditionalFormatting sqref="H34">
    <cfRule type="duplicateValues" dxfId="3091" priority="1068"/>
    <cfRule type="cellIs" dxfId="3090" priority="1735" operator="equal">
      <formula>$O$11</formula>
    </cfRule>
    <cfRule type="cellIs" dxfId="3089" priority="1736" operator="equal">
      <formula>$O$10</formula>
    </cfRule>
    <cfRule type="cellIs" dxfId="3088" priority="1737" operator="equal">
      <formula>$O$9</formula>
    </cfRule>
    <cfRule type="cellIs" dxfId="3087" priority="1738" operator="equal">
      <formula>$O$8</formula>
    </cfRule>
    <cfRule type="cellIs" dxfId="3086" priority="1739" operator="equal">
      <formula>$O$7</formula>
    </cfRule>
    <cfRule type="cellIs" dxfId="3085" priority="1740" operator="equal">
      <formula>$O$6</formula>
    </cfRule>
    <cfRule type="cellIs" dxfId="3084" priority="1741" operator="equal">
      <formula>$O$5</formula>
    </cfRule>
    <cfRule type="duplicateValues" dxfId="3083" priority="1742"/>
    <cfRule type="cellIs" dxfId="3082" priority="1672" operator="equal">
      <formula>$O$11</formula>
    </cfRule>
    <cfRule type="cellIs" dxfId="3081" priority="1673" operator="equal">
      <formula>$O$10</formula>
    </cfRule>
    <cfRule type="cellIs" dxfId="3080" priority="1674" operator="equal">
      <formula>$O$9</formula>
    </cfRule>
    <cfRule type="cellIs" dxfId="3079" priority="1074" operator="equal">
      <formula>$O$8</formula>
    </cfRule>
    <cfRule type="cellIs" dxfId="3078" priority="1675" operator="equal">
      <formula>$O$8</formula>
    </cfRule>
    <cfRule type="cellIs" dxfId="3077" priority="1676" operator="equal">
      <formula>$O$7</formula>
    </cfRule>
    <cfRule type="cellIs" dxfId="3076" priority="1677" operator="equal">
      <formula>$O$6</formula>
    </cfRule>
    <cfRule type="duplicateValues" dxfId="3075" priority="1679"/>
    <cfRule type="cellIs" dxfId="3074" priority="1700" operator="equal">
      <formula>$O$13</formula>
    </cfRule>
    <cfRule type="cellIs" dxfId="3073" priority="1671" operator="equal">
      <formula>$O$12</formula>
    </cfRule>
    <cfRule type="cellIs" dxfId="3072" priority="1670" operator="equal">
      <formula>$O$13</formula>
    </cfRule>
    <cfRule type="cellIs" dxfId="3071" priority="1701" operator="equal">
      <formula>$O$12</formula>
    </cfRule>
    <cfRule type="cellIs" dxfId="3070" priority="1702" operator="equal">
      <formula>$O$11</formula>
    </cfRule>
    <cfRule type="cellIs" dxfId="3069" priority="1703" operator="equal">
      <formula>$O$10</formula>
    </cfRule>
    <cfRule type="cellIs" dxfId="3068" priority="1704" operator="equal">
      <formula>$O$9</formula>
    </cfRule>
    <cfRule type="cellIs" dxfId="3067" priority="1705" operator="equal">
      <formula>$O$8</formula>
    </cfRule>
    <cfRule type="cellIs" dxfId="3066" priority="1706" operator="equal">
      <formula>$O$7</formula>
    </cfRule>
    <cfRule type="cellIs" dxfId="3065" priority="1707" operator="equal">
      <formula>$O$6</formula>
    </cfRule>
    <cfRule type="cellIs" dxfId="3064" priority="1708" operator="equal">
      <formula>$O$5</formula>
    </cfRule>
    <cfRule type="duplicateValues" dxfId="3063" priority="1709"/>
    <cfRule type="cellIs" dxfId="3062" priority="1733" operator="equal">
      <formula>$O$13</formula>
    </cfRule>
    <cfRule type="cellIs" dxfId="3061" priority="1734" operator="equal">
      <formula>$O$12</formula>
    </cfRule>
    <cfRule type="cellIs" dxfId="3060" priority="1080" operator="equal">
      <formula>$O$17</formula>
    </cfRule>
    <cfRule type="duplicateValues" dxfId="3049" priority="1087"/>
    <cfRule type="cellIs" dxfId="3048" priority="1083" operator="equal">
      <formula>$O$14</formula>
    </cfRule>
    <cfRule type="cellIs" dxfId="3047" priority="1082" operator="equal">
      <formula>$O$15</formula>
    </cfRule>
    <cfRule type="cellIs" dxfId="3046" priority="1081" operator="equal">
      <formula>$O$16</formula>
    </cfRule>
    <cfRule type="cellIs" dxfId="3045" priority="1079" operator="equal">
      <formula>$O$18</formula>
    </cfRule>
    <cfRule type="cellIs" dxfId="3044" priority="1077" operator="equal">
      <formula>$O$5</formula>
    </cfRule>
    <cfRule type="cellIs" dxfId="3043" priority="1076" operator="equal">
      <formula>$O$6</formula>
    </cfRule>
    <cfRule type="cellIs" dxfId="3042" priority="1075" operator="equal">
      <formula>$O$7</formula>
    </cfRule>
    <cfRule type="cellIs" dxfId="3041" priority="1678" operator="equal">
      <formula>$O$5</formula>
    </cfRule>
    <cfRule type="cellIs" dxfId="3040" priority="1073" operator="equal">
      <formula>$O$9</formula>
    </cfRule>
    <cfRule type="cellIs" dxfId="3039" priority="1072" operator="equal">
      <formula>$O$10</formula>
    </cfRule>
    <cfRule type="cellIs" dxfId="3038" priority="1071" operator="equal">
      <formula>$O$11</formula>
    </cfRule>
    <cfRule type="cellIs" dxfId="3037" priority="1070" operator="equal">
      <formula>$O$12</formula>
    </cfRule>
    <cfRule type="cellIs" dxfId="3036" priority="1069" operator="equal">
      <formula>$O$13</formula>
    </cfRule>
  </conditionalFormatting>
  <conditionalFormatting sqref="H35">
    <cfRule type="duplicateValues" dxfId="3035" priority="684"/>
    <cfRule type="duplicateValues" dxfId="3033" priority="694"/>
    <cfRule type="duplicateValues" dxfId="3024" priority="685"/>
  </conditionalFormatting>
  <conditionalFormatting sqref="H35:H36">
    <cfRule type="cellIs" dxfId="3022" priority="648" operator="equal">
      <formula>$O$16</formula>
    </cfRule>
    <cfRule type="cellIs" dxfId="3021" priority="647" operator="equal">
      <formula>$O$17</formula>
    </cfRule>
    <cfRule type="cellIs" dxfId="3020" priority="646" operator="equal">
      <formula>$O$18</formula>
    </cfRule>
    <cfRule type="cellIs" dxfId="3019" priority="645" operator="equal">
      <formula>$O$10</formula>
    </cfRule>
    <cfRule type="cellIs" dxfId="3018" priority="670" operator="equal">
      <formula>$O$9</formula>
    </cfRule>
    <cfRule type="duplicateValues" dxfId="3017" priority="770"/>
    <cfRule type="duplicateValues" dxfId="3016" priority="761"/>
    <cfRule type="duplicateValues" dxfId="3015" priority="759"/>
    <cfRule type="duplicateValues" dxfId="3014" priority="702"/>
    <cfRule type="duplicateValues" dxfId="3013" priority="701"/>
    <cfRule type="cellIs" dxfId="3012" priority="674" operator="equal">
      <formula>$O$5</formula>
    </cfRule>
    <cfRule type="cellIs" dxfId="3011" priority="673" operator="equal">
      <formula>$O$6</formula>
    </cfRule>
    <cfRule type="cellIs" dxfId="3010" priority="672" operator="equal">
      <formula>$O$7</formula>
    </cfRule>
    <cfRule type="cellIs" dxfId="3009" priority="671" operator="equal">
      <formula>$O$8</formula>
    </cfRule>
    <cfRule type="cellIs" dxfId="3008" priority="653" operator="equal">
      <formula>$O$11</formula>
    </cfRule>
    <cfRule type="cellIs" dxfId="3007" priority="652" operator="equal">
      <formula>$O$12</formula>
    </cfRule>
    <cfRule type="cellIs" dxfId="3006" priority="651" operator="equal">
      <formula>$O$13</formula>
    </cfRule>
    <cfRule type="cellIs" dxfId="3005" priority="650" operator="equal">
      <formula>$O$14</formula>
    </cfRule>
    <cfRule type="cellIs" dxfId="3004" priority="649" operator="equal">
      <formula>$O$15</formula>
    </cfRule>
  </conditionalFormatting>
  <conditionalFormatting sqref="H36">
    <cfRule type="duplicateValues" dxfId="2999" priority="654"/>
    <cfRule type="duplicateValues" dxfId="2994" priority="665"/>
  </conditionalFormatting>
  <conditionalFormatting sqref="H38:H49 L38:L49 N38:N49 F38:F49">
    <cfRule type="cellIs" dxfId="2991" priority="2334" operator="equal">
      <formula>$O$17</formula>
    </cfRule>
    <cfRule type="cellIs" dxfId="2990" priority="2333" operator="equal">
      <formula>$O$18</formula>
    </cfRule>
  </conditionalFormatting>
  <conditionalFormatting sqref="H38:H49 L38:L50 N38:N50 F38:F49">
    <cfRule type="cellIs" dxfId="2989" priority="2331" operator="equal">
      <formula>$O$5</formula>
    </cfRule>
    <cfRule type="cellIs" dxfId="2988" priority="2329" operator="equal">
      <formula>$O$7</formula>
    </cfRule>
    <cfRule type="cellIs" dxfId="2987" priority="2328" operator="equal">
      <formula>$O$8</formula>
    </cfRule>
    <cfRule type="cellIs" dxfId="2986" priority="2327" operator="equal">
      <formula>$O$9</formula>
    </cfRule>
    <cfRule type="cellIs" dxfId="2985" priority="2326" operator="equal">
      <formula>$O$10</formula>
    </cfRule>
    <cfRule type="cellIs" dxfId="2984" priority="2330" operator="equal">
      <formula>$O$6</formula>
    </cfRule>
  </conditionalFormatting>
  <conditionalFormatting sqref="H38:H49">
    <cfRule type="duplicateValues" dxfId="2983" priority="2343"/>
    <cfRule type="duplicateValues" dxfId="2982" priority="2318"/>
  </conditionalFormatting>
  <conditionalFormatting sqref="H38:H50 L38:L50 N38:N50 F38:F50">
    <cfRule type="cellIs" dxfId="2981" priority="2337" operator="equal">
      <formula>$O$14</formula>
    </cfRule>
    <cfRule type="cellIs" dxfId="2980" priority="2335" operator="equal">
      <formula>$O$16</formula>
    </cfRule>
    <cfRule type="cellIs" dxfId="2979" priority="2323" operator="equal">
      <formula>$O$13</formula>
    </cfRule>
    <cfRule type="cellIs" dxfId="2978" priority="2324" operator="equal">
      <formula>$O$12</formula>
    </cfRule>
    <cfRule type="cellIs" dxfId="2977" priority="2325" operator="equal">
      <formula>$O$11</formula>
    </cfRule>
    <cfRule type="cellIs" dxfId="2976" priority="2336" operator="equal">
      <formula>$O$15</formula>
    </cfRule>
  </conditionalFormatting>
  <conditionalFormatting sqref="H38:H50">
    <cfRule type="duplicateValues" dxfId="2975" priority="2185"/>
  </conditionalFormatting>
  <conditionalFormatting sqref="H38:H51">
    <cfRule type="duplicateValues" dxfId="2974" priority="1907"/>
  </conditionalFormatting>
  <conditionalFormatting sqref="H49 F49">
    <cfRule type="cellIs" dxfId="2973" priority="2281" operator="equal">
      <formula>$O$16</formula>
    </cfRule>
    <cfRule type="cellIs" dxfId="2970" priority="2298" operator="equal">
      <formula>$O$5</formula>
    </cfRule>
    <cfRule type="cellIs" dxfId="2969" priority="2296" operator="equal">
      <formula>$O$7</formula>
    </cfRule>
    <cfRule type="cellIs" dxfId="2968" priority="2295" operator="equal">
      <formula>$O$8</formula>
    </cfRule>
    <cfRule type="cellIs" dxfId="2967" priority="2294" operator="equal">
      <formula>$O$9</formula>
    </cfRule>
    <cfRule type="cellIs" dxfId="2966" priority="2289" operator="equal">
      <formula>$O$17</formula>
    </cfRule>
    <cfRule type="cellIs" dxfId="2965" priority="2288" operator="equal">
      <formula>$O$18</formula>
    </cfRule>
    <cfRule type="cellIs" dxfId="2964" priority="2287" operator="equal">
      <formula>$O$10</formula>
    </cfRule>
    <cfRule type="cellIs" dxfId="2963" priority="2286" operator="equal">
      <formula>$O$11</formula>
    </cfRule>
    <cfRule type="cellIs" dxfId="2962" priority="2285" operator="equal">
      <formula>$O$12</formula>
    </cfRule>
    <cfRule type="cellIs" dxfId="2959" priority="2297" operator="equal">
      <formula>$O$6</formula>
    </cfRule>
    <cfRule type="cellIs" dxfId="2957" priority="2284" operator="equal">
      <formula>$O$13</formula>
    </cfRule>
    <cfRule type="cellIs" dxfId="2955" priority="2283" operator="equal">
      <formula>$O$14</formula>
    </cfRule>
    <cfRule type="cellIs" dxfId="2954" priority="2282" operator="equal">
      <formula>$O$15</formula>
    </cfRule>
  </conditionalFormatting>
  <conditionalFormatting sqref="H49">
    <cfRule type="duplicateValues" dxfId="2953" priority="2267"/>
    <cfRule type="duplicateValues" dxfId="2952" priority="2268"/>
    <cfRule type="duplicateValues" dxfId="2951" priority="2280"/>
    <cfRule type="duplicateValues" dxfId="2950" priority="2260"/>
    <cfRule type="duplicateValues" dxfId="2949" priority="2262"/>
    <cfRule type="duplicateValues" dxfId="2948" priority="2263"/>
    <cfRule type="duplicateValues" dxfId="2947" priority="2266"/>
  </conditionalFormatting>
  <conditionalFormatting sqref="H50 F50">
    <cfRule type="cellIs" dxfId="2942" priority="2149" operator="equal">
      <formula>$O$16</formula>
    </cfRule>
    <cfRule type="cellIs" dxfId="2941" priority="2150" operator="equal">
      <formula>$O$15</formula>
    </cfRule>
    <cfRule type="cellIs" dxfId="2940" priority="2151" operator="equal">
      <formula>$O$14</formula>
    </cfRule>
    <cfRule type="cellIs" dxfId="2938" priority="2152" operator="equal">
      <formula>$O$13</formula>
    </cfRule>
    <cfRule type="cellIs" dxfId="2937" priority="2153" operator="equal">
      <formula>$O$12</formula>
    </cfRule>
    <cfRule type="cellIs" dxfId="2936" priority="2154" operator="equal">
      <formula>$O$11</formula>
    </cfRule>
    <cfRule type="cellIs" dxfId="2935" priority="2155" operator="equal">
      <formula>$O$10</formula>
    </cfRule>
    <cfRule type="cellIs" dxfId="2934" priority="2156" operator="equal">
      <formula>$O$18</formula>
    </cfRule>
    <cfRule type="cellIs" dxfId="2933" priority="2157" operator="equal">
      <formula>$O$17</formula>
    </cfRule>
    <cfRule type="cellIs" dxfId="2932" priority="2162" operator="equal">
      <formula>$O$9</formula>
    </cfRule>
    <cfRule type="cellIs" dxfId="2931" priority="2163" operator="equal">
      <formula>$O$8</formula>
    </cfRule>
    <cfRule type="cellIs" dxfId="2930" priority="2164" operator="equal">
      <formula>$O$7</formula>
    </cfRule>
    <cfRule type="cellIs" dxfId="2929" priority="2165" operator="equal">
      <formula>$O$6</formula>
    </cfRule>
    <cfRule type="cellIs" dxfId="2928" priority="2166" operator="equal">
      <formula>$O$5</formula>
    </cfRule>
  </conditionalFormatting>
  <conditionalFormatting sqref="H50">
    <cfRule type="duplicateValues" dxfId="2926" priority="2134"/>
    <cfRule type="duplicateValues" dxfId="2925" priority="2128"/>
    <cfRule type="duplicateValues" dxfId="2924" priority="2131"/>
    <cfRule type="duplicateValues" dxfId="2923" priority="2130"/>
    <cfRule type="duplicateValues" dxfId="2922" priority="2148"/>
    <cfRule type="duplicateValues" dxfId="2921" priority="2136"/>
    <cfRule type="duplicateValues" dxfId="2920" priority="2135"/>
  </conditionalFormatting>
  <conditionalFormatting sqref="H51 F51">
    <cfRule type="cellIs" dxfId="2919" priority="2008" operator="equal">
      <formula>$O$12</formula>
    </cfRule>
    <cfRule type="cellIs" dxfId="2918" priority="2020" operator="equal">
      <formula>$O$6</formula>
    </cfRule>
    <cfRule type="cellIs" dxfId="2917" priority="2021" operator="equal">
      <formula>$O$5</formula>
    </cfRule>
    <cfRule type="cellIs" dxfId="2912" priority="2006" operator="equal">
      <formula>$O$14</formula>
    </cfRule>
    <cfRule type="cellIs" dxfId="2910" priority="2017" operator="equal">
      <formula>$O$9</formula>
    </cfRule>
    <cfRule type="cellIs" dxfId="2908" priority="2007" operator="equal">
      <formula>$O$13</formula>
    </cfRule>
    <cfRule type="cellIs" dxfId="2907" priority="2004" operator="equal">
      <formula>$O$16</formula>
    </cfRule>
    <cfRule type="cellIs" dxfId="2906" priority="2005" operator="equal">
      <formula>$O$15</formula>
    </cfRule>
    <cfRule type="cellIs" dxfId="2905" priority="2009" operator="equal">
      <formula>$O$11</formula>
    </cfRule>
    <cfRule type="cellIs" dxfId="2904" priority="2010" operator="equal">
      <formula>$O$10</formula>
    </cfRule>
    <cfRule type="cellIs" dxfId="2903" priority="2011" operator="equal">
      <formula>$O$18</formula>
    </cfRule>
    <cfRule type="cellIs" dxfId="2902" priority="2012" operator="equal">
      <formula>$O$17</formula>
    </cfRule>
    <cfRule type="cellIs" dxfId="2901" priority="2018" operator="equal">
      <formula>$O$8</formula>
    </cfRule>
    <cfRule type="cellIs" dxfId="2900" priority="2019" operator="equal">
      <formula>$O$7</formula>
    </cfRule>
  </conditionalFormatting>
  <conditionalFormatting sqref="H51">
    <cfRule type="duplicateValues" dxfId="2899" priority="1983"/>
    <cfRule type="duplicateValues" dxfId="2898" priority="2003"/>
    <cfRule type="duplicateValues" dxfId="2897" priority="1989"/>
    <cfRule type="duplicateValues" dxfId="2896" priority="1986"/>
    <cfRule type="duplicateValues" dxfId="2895" priority="1985"/>
    <cfRule type="duplicateValues" dxfId="2894" priority="1991"/>
    <cfRule type="duplicateValues" dxfId="2893" priority="1990"/>
    <cfRule type="duplicateValues" dxfId="2892" priority="2028"/>
  </conditionalFormatting>
  <conditionalFormatting sqref="H52">
    <cfRule type="duplicateValues" dxfId="2891" priority="859"/>
    <cfRule type="duplicateValues" dxfId="2890" priority="862"/>
  </conditionalFormatting>
  <conditionalFormatting sqref="H52:H53">
    <cfRule type="cellIs" dxfId="2889" priority="867" operator="equal">
      <formula>$O$10</formula>
    </cfRule>
    <cfRule type="containsText" dxfId="2887" priority="857" operator="containsText" text="(SV)">
      <formula>NOT(ISERROR(SEARCH("(SV)",H52)))</formula>
    </cfRule>
    <cfRule type="cellIs" dxfId="2886" priority="871" operator="equal">
      <formula>$O$6</formula>
    </cfRule>
    <cfRule type="duplicateValues" dxfId="2885" priority="932"/>
    <cfRule type="cellIs" dxfId="2884" priority="870" operator="equal">
      <formula>$O$7</formula>
    </cfRule>
    <cfRule type="cellIs" dxfId="2883" priority="869" operator="equal">
      <formula>$O$8</formula>
    </cfRule>
    <cfRule type="cellIs" dxfId="2882" priority="868" operator="equal">
      <formula>$O$9</formula>
    </cfRule>
    <cfRule type="cellIs" dxfId="2881" priority="875" operator="equal">
      <formula>$O$17</formula>
    </cfRule>
    <cfRule type="duplicateValues" dxfId="2880" priority="888"/>
    <cfRule type="duplicateValues" dxfId="2879" priority="889"/>
    <cfRule type="containsText" dxfId="2878" priority="856" operator="containsText" text="(HEM)">
      <formula>NOT(ISERROR(SEARCH("(HEM)",H52)))</formula>
    </cfRule>
    <cfRule type="duplicateValues" dxfId="2877" priority="860"/>
    <cfRule type="duplicateValues" dxfId="2876" priority="863"/>
    <cfRule type="cellIs" dxfId="2874" priority="864" operator="equal">
      <formula>$O$13</formula>
    </cfRule>
    <cfRule type="cellIs" dxfId="2873" priority="865" operator="equal">
      <formula>$O$12</formula>
    </cfRule>
    <cfRule type="cellIs" dxfId="2872" priority="866" operator="equal">
      <formula>$O$11</formula>
    </cfRule>
    <cfRule type="duplicateValues" dxfId="2871" priority="929"/>
    <cfRule type="cellIs" dxfId="2870" priority="874" operator="equal">
      <formula>$O$18</formula>
    </cfRule>
    <cfRule type="duplicateValues" dxfId="2868" priority="876"/>
    <cfRule type="cellIs" dxfId="2861" priority="872" operator="equal">
      <formula>$O$5</formula>
    </cfRule>
    <cfRule type="duplicateValues" dxfId="2859" priority="887"/>
  </conditionalFormatting>
  <conditionalFormatting sqref="H53">
    <cfRule type="duplicateValues" dxfId="2858" priority="861"/>
    <cfRule type="duplicateValues" dxfId="2857" priority="858"/>
  </conditionalFormatting>
  <conditionalFormatting sqref="H21:I21 L21:M21">
    <cfRule type="cellIs" dxfId="2856" priority="1775" operator="equal">
      <formula>$O$9</formula>
    </cfRule>
    <cfRule type="cellIs" dxfId="2855" priority="1779" operator="equal">
      <formula>$O$5</formula>
    </cfRule>
    <cfRule type="cellIs" dxfId="2854" priority="1776" operator="equal">
      <formula>$O$8</formula>
    </cfRule>
    <cfRule type="cellIs" dxfId="2853" priority="1778" operator="equal">
      <formula>$O$6</formula>
    </cfRule>
    <cfRule type="cellIs" dxfId="2852" priority="1777" operator="equal">
      <formula>$O$7</formula>
    </cfRule>
    <cfRule type="cellIs" dxfId="2851" priority="1774" operator="equal">
      <formula>$O$11</formula>
    </cfRule>
  </conditionalFormatting>
  <conditionalFormatting sqref="I21 L21:M21">
    <cfRule type="cellIs" dxfId="2850" priority="1782" operator="equal">
      <formula>0</formula>
    </cfRule>
  </conditionalFormatting>
  <conditionalFormatting sqref="K18">
    <cfRule type="duplicateValues" dxfId="2849" priority="445"/>
  </conditionalFormatting>
  <conditionalFormatting sqref="K18:K19">
    <cfRule type="cellIs" dxfId="2848" priority="444" operator="equal">
      <formula>0</formula>
    </cfRule>
  </conditionalFormatting>
  <conditionalFormatting sqref="K19">
    <cfRule type="duplicateValues" dxfId="2847" priority="446"/>
  </conditionalFormatting>
  <conditionalFormatting sqref="K21">
    <cfRule type="duplicateValues" dxfId="2846" priority="22"/>
  </conditionalFormatting>
  <conditionalFormatting sqref="K21:K34">
    <cfRule type="cellIs" dxfId="2845" priority="5" operator="equal">
      <formula>$O$9</formula>
    </cfRule>
    <cfRule type="cellIs" dxfId="2844" priority="4" operator="equal">
      <formula>$O$11</formula>
    </cfRule>
    <cfRule type="cellIs" dxfId="2843" priority="7" operator="equal">
      <formula>$O$7</formula>
    </cfRule>
    <cfRule type="cellIs" dxfId="2842" priority="6" operator="equal">
      <formula>$O$8</formula>
    </cfRule>
    <cfRule type="cellIs" dxfId="2841" priority="10" operator="equal">
      <formula>0</formula>
    </cfRule>
    <cfRule type="cellIs" dxfId="2840" priority="9" operator="equal">
      <formula>$O$5</formula>
    </cfRule>
    <cfRule type="cellIs" dxfId="2839" priority="8" operator="equal">
      <formula>$O$6</formula>
    </cfRule>
  </conditionalFormatting>
  <conditionalFormatting sqref="K22">
    <cfRule type="duplicateValues" dxfId="2838" priority="21"/>
  </conditionalFormatting>
  <conditionalFormatting sqref="K23">
    <cfRule type="duplicateValues" dxfId="2837" priority="20"/>
  </conditionalFormatting>
  <conditionalFormatting sqref="K25">
    <cfRule type="duplicateValues" dxfId="2836" priority="19"/>
  </conditionalFormatting>
  <conditionalFormatting sqref="K26">
    <cfRule type="duplicateValues" dxfId="2835" priority="18"/>
  </conditionalFormatting>
  <conditionalFormatting sqref="K27">
    <cfRule type="duplicateValues" dxfId="2834" priority="17"/>
  </conditionalFormatting>
  <conditionalFormatting sqref="K28">
    <cfRule type="duplicateValues" dxfId="2833" priority="16"/>
  </conditionalFormatting>
  <conditionalFormatting sqref="K29">
    <cfRule type="duplicateValues" dxfId="2832" priority="15"/>
  </conditionalFormatting>
  <conditionalFormatting sqref="K30">
    <cfRule type="duplicateValues" dxfId="2831" priority="14"/>
  </conditionalFormatting>
  <conditionalFormatting sqref="K31">
    <cfRule type="duplicateValues" dxfId="2830" priority="13"/>
  </conditionalFormatting>
  <conditionalFormatting sqref="K32">
    <cfRule type="duplicateValues" dxfId="2829" priority="12"/>
  </conditionalFormatting>
  <conditionalFormatting sqref="K33">
    <cfRule type="duplicateValues" dxfId="2828" priority="11"/>
  </conditionalFormatting>
  <conditionalFormatting sqref="K34">
    <cfRule type="duplicateValues" dxfId="2827" priority="1"/>
    <cfRule type="duplicateValues" dxfId="2826" priority="3"/>
    <cfRule type="duplicateValues" dxfId="2825" priority="2"/>
  </conditionalFormatting>
  <conditionalFormatting sqref="K35">
    <cfRule type="duplicateValues" dxfId="2824" priority="632"/>
  </conditionalFormatting>
  <conditionalFormatting sqref="K36">
    <cfRule type="duplicateValues" dxfId="2823" priority="629"/>
    <cfRule type="duplicateValues" dxfId="2822" priority="630"/>
    <cfRule type="duplicateValues" dxfId="2821" priority="631"/>
  </conditionalFormatting>
  <conditionalFormatting sqref="K38">
    <cfRule type="duplicateValues" dxfId="2820" priority="128"/>
    <cfRule type="duplicateValues" dxfId="2819" priority="101"/>
  </conditionalFormatting>
  <conditionalFormatting sqref="K39">
    <cfRule type="duplicateValues" dxfId="2818" priority="127"/>
    <cfRule type="duplicateValues" dxfId="2817" priority="115"/>
  </conditionalFormatting>
  <conditionalFormatting sqref="K40">
    <cfRule type="duplicateValues" dxfId="2816" priority="114"/>
    <cfRule type="duplicateValues" dxfId="2815" priority="126"/>
  </conditionalFormatting>
  <conditionalFormatting sqref="K41">
    <cfRule type="duplicateValues" dxfId="2814" priority="113"/>
    <cfRule type="duplicateValues" dxfId="2813" priority="125"/>
  </conditionalFormatting>
  <conditionalFormatting sqref="K42">
    <cfRule type="duplicateValues" dxfId="2812" priority="124"/>
    <cfRule type="duplicateValues" dxfId="2811" priority="112"/>
  </conditionalFormatting>
  <conditionalFormatting sqref="K43">
    <cfRule type="duplicateValues" dxfId="2810" priority="123"/>
    <cfRule type="duplicateValues" dxfId="2809" priority="111"/>
  </conditionalFormatting>
  <conditionalFormatting sqref="K44">
    <cfRule type="duplicateValues" dxfId="2808" priority="122"/>
    <cfRule type="duplicateValues" dxfId="2807" priority="110"/>
  </conditionalFormatting>
  <conditionalFormatting sqref="K45">
    <cfRule type="duplicateValues" dxfId="2806" priority="121"/>
    <cfRule type="duplicateValues" dxfId="2805" priority="109"/>
  </conditionalFormatting>
  <conditionalFormatting sqref="K46">
    <cfRule type="duplicateValues" dxfId="2804" priority="120"/>
    <cfRule type="duplicateValues" dxfId="2803" priority="108"/>
  </conditionalFormatting>
  <conditionalFormatting sqref="K47">
    <cfRule type="duplicateValues" dxfId="2802" priority="119"/>
    <cfRule type="duplicateValues" dxfId="2801" priority="107"/>
  </conditionalFormatting>
  <conditionalFormatting sqref="K48">
    <cfRule type="duplicateValues" dxfId="2800" priority="106"/>
    <cfRule type="duplicateValues" dxfId="2799" priority="118"/>
  </conditionalFormatting>
  <conditionalFormatting sqref="K49">
    <cfRule type="duplicateValues" dxfId="2798" priority="105"/>
    <cfRule type="duplicateValues" dxfId="2797" priority="116"/>
    <cfRule type="duplicateValues" dxfId="2796" priority="117"/>
  </conditionalFormatting>
  <conditionalFormatting sqref="K50">
    <cfRule type="duplicateValues" dxfId="2795" priority="104"/>
    <cfRule type="duplicateValues" dxfId="2794" priority="103"/>
  </conditionalFormatting>
  <conditionalFormatting sqref="K51">
    <cfRule type="duplicateValues" dxfId="2793" priority="99"/>
    <cfRule type="duplicateValues" dxfId="2792" priority="98"/>
  </conditionalFormatting>
  <conditionalFormatting sqref="K52">
    <cfRule type="duplicateValues" dxfId="2791" priority="843"/>
    <cfRule type="duplicateValues" dxfId="2790" priority="841"/>
  </conditionalFormatting>
  <conditionalFormatting sqref="K53">
    <cfRule type="duplicateValues" dxfId="2789" priority="840"/>
    <cfRule type="duplicateValues" dxfId="2788" priority="842"/>
  </conditionalFormatting>
  <conditionalFormatting sqref="K35:L36">
    <cfRule type="cellIs" dxfId="2787" priority="636" operator="equal">
      <formula>$O$11</formula>
    </cfRule>
    <cfRule type="cellIs" dxfId="2786" priority="639" operator="equal">
      <formula>$O$7</formula>
    </cfRule>
    <cfRule type="cellIs" dxfId="2785" priority="640" operator="equal">
      <formula>$O$6</formula>
    </cfRule>
    <cfRule type="cellIs" dxfId="2784" priority="641" operator="equal">
      <formula>$O$5</formula>
    </cfRule>
    <cfRule type="cellIs" dxfId="2783" priority="638" operator="equal">
      <formula>$O$8</formula>
    </cfRule>
    <cfRule type="cellIs" dxfId="2782" priority="637" operator="equal">
      <formula>$O$9</formula>
    </cfRule>
  </conditionalFormatting>
  <conditionalFormatting sqref="K5:N5 E5:H5">
    <cfRule type="duplicateValues" dxfId="2781" priority="1604"/>
  </conditionalFormatting>
  <conditionalFormatting sqref="K6:N6 E6:H6">
    <cfRule type="duplicateValues" dxfId="2780" priority="1605"/>
  </conditionalFormatting>
  <conditionalFormatting sqref="K7:N7 E7:H7">
    <cfRule type="duplicateValues" dxfId="2779" priority="1606"/>
  </conditionalFormatting>
  <conditionalFormatting sqref="K8:N8 E8:H8">
    <cfRule type="duplicateValues" dxfId="2778" priority="1607"/>
  </conditionalFormatting>
  <conditionalFormatting sqref="K9:N9 E9:H9">
    <cfRule type="duplicateValues" dxfId="2777" priority="1608"/>
  </conditionalFormatting>
  <conditionalFormatting sqref="K10:N10 E10:H10">
    <cfRule type="duplicateValues" dxfId="2776" priority="1609"/>
  </conditionalFormatting>
  <conditionalFormatting sqref="K11:N11 E11:H11">
    <cfRule type="duplicateValues" dxfId="2775" priority="1610"/>
  </conditionalFormatting>
  <conditionalFormatting sqref="K12:N12 E12:H12">
    <cfRule type="duplicateValues" dxfId="2774" priority="1611"/>
  </conditionalFormatting>
  <conditionalFormatting sqref="K13:N13 E13:H13">
    <cfRule type="duplicateValues" dxfId="2773" priority="1612"/>
  </conditionalFormatting>
  <conditionalFormatting sqref="K14:N14 E14:H14">
    <cfRule type="duplicateValues" dxfId="2772" priority="1613"/>
  </conditionalFormatting>
  <conditionalFormatting sqref="K15:N15 E15:H15">
    <cfRule type="duplicateValues" dxfId="2771" priority="1614"/>
  </conditionalFormatting>
  <conditionalFormatting sqref="K16:N16 E16:H16">
    <cfRule type="duplicateValues" dxfId="2770" priority="1615"/>
  </conditionalFormatting>
  <conditionalFormatting sqref="K35:N36">
    <cfRule type="cellIs" dxfId="2769" priority="316" operator="equal">
      <formula>0</formula>
    </cfRule>
  </conditionalFormatting>
  <conditionalFormatting sqref="K38:N53">
    <cfRule type="cellIs" dxfId="2768" priority="69" operator="equal">
      <formula>0</formula>
    </cfRule>
  </conditionalFormatting>
  <conditionalFormatting sqref="L5">
    <cfRule type="duplicateValues" dxfId="2767" priority="1596"/>
    <cfRule type="duplicateValues" dxfId="2766" priority="1597"/>
  </conditionalFormatting>
  <conditionalFormatting sqref="L5:L10 L12:L16">
    <cfRule type="duplicateValues" dxfId="2765" priority="1600"/>
    <cfRule type="duplicateValues" dxfId="2764" priority="1593"/>
    <cfRule type="duplicateValues" dxfId="2763" priority="1592"/>
  </conditionalFormatting>
  <conditionalFormatting sqref="L5:L17 L21:L34">
    <cfRule type="duplicateValues" dxfId="2762" priority="956"/>
  </conditionalFormatting>
  <conditionalFormatting sqref="L5:L17">
    <cfRule type="duplicateValues" dxfId="2761" priority="1557"/>
  </conditionalFormatting>
  <conditionalFormatting sqref="L11">
    <cfRule type="duplicateValues" dxfId="2760" priority="1588"/>
    <cfRule type="duplicateValues" dxfId="2759" priority="1589"/>
  </conditionalFormatting>
  <conditionalFormatting sqref="L15">
    <cfRule type="duplicateValues" dxfId="2758" priority="1584"/>
    <cfRule type="duplicateValues" dxfId="2757" priority="1585"/>
  </conditionalFormatting>
  <conditionalFormatting sqref="L17">
    <cfRule type="cellIs" dxfId="2756" priority="1268" operator="equal">
      <formula>$O$15</formula>
    </cfRule>
    <cfRule type="cellIs" dxfId="2755" priority="1269" operator="equal">
      <formula>$O$14</formula>
    </cfRule>
    <cfRule type="cellIs" dxfId="2754" priority="1271" operator="equal">
      <formula>$O$13</formula>
    </cfRule>
    <cfRule type="cellIs" dxfId="2753" priority="1272" operator="equal">
      <formula>$O$12</formula>
    </cfRule>
    <cfRule type="cellIs" dxfId="2752" priority="1477" operator="equal">
      <formula>$O$17</formula>
    </cfRule>
    <cfRule type="cellIs" dxfId="2751" priority="1478" operator="equal">
      <formula>$O$16</formula>
    </cfRule>
    <cfRule type="cellIs" dxfId="2750" priority="1479" operator="equal">
      <formula>$O$15</formula>
    </cfRule>
    <cfRule type="cellIs" dxfId="2749" priority="1480" operator="equal">
      <formula>$O$14</formula>
    </cfRule>
    <cfRule type="cellIs" dxfId="2748" priority="1481" operator="equal">
      <formula>$O$13</formula>
    </cfRule>
    <cfRule type="cellIs" dxfId="2747" priority="1482" operator="equal">
      <formula>$O$12</formula>
    </cfRule>
    <cfRule type="cellIs" dxfId="2746" priority="1483" operator="equal">
      <formula>$O$11</formula>
    </cfRule>
    <cfRule type="cellIs" dxfId="2745" priority="1486" operator="equal">
      <formula>$O$9</formula>
    </cfRule>
    <cfRule type="cellIs" dxfId="2744" priority="1488" operator="equal">
      <formula>$O$8</formula>
    </cfRule>
    <cfRule type="cellIs" dxfId="2743" priority="1273" operator="equal">
      <formula>$O$11</formula>
    </cfRule>
    <cfRule type="cellIs" dxfId="2742" priority="1275" operator="equal">
      <formula>$O$10</formula>
    </cfRule>
    <cfRule type="cellIs" dxfId="2741" priority="1276" operator="equal">
      <formula>$O$9</formula>
    </cfRule>
    <cfRule type="cellIs" dxfId="2740" priority="1277" operator="equal">
      <formula>$O$8</formula>
    </cfRule>
    <cfRule type="duplicateValues" dxfId="2739" priority="1263"/>
    <cfRule type="cellIs" dxfId="2738" priority="1278" operator="equal">
      <formula>$O$7</formula>
    </cfRule>
    <cfRule type="cellIs" dxfId="2737" priority="1279" operator="equal">
      <formula>$O$6</formula>
    </cfRule>
    <cfRule type="cellIs" dxfId="2736" priority="1280" operator="equal">
      <formula>$O$5</formula>
    </cfRule>
    <cfRule type="duplicateValues" dxfId="2735" priority="1281"/>
    <cfRule type="duplicateValues" dxfId="2734" priority="1282"/>
    <cfRule type="cellIs" dxfId="2733" priority="1283" operator="equal">
      <formula>$O$18</formula>
    </cfRule>
    <cfRule type="cellIs" dxfId="2732" priority="1284" operator="equal">
      <formula>$O$10</formula>
    </cfRule>
    <cfRule type="cellIs" dxfId="2731" priority="1285" operator="equal">
      <formula>$O$17</formula>
    </cfRule>
    <cfRule type="cellIs" dxfId="2730" priority="1286" operator="equal">
      <formula>$O$16</formula>
    </cfRule>
    <cfRule type="cellIs" dxfId="2729" priority="1287" operator="equal">
      <formula>$O$15</formula>
    </cfRule>
    <cfRule type="cellIs" dxfId="2728" priority="1288" operator="equal">
      <formula>$O$14</formula>
    </cfRule>
    <cfRule type="cellIs" dxfId="2727" priority="1489" operator="equal">
      <formula>$O$7</formula>
    </cfRule>
    <cfRule type="cellIs" dxfId="2726" priority="1490" operator="equal">
      <formula>$O$6</formula>
    </cfRule>
    <cfRule type="cellIs" dxfId="2725" priority="1491" operator="equal">
      <formula>$O$5</formula>
    </cfRule>
    <cfRule type="cellIs" dxfId="2724" priority="1289" operator="equal">
      <formula>$O$13</formula>
    </cfRule>
    <cfRule type="cellIs" dxfId="2723" priority="1290" operator="equal">
      <formula>$O$12</formula>
    </cfRule>
    <cfRule type="cellIs" dxfId="2722" priority="1291" operator="equal">
      <formula>$O$11</formula>
    </cfRule>
    <cfRule type="cellIs" dxfId="2721" priority="1294" operator="equal">
      <formula>$O$9</formula>
    </cfRule>
    <cfRule type="cellIs" dxfId="2720" priority="1296" operator="equal">
      <formula>$O$8</formula>
    </cfRule>
    <cfRule type="cellIs" dxfId="2719" priority="1297" operator="equal">
      <formula>$O$7</formula>
    </cfRule>
    <cfRule type="cellIs" dxfId="2718" priority="1298" operator="equal">
      <formula>$O$6</formula>
    </cfRule>
    <cfRule type="cellIs" dxfId="2717" priority="1252" operator="equal">
      <formula>$O$15</formula>
    </cfRule>
    <cfRule type="cellIs" dxfId="2716" priority="1251" operator="equal">
      <formula>$O$16</formula>
    </cfRule>
    <cfRule type="cellIs" dxfId="2715" priority="1250" operator="equal">
      <formula>$O$17</formula>
    </cfRule>
    <cfRule type="cellIs" dxfId="2714" priority="1249" operator="equal">
      <formula>$O$18</formula>
    </cfRule>
    <cfRule type="cellIs" dxfId="2713" priority="1431" operator="equal">
      <formula>$O$13</formula>
    </cfRule>
    <cfRule type="cellIs" dxfId="2712" priority="1432" operator="equal">
      <formula>$O$12</formula>
    </cfRule>
    <cfRule type="cellIs" dxfId="2711" priority="1247" operator="equal">
      <formula>$O$5</formula>
    </cfRule>
    <cfRule type="cellIs" dxfId="2710" priority="1246" operator="equal">
      <formula>$O$6</formula>
    </cfRule>
    <cfRule type="cellIs" dxfId="2709" priority="1245" operator="equal">
      <formula>$O$7</formula>
    </cfRule>
    <cfRule type="cellIs" dxfId="2708" priority="1244" operator="equal">
      <formula>$O$8</formula>
    </cfRule>
    <cfRule type="cellIs" dxfId="2707" priority="1243" operator="equal">
      <formula>$O$9</formula>
    </cfRule>
    <cfRule type="duplicateValues" dxfId="2706" priority="1430"/>
    <cfRule type="cellIs" dxfId="2705" priority="1242" operator="equal">
      <formula>$O$10</formula>
    </cfRule>
    <cfRule type="cellIs" dxfId="2704" priority="1241" operator="equal">
      <formula>$O$11</formula>
    </cfRule>
    <cfRule type="cellIs" dxfId="2703" priority="1240" operator="equal">
      <formula>$O$12</formula>
    </cfRule>
    <cfRule type="cellIs" dxfId="2702" priority="1239" operator="equal">
      <formula>$O$13</formula>
    </cfRule>
    <cfRule type="duplicateValues" dxfId="2701" priority="1238"/>
    <cfRule type="cellIs" dxfId="2700" priority="1433" operator="equal">
      <formula>$O$11</formula>
    </cfRule>
    <cfRule type="cellIs" dxfId="2699" priority="1434" operator="equal">
      <formula>$O$10</formula>
    </cfRule>
    <cfRule type="duplicateValues" dxfId="2698" priority="1236"/>
    <cfRule type="cellIs" dxfId="2697" priority="1435" operator="equal">
      <formula>$O$9</formula>
    </cfRule>
    <cfRule type="cellIs" dxfId="2696" priority="1436" operator="equal">
      <formula>$O$8</formula>
    </cfRule>
    <cfRule type="cellIs" dxfId="2695" priority="1437" operator="equal">
      <formula>$O$7</formula>
    </cfRule>
    <cfRule type="cellIs" dxfId="2694" priority="1438" operator="equal">
      <formula>$O$6</formula>
    </cfRule>
    <cfRule type="cellIs" dxfId="2693" priority="1439" operator="equal">
      <formula>$O$5</formula>
    </cfRule>
    <cfRule type="cellIs" dxfId="2692" priority="1441" operator="equal">
      <formula>$O$18</formula>
    </cfRule>
    <cfRule type="cellIs" dxfId="2691" priority="1442" operator="equal">
      <formula>$O$17</formula>
    </cfRule>
    <cfRule type="cellIs" dxfId="2690" priority="1444" operator="equal">
      <formula>$O$15</formula>
    </cfRule>
    <cfRule type="cellIs" dxfId="2689" priority="1445" operator="equal">
      <formula>$O$14</formula>
    </cfRule>
    <cfRule type="duplicateValues" dxfId="2688" priority="1455"/>
    <cfRule type="duplicateValues" dxfId="2687" priority="1456"/>
    <cfRule type="cellIs" dxfId="2686" priority="1457" operator="equal">
      <formula>$O$18</formula>
    </cfRule>
    <cfRule type="cellIs" dxfId="2685" priority="1458" operator="equal">
      <formula>$O$17</formula>
    </cfRule>
    <cfRule type="cellIs" dxfId="2684" priority="1459" operator="equal">
      <formula>$O$16</formula>
    </cfRule>
    <cfRule type="cellIs" dxfId="2683" priority="1460" operator="equal">
      <formula>$O$15</formula>
    </cfRule>
    <cfRule type="cellIs" dxfId="2682" priority="1461" operator="equal">
      <formula>$O$14</formula>
    </cfRule>
    <cfRule type="cellIs" dxfId="2681" priority="1463" operator="equal">
      <formula>$O$13</formula>
    </cfRule>
    <cfRule type="cellIs" dxfId="2680" priority="1464" operator="equal">
      <formula>$O$12</formula>
    </cfRule>
    <cfRule type="cellIs" dxfId="2679" priority="1465" operator="equal">
      <formula>$O$11</formula>
    </cfRule>
    <cfRule type="cellIs" dxfId="2678" priority="1467" operator="equal">
      <formula>$O$10</formula>
    </cfRule>
    <cfRule type="cellIs" dxfId="2677" priority="1253" operator="equal">
      <formula>$O$14</formula>
    </cfRule>
    <cfRule type="cellIs" dxfId="2676" priority="1443" operator="equal">
      <formula>$O$16</formula>
    </cfRule>
    <cfRule type="duplicateValues" dxfId="2675" priority="1428"/>
    <cfRule type="cellIs" dxfId="2674" priority="1299" operator="equal">
      <formula>$O$5</formula>
    </cfRule>
    <cfRule type="cellIs" dxfId="2673" priority="1468" operator="equal">
      <formula>$O$9</formula>
    </cfRule>
    <cfRule type="cellIs" dxfId="2672" priority="1469" operator="equal">
      <formula>$O$8</formula>
    </cfRule>
    <cfRule type="cellIs" dxfId="2671" priority="1470" operator="equal">
      <formula>$O$7</formula>
    </cfRule>
    <cfRule type="cellIs" dxfId="2670" priority="1471" operator="equal">
      <formula>$O$6</formula>
    </cfRule>
    <cfRule type="cellIs" dxfId="2669" priority="1472" operator="equal">
      <formula>$O$5</formula>
    </cfRule>
    <cfRule type="duplicateValues" dxfId="2668" priority="1473"/>
    <cfRule type="duplicateValues" dxfId="2667" priority="1474"/>
    <cfRule type="cellIs" dxfId="2666" priority="1475" operator="equal">
      <formula>$O$18</formula>
    </cfRule>
    <cfRule type="cellIs" dxfId="2665" priority="1476" operator="equal">
      <formula>$O$10</formula>
    </cfRule>
    <cfRule type="duplicateValues" dxfId="2664" priority="1264"/>
    <cfRule type="cellIs" dxfId="2663" priority="1265" operator="equal">
      <formula>$O$18</formula>
    </cfRule>
    <cfRule type="cellIs" dxfId="2662" priority="1266" operator="equal">
      <formula>$O$17</formula>
    </cfRule>
    <cfRule type="cellIs" dxfId="2661" priority="1267" operator="equal">
      <formula>$O$16</formula>
    </cfRule>
  </conditionalFormatting>
  <conditionalFormatting sqref="L17:L19">
    <cfRule type="cellIs" dxfId="2660" priority="429" operator="equal">
      <formula>0</formula>
    </cfRule>
  </conditionalFormatting>
  <conditionalFormatting sqref="L18">
    <cfRule type="duplicateValues" dxfId="2659" priority="432"/>
  </conditionalFormatting>
  <conditionalFormatting sqref="L18:L19">
    <cfRule type="duplicateValues" dxfId="2657" priority="431"/>
    <cfRule type="cellIs" dxfId="2656" priority="428" operator="equal">
      <formula>$O$5</formula>
    </cfRule>
    <cfRule type="cellIs" dxfId="2655" priority="422" operator="equal">
      <formula>$O$11</formula>
    </cfRule>
    <cfRule type="cellIs" dxfId="2654" priority="420" operator="equal">
      <formula>$O$13</formula>
    </cfRule>
    <cfRule type="cellIs" dxfId="2647" priority="419" operator="equal">
      <formula>$O$14</formula>
    </cfRule>
    <cfRule type="cellIs" dxfId="2644" priority="418" operator="equal">
      <formula>$O$15</formula>
    </cfRule>
    <cfRule type="cellIs" dxfId="2643" priority="417" operator="equal">
      <formula>$O$16</formula>
    </cfRule>
    <cfRule type="cellIs" dxfId="2642" priority="416" operator="equal">
      <formula>$O$17</formula>
    </cfRule>
    <cfRule type="cellIs" dxfId="2641" priority="415" operator="equal">
      <formula>$O$18</formula>
    </cfRule>
    <cfRule type="cellIs" dxfId="2640" priority="424" operator="equal">
      <formula>$O$9</formula>
    </cfRule>
    <cfRule type="duplicateValues" dxfId="2639" priority="414"/>
    <cfRule type="cellIs" dxfId="2638" priority="423" operator="equal">
      <formula>$O$10</formula>
    </cfRule>
    <cfRule type="duplicateValues" dxfId="2636" priority="447"/>
    <cfRule type="cellIs" dxfId="2635" priority="421" operator="equal">
      <formula>$O$12</formula>
    </cfRule>
    <cfRule type="cellIs" dxfId="2634" priority="425" operator="equal">
      <formula>$O$8</formula>
    </cfRule>
    <cfRule type="cellIs" dxfId="2633" priority="426" operator="equal">
      <formula>$O$7</formula>
    </cfRule>
    <cfRule type="cellIs" dxfId="2632" priority="427" operator="equal">
      <formula>$O$6</formula>
    </cfRule>
    <cfRule type="duplicateValues" dxfId="2631" priority="430"/>
  </conditionalFormatting>
  <conditionalFormatting sqref="L19">
    <cfRule type="duplicateValues" dxfId="2630" priority="433"/>
  </conditionalFormatting>
  <conditionalFormatting sqref="L21 L24:L31">
    <cfRule type="duplicateValues" dxfId="2629" priority="1808"/>
  </conditionalFormatting>
  <conditionalFormatting sqref="L21">
    <cfRule type="duplicateValues" dxfId="2627" priority="1801"/>
  </conditionalFormatting>
  <conditionalFormatting sqref="L21:L31">
    <cfRule type="duplicateValues" dxfId="2626" priority="1829"/>
  </conditionalFormatting>
  <conditionalFormatting sqref="L21:L33">
    <cfRule type="duplicateValues" dxfId="2624" priority="1753"/>
    <cfRule type="duplicateValues" dxfId="2623" priority="1780"/>
  </conditionalFormatting>
  <conditionalFormatting sqref="L21:L34">
    <cfRule type="duplicateValues" dxfId="2622" priority="1836"/>
    <cfRule type="duplicateValues" dxfId="2621" priority="1647"/>
  </conditionalFormatting>
  <conditionalFormatting sqref="L22:L23">
    <cfRule type="duplicateValues" dxfId="2620" priority="1807"/>
    <cfRule type="duplicateValues" dxfId="2619" priority="1809"/>
    <cfRule type="duplicateValues" dxfId="2618" priority="1806"/>
  </conditionalFormatting>
  <conditionalFormatting sqref="L22:L34">
    <cfRule type="cellIs" dxfId="2617" priority="642" operator="equal">
      <formula>0</formula>
    </cfRule>
  </conditionalFormatting>
  <conditionalFormatting sqref="L23 F23 H23">
    <cfRule type="duplicateValues" dxfId="2616" priority="1793"/>
  </conditionalFormatting>
  <conditionalFormatting sqref="L27">
    <cfRule type="duplicateValues" dxfId="2615" priority="1154"/>
    <cfRule type="duplicateValues" dxfId="2614" priority="1153"/>
    <cfRule type="duplicateValues" dxfId="2613" priority="1155"/>
  </conditionalFormatting>
  <conditionalFormatting sqref="L30 F30:F31 H30">
    <cfRule type="duplicateValues" dxfId="2612" priority="1786"/>
  </conditionalFormatting>
  <conditionalFormatting sqref="L31 F31 H31">
    <cfRule type="duplicateValues" dxfId="2611" priority="1785"/>
  </conditionalFormatting>
  <conditionalFormatting sqref="L32">
    <cfRule type="duplicateValues" dxfId="2610" priority="1164"/>
    <cfRule type="duplicateValues" dxfId="2609" priority="1165"/>
    <cfRule type="duplicateValues" dxfId="2608" priority="1163"/>
  </conditionalFormatting>
  <conditionalFormatting sqref="L32:L33">
    <cfRule type="duplicateValues" dxfId="2607" priority="1825"/>
  </conditionalFormatting>
  <conditionalFormatting sqref="L34">
    <cfRule type="duplicateValues" dxfId="2600" priority="1055"/>
    <cfRule type="duplicateValues" dxfId="2599" priority="1054"/>
    <cfRule type="cellIs" dxfId="2598" priority="1050" operator="equal">
      <formula>$O$14</formula>
    </cfRule>
    <cfRule type="cellIs" dxfId="2597" priority="1049" operator="equal">
      <formula>$O$15</formula>
    </cfRule>
    <cfRule type="cellIs" dxfId="2596" priority="1048" operator="equal">
      <formula>$O$16</formula>
    </cfRule>
    <cfRule type="cellIs" dxfId="2595" priority="1047" operator="equal">
      <formula>$O$5</formula>
    </cfRule>
    <cfRule type="cellIs" dxfId="2594" priority="1723" operator="equal">
      <formula>$O$12</formula>
    </cfRule>
    <cfRule type="cellIs" dxfId="2593" priority="1660" operator="equal">
      <formula>$O$13</formula>
    </cfRule>
    <cfRule type="cellIs" dxfId="2592" priority="1661" operator="equal">
      <formula>$O$12</formula>
    </cfRule>
    <cfRule type="cellIs" dxfId="2591" priority="1662" operator="equal">
      <formula>$O$11</formula>
    </cfRule>
    <cfRule type="cellIs" dxfId="2590" priority="1663" operator="equal">
      <formula>$O$10</formula>
    </cfRule>
    <cfRule type="cellIs" dxfId="2589" priority="1664" operator="equal">
      <formula>$O$9</formula>
    </cfRule>
    <cfRule type="cellIs" dxfId="2588" priority="1665" operator="equal">
      <formula>$O$8</formula>
    </cfRule>
    <cfRule type="cellIs" dxfId="2587" priority="1666" operator="equal">
      <formula>$O$7</formula>
    </cfRule>
    <cfRule type="cellIs" dxfId="2586" priority="1667" operator="equal">
      <formula>$O$6</formula>
    </cfRule>
    <cfRule type="cellIs" dxfId="2585" priority="1668" operator="equal">
      <formula>$O$5</formula>
    </cfRule>
    <cfRule type="duplicateValues" dxfId="2584" priority="1669"/>
    <cfRule type="cellIs" dxfId="2583" priority="1695" operator="equal">
      <formula>$O$8</formula>
    </cfRule>
    <cfRule type="cellIs" dxfId="2582" priority="1696" operator="equal">
      <formula>$O$7</formula>
    </cfRule>
    <cfRule type="cellIs" dxfId="2581" priority="1697" operator="equal">
      <formula>$O$6</formula>
    </cfRule>
    <cfRule type="cellIs" dxfId="2579" priority="1698" operator="equal">
      <formula>$O$5</formula>
    </cfRule>
    <cfRule type="duplicateValues" dxfId="2578" priority="1699"/>
    <cfRule type="cellIs" dxfId="2577" priority="1722" operator="equal">
      <formula>$O$13</formula>
    </cfRule>
    <cfRule type="cellIs" dxfId="2576" priority="1724" operator="equal">
      <formula>$O$11</formula>
    </cfRule>
    <cfRule type="cellIs" dxfId="2575" priority="1694" operator="equal">
      <formula>$O$9</formula>
    </cfRule>
    <cfRule type="cellIs" dxfId="2574" priority="1725" operator="equal">
      <formula>$O$10</formula>
    </cfRule>
    <cfRule type="cellIs" dxfId="2573" priority="1726" operator="equal">
      <formula>$O$9</formula>
    </cfRule>
    <cfRule type="cellIs" dxfId="2572" priority="1727" operator="equal">
      <formula>$O$8</formula>
    </cfRule>
    <cfRule type="cellIs" dxfId="2571" priority="1728" operator="equal">
      <formula>$O$7</formula>
    </cfRule>
    <cfRule type="cellIs" dxfId="2570" priority="1729" operator="equal">
      <formula>$O$6</formula>
    </cfRule>
    <cfRule type="cellIs" dxfId="2569" priority="1730" operator="equal">
      <formula>$O$5</formula>
    </cfRule>
    <cfRule type="duplicateValues" dxfId="2568" priority="1731"/>
    <cfRule type="cellIs" dxfId="2566" priority="1690" operator="equal">
      <formula>$O$13</formula>
    </cfRule>
    <cfRule type="cellIs" dxfId="2565" priority="1691" operator="equal">
      <formula>$O$12</formula>
    </cfRule>
    <cfRule type="cellIs" dxfId="2564" priority="1692" operator="equal">
      <formula>$O$11</formula>
    </cfRule>
    <cfRule type="cellIs" dxfId="2563" priority="1693" operator="equal">
      <formula>$O$10</formula>
    </cfRule>
    <cfRule type="duplicateValues" dxfId="2561" priority="1065"/>
    <cfRule type="duplicateValues" dxfId="2559" priority="1037"/>
    <cfRule type="cellIs" dxfId="2558" priority="1039" operator="equal">
      <formula>$O$13</formula>
    </cfRule>
    <cfRule type="cellIs" dxfId="2557" priority="1040" operator="equal">
      <formula>$O$12</formula>
    </cfRule>
    <cfRule type="cellIs" dxfId="2556" priority="1041" operator="equal">
      <formula>$O$11</formula>
    </cfRule>
    <cfRule type="cellIs" dxfId="2555" priority="1042" operator="equal">
      <formula>$O$10</formula>
    </cfRule>
    <cfRule type="cellIs" dxfId="2554" priority="1043" operator="equal">
      <formula>$O$9</formula>
    </cfRule>
    <cfRule type="cellIs" dxfId="2553" priority="1044" operator="equal">
      <formula>$O$8</formula>
    </cfRule>
    <cfRule type="cellIs" dxfId="2552" priority="1045" operator="equal">
      <formula>$O$7</formula>
    </cfRule>
    <cfRule type="cellIs" dxfId="2551" priority="1046" operator="equal">
      <formula>$O$6</formula>
    </cfRule>
  </conditionalFormatting>
  <conditionalFormatting sqref="L35">
    <cfRule type="duplicateValues" dxfId="2550" priority="616"/>
    <cfRule type="duplicateValues" dxfId="2549" priority="617"/>
    <cfRule type="duplicateValues" dxfId="2545" priority="626"/>
  </conditionalFormatting>
  <conditionalFormatting sqref="L35:L36">
    <cfRule type="cellIs" dxfId="2537" priority="583" operator="equal">
      <formula>$O$13</formula>
    </cfRule>
    <cfRule type="cellIs" dxfId="2536" priority="581" operator="equal">
      <formula>$O$15</formula>
    </cfRule>
    <cfRule type="cellIs" dxfId="2535" priority="580" operator="equal">
      <formula>$O$16</formula>
    </cfRule>
    <cfRule type="cellIs" dxfId="2534" priority="579" operator="equal">
      <formula>$O$17</formula>
    </cfRule>
    <cfRule type="cellIs" dxfId="2533" priority="578" operator="equal">
      <formula>$O$18</formula>
    </cfRule>
    <cfRule type="cellIs" dxfId="2532" priority="577" operator="equal">
      <formula>$O$10</formula>
    </cfRule>
    <cfRule type="duplicateValues" dxfId="2531" priority="634"/>
    <cfRule type="duplicateValues" dxfId="2530" priority="643"/>
    <cfRule type="cellIs" dxfId="2529" priority="584" operator="equal">
      <formula>$O$12</formula>
    </cfRule>
    <cfRule type="cellIs" dxfId="2528" priority="582" operator="equal">
      <formula>$O$14</formula>
    </cfRule>
  </conditionalFormatting>
  <conditionalFormatting sqref="L36">
    <cfRule type="duplicateValues" dxfId="2527" priority="597"/>
    <cfRule type="duplicateValues" dxfId="2525" priority="586"/>
  </conditionalFormatting>
  <conditionalFormatting sqref="L38:L49">
    <cfRule type="duplicateValues" dxfId="2515" priority="2317"/>
    <cfRule type="duplicateValues" dxfId="2514" priority="2342"/>
  </conditionalFormatting>
  <conditionalFormatting sqref="L38:L50">
    <cfRule type="duplicateValues" dxfId="2513" priority="2184"/>
  </conditionalFormatting>
  <conditionalFormatting sqref="L38:L51">
    <cfRule type="duplicateValues" dxfId="2512" priority="1906"/>
  </conditionalFormatting>
  <conditionalFormatting sqref="L49 F49 H49 N49">
    <cfRule type="duplicateValues" dxfId="2511" priority="2171"/>
    <cfRule type="duplicateValues" dxfId="2510" priority="2187"/>
  </conditionalFormatting>
  <conditionalFormatting sqref="L49">
    <cfRule type="cellIs" dxfId="2509" priority="2241" operator="equal">
      <formula>$O$13</formula>
    </cfRule>
    <cfRule type="cellIs" dxfId="2507" priority="2242" operator="equal">
      <formula>$O$12</formula>
    </cfRule>
    <cfRule type="duplicateValues" dxfId="2505" priority="2227"/>
    <cfRule type="duplicateValues" dxfId="2504" priority="2228"/>
    <cfRule type="duplicateValues" dxfId="2502" priority="2229"/>
    <cfRule type="cellIs" dxfId="2501" priority="2251" operator="equal">
      <formula>$O$9</formula>
    </cfRule>
    <cfRule type="cellIs" dxfId="2500" priority="2246" operator="equal">
      <formula>$O$17</formula>
    </cfRule>
    <cfRule type="cellIs" dxfId="2499" priority="2245" operator="equal">
      <formula>$O$18</formula>
    </cfRule>
    <cfRule type="cellIs" dxfId="2498" priority="2244" operator="equal">
      <formula>$O$10</formula>
    </cfRule>
    <cfRule type="cellIs" dxfId="2497" priority="2243" operator="equal">
      <formula>$O$11</formula>
    </cfRule>
    <cfRule type="cellIs" dxfId="2496" priority="2254" operator="equal">
      <formula>$O$6</formula>
    </cfRule>
    <cfRule type="cellIs" dxfId="2495" priority="2253" operator="equal">
      <formula>$O$7</formula>
    </cfRule>
    <cfRule type="cellIs" dxfId="2494" priority="2252" operator="equal">
      <formula>$O$8</formula>
    </cfRule>
    <cfRule type="duplicateValues" dxfId="2492" priority="2235"/>
    <cfRule type="duplicateValues" dxfId="2491" priority="2237"/>
    <cfRule type="cellIs" dxfId="2490" priority="2240" operator="equal">
      <formula>$O$14</formula>
    </cfRule>
    <cfRule type="cellIs" dxfId="2489" priority="2239" operator="equal">
      <formula>$O$15</formula>
    </cfRule>
    <cfRule type="cellIs" dxfId="2488" priority="2255" operator="equal">
      <formula>$O$5</formula>
    </cfRule>
    <cfRule type="duplicateValues" dxfId="2483" priority="2230"/>
    <cfRule type="cellIs" dxfId="2482" priority="2238" operator="equal">
      <formula>$O$16</formula>
    </cfRule>
    <cfRule type="duplicateValues" dxfId="2480" priority="2224"/>
  </conditionalFormatting>
  <conditionalFormatting sqref="L50">
    <cfRule type="duplicateValues" dxfId="2477" priority="2092"/>
    <cfRule type="duplicateValues" dxfId="2474" priority="2095"/>
    <cfRule type="duplicateValues" dxfId="2473" priority="2096"/>
    <cfRule type="duplicateValues" dxfId="2472" priority="2097"/>
    <cfRule type="duplicateValues" dxfId="2467" priority="2103"/>
    <cfRule type="cellIs" dxfId="2466" priority="2114" operator="equal">
      <formula>$O$17</formula>
    </cfRule>
    <cfRule type="cellIs" dxfId="2465" priority="2119" operator="equal">
      <formula>$O$9</formula>
    </cfRule>
    <cfRule type="cellIs" dxfId="2464" priority="2108" operator="equal">
      <formula>$O$14</formula>
    </cfRule>
    <cfRule type="cellIs" dxfId="2463" priority="2120" operator="equal">
      <formula>$O$8</formula>
    </cfRule>
    <cfRule type="cellIs" dxfId="2462" priority="2107" operator="equal">
      <formula>$O$15</formula>
    </cfRule>
    <cfRule type="cellIs" dxfId="2459" priority="2106" operator="equal">
      <formula>$O$16</formula>
    </cfRule>
    <cfRule type="duplicateValues" dxfId="2458" priority="2105"/>
    <cfRule type="cellIs" dxfId="2457" priority="2121" operator="equal">
      <formula>$O$7</formula>
    </cfRule>
    <cfRule type="cellIs" dxfId="2456" priority="2111" operator="equal">
      <formula>$O$11</formula>
    </cfRule>
    <cfRule type="cellIs" dxfId="2455" priority="2122" operator="equal">
      <formula>$O$6</formula>
    </cfRule>
    <cfRule type="cellIs" dxfId="2454" priority="2123" operator="equal">
      <formula>$O$5</formula>
    </cfRule>
    <cfRule type="cellIs" dxfId="2452" priority="2110" operator="equal">
      <formula>$O$12</formula>
    </cfRule>
    <cfRule type="duplicateValues" dxfId="2451" priority="2098"/>
    <cfRule type="cellIs" dxfId="2450" priority="2109" operator="equal">
      <formula>$O$13</formula>
    </cfRule>
    <cfRule type="cellIs" dxfId="2449" priority="2112" operator="equal">
      <formula>$O$10</formula>
    </cfRule>
    <cfRule type="cellIs" dxfId="2448" priority="2113" operator="equal">
      <formula>$O$18</formula>
    </cfRule>
  </conditionalFormatting>
  <conditionalFormatting sqref="L51 N51">
    <cfRule type="cellIs" dxfId="2447" priority="2035" operator="equal">
      <formula>$O$8</formula>
    </cfRule>
    <cfRule type="cellIs" dxfId="2446" priority="2034" operator="equal">
      <formula>$O$9</formula>
    </cfRule>
    <cfRule type="cellIs" dxfId="2445" priority="2033" operator="equal">
      <formula>$O$10</formula>
    </cfRule>
    <cfRule type="cellIs" dxfId="2444" priority="2032" operator="equal">
      <formula>$O$11</formula>
    </cfRule>
    <cfRule type="cellIs" dxfId="2443" priority="2030" operator="equal">
      <formula>$O$13</formula>
    </cfRule>
    <cfRule type="cellIs" dxfId="2442" priority="2038" operator="equal">
      <formula>$O$5</formula>
    </cfRule>
    <cfRule type="cellIs" dxfId="2441" priority="2031" operator="equal">
      <formula>$O$12</formula>
    </cfRule>
    <cfRule type="cellIs" dxfId="2440" priority="2037" operator="equal">
      <formula>$O$6</formula>
    </cfRule>
    <cfRule type="cellIs" dxfId="2439" priority="2036" operator="equal">
      <formula>$O$7</formula>
    </cfRule>
  </conditionalFormatting>
  <conditionalFormatting sqref="L51">
    <cfRule type="cellIs" dxfId="2438" priority="1968" operator="equal">
      <formula>$O$18</formula>
    </cfRule>
    <cfRule type="cellIs" dxfId="2437" priority="1967" operator="equal">
      <formula>$O$10</formula>
    </cfRule>
    <cfRule type="cellIs" dxfId="2436" priority="1966" operator="equal">
      <formula>$O$11</formula>
    </cfRule>
    <cfRule type="cellIs" dxfId="2435" priority="1965" operator="equal">
      <formula>$O$12</formula>
    </cfRule>
    <cfRule type="cellIs" dxfId="2434" priority="1964" operator="equal">
      <formula>$O$13</formula>
    </cfRule>
    <cfRule type="cellIs" dxfId="2433" priority="1963" operator="equal">
      <formula>$O$14</formula>
    </cfRule>
    <cfRule type="duplicateValues" dxfId="2432" priority="2027"/>
    <cfRule type="duplicateValues" dxfId="2431" priority="1947"/>
    <cfRule type="cellIs" dxfId="2430" priority="1961" operator="equal">
      <formula>$O$16</formula>
    </cfRule>
    <cfRule type="duplicateValues" dxfId="2429" priority="1960"/>
    <cfRule type="duplicateValues" dxfId="2428" priority="1958"/>
    <cfRule type="duplicateValues" dxfId="2423" priority="1953"/>
    <cfRule type="duplicateValues" dxfId="2422" priority="1952"/>
    <cfRule type="duplicateValues" dxfId="2421" priority="1951"/>
    <cfRule type="duplicateValues" dxfId="2420" priority="1950"/>
    <cfRule type="cellIs" dxfId="2419" priority="1962" operator="equal">
      <formula>$O$15</formula>
    </cfRule>
    <cfRule type="cellIs" dxfId="2412" priority="1978" operator="equal">
      <formula>$O$5</formula>
    </cfRule>
    <cfRule type="cellIs" dxfId="2411" priority="1977" operator="equal">
      <formula>$O$6</formula>
    </cfRule>
    <cfRule type="cellIs" dxfId="2410" priority="1976" operator="equal">
      <formula>$O$7</formula>
    </cfRule>
    <cfRule type="cellIs" dxfId="2409" priority="1975" operator="equal">
      <formula>$O$8</formula>
    </cfRule>
    <cfRule type="cellIs" dxfId="2408" priority="1974" operator="equal">
      <formula>$O$9</formula>
    </cfRule>
    <cfRule type="cellIs" dxfId="2407" priority="1969" operator="equal">
      <formula>$O$17</formula>
    </cfRule>
  </conditionalFormatting>
  <conditionalFormatting sqref="L52">
    <cfRule type="duplicateValues" dxfId="2406" priority="808"/>
    <cfRule type="duplicateValues" dxfId="2405" priority="811"/>
  </conditionalFormatting>
  <conditionalFormatting sqref="L52:L53 N52:N53">
    <cfRule type="cellIs" dxfId="2404" priority="854" operator="equal">
      <formula>$O$11</formula>
    </cfRule>
    <cfRule type="cellIs" dxfId="2403" priority="853" operator="equal">
      <formula>$O$12</formula>
    </cfRule>
    <cfRule type="cellIs" dxfId="2402" priority="851" operator="equal">
      <formula>$O$14</formula>
    </cfRule>
    <cfRule type="cellIs" dxfId="2401" priority="850" operator="equal">
      <formula>$O$15</formula>
    </cfRule>
    <cfRule type="cellIs" dxfId="2400" priority="849" operator="equal">
      <formula>$O$16</formula>
    </cfRule>
    <cfRule type="cellIs" dxfId="2399" priority="852" operator="equal">
      <formula>$O$13</formula>
    </cfRule>
  </conditionalFormatting>
  <conditionalFormatting sqref="L52:L53">
    <cfRule type="duplicateValues" dxfId="2398" priority="825"/>
    <cfRule type="duplicateValues" dxfId="2397" priority="848"/>
    <cfRule type="duplicateValues" dxfId="2386" priority="812"/>
    <cfRule type="cellIs" dxfId="2385" priority="824" operator="equal">
      <formula>$O$17</formula>
    </cfRule>
    <cfRule type="cellIs" dxfId="2384" priority="823" operator="equal">
      <formula>$O$18</formula>
    </cfRule>
    <cfRule type="cellIs" dxfId="2383" priority="821" operator="equal">
      <formula>$O$5</formula>
    </cfRule>
    <cfRule type="cellIs" dxfId="2382" priority="820" operator="equal">
      <formula>$O$6</formula>
    </cfRule>
    <cfRule type="cellIs" dxfId="2381" priority="819" operator="equal">
      <formula>$O$7</formula>
    </cfRule>
    <cfRule type="cellIs" dxfId="2380" priority="818" operator="equal">
      <formula>$O$8</formula>
    </cfRule>
    <cfRule type="cellIs" dxfId="2379" priority="817" operator="equal">
      <formula>$O$9</formula>
    </cfRule>
    <cfRule type="cellIs" dxfId="2378" priority="816" operator="equal">
      <formula>$O$10</formula>
    </cfRule>
    <cfRule type="cellIs" dxfId="2377" priority="815" operator="equal">
      <formula>$O$11</formula>
    </cfRule>
    <cfRule type="cellIs" dxfId="2376" priority="814" operator="equal">
      <formula>$O$12</formula>
    </cfRule>
    <cfRule type="cellIs" dxfId="2375" priority="813" operator="equal">
      <formula>$O$13</formula>
    </cfRule>
    <cfRule type="duplicateValues" dxfId="2374" priority="845"/>
    <cfRule type="duplicateValues" dxfId="2373" priority="809"/>
    <cfRule type="containsText" dxfId="2372" priority="806" operator="containsText" text="(SV)">
      <formula>NOT(ISERROR(SEARCH("(SV)",L52)))</formula>
    </cfRule>
    <cfRule type="containsText" dxfId="2371" priority="805" operator="containsText" text="(HEM)">
      <formula>NOT(ISERROR(SEARCH("(HEM)",L52)))</formula>
    </cfRule>
    <cfRule type="duplicateValues" dxfId="2370" priority="846"/>
  </conditionalFormatting>
  <conditionalFormatting sqref="L53">
    <cfRule type="duplicateValues" dxfId="2369" priority="810"/>
    <cfRule type="duplicateValues" dxfId="2368" priority="807"/>
  </conditionalFormatting>
  <conditionalFormatting sqref="L35:N36">
    <cfRule type="cellIs" dxfId="2367" priority="315" operator="equal">
      <formula>$O$5</formula>
    </cfRule>
    <cfRule type="cellIs" dxfId="2366" priority="314" operator="equal">
      <formula>$O$6</formula>
    </cfRule>
    <cfRule type="cellIs" dxfId="2365" priority="313" operator="equal">
      <formula>$O$7</formula>
    </cfRule>
    <cfRule type="cellIs" dxfId="2364" priority="312" operator="equal">
      <formula>$O$8</formula>
    </cfRule>
    <cfRule type="cellIs" dxfId="2363" priority="311" operator="equal">
      <formula>$O$9</formula>
    </cfRule>
    <cfRule type="cellIs" dxfId="2362" priority="310" operator="equal">
      <formula>$O$11</formula>
    </cfRule>
  </conditionalFormatting>
  <conditionalFormatting sqref="M18">
    <cfRule type="duplicateValues" dxfId="2361" priority="410"/>
  </conditionalFormatting>
  <conditionalFormatting sqref="M18:M19">
    <cfRule type="cellIs" dxfId="2360" priority="409" operator="equal">
      <formula>0</formula>
    </cfRule>
  </conditionalFormatting>
  <conditionalFormatting sqref="M19">
    <cfRule type="duplicateValues" dxfId="2359" priority="411"/>
  </conditionalFormatting>
  <conditionalFormatting sqref="M35">
    <cfRule type="duplicateValues" dxfId="2358" priority="247"/>
    <cfRule type="duplicateValues" dxfId="2357" priority="308"/>
  </conditionalFormatting>
  <conditionalFormatting sqref="M36">
    <cfRule type="duplicateValues" dxfId="2356" priority="306"/>
    <cfRule type="duplicateValues" dxfId="2355" priority="307"/>
    <cfRule type="duplicateValues" dxfId="2354" priority="246"/>
    <cfRule type="duplicateValues" dxfId="2353" priority="245"/>
    <cfRule type="duplicateValues" dxfId="2352" priority="244"/>
    <cfRule type="duplicateValues" dxfId="2351" priority="305"/>
  </conditionalFormatting>
  <conditionalFormatting sqref="M38">
    <cfRule type="duplicateValues" dxfId="2350" priority="70"/>
    <cfRule type="duplicateValues" dxfId="2349" priority="97"/>
  </conditionalFormatting>
  <conditionalFormatting sqref="M39">
    <cfRule type="duplicateValues" dxfId="2348" priority="96"/>
    <cfRule type="duplicateValues" dxfId="2347" priority="84"/>
  </conditionalFormatting>
  <conditionalFormatting sqref="M40">
    <cfRule type="duplicateValues" dxfId="2346" priority="95"/>
    <cfRule type="duplicateValues" dxfId="2345" priority="83"/>
  </conditionalFormatting>
  <conditionalFormatting sqref="M41">
    <cfRule type="duplicateValues" dxfId="2344" priority="82"/>
    <cfRule type="duplicateValues" dxfId="2343" priority="94"/>
  </conditionalFormatting>
  <conditionalFormatting sqref="M42">
    <cfRule type="duplicateValues" dxfId="2342" priority="81"/>
    <cfRule type="duplicateValues" dxfId="2341" priority="93"/>
  </conditionalFormatting>
  <conditionalFormatting sqref="M43">
    <cfRule type="duplicateValues" dxfId="2340" priority="80"/>
    <cfRule type="duplicateValues" dxfId="2339" priority="92"/>
  </conditionalFormatting>
  <conditionalFormatting sqref="M44">
    <cfRule type="duplicateValues" dxfId="2338" priority="91"/>
    <cfRule type="duplicateValues" dxfId="2337" priority="79"/>
  </conditionalFormatting>
  <conditionalFormatting sqref="M45">
    <cfRule type="duplicateValues" dxfId="2336" priority="90"/>
    <cfRule type="duplicateValues" dxfId="2335" priority="78"/>
  </conditionalFormatting>
  <conditionalFormatting sqref="M46">
    <cfRule type="duplicateValues" dxfId="2334" priority="89"/>
    <cfRule type="duplicateValues" dxfId="2333" priority="77"/>
  </conditionalFormatting>
  <conditionalFormatting sqref="M47">
    <cfRule type="duplicateValues" dxfId="2332" priority="76"/>
    <cfRule type="duplicateValues" dxfId="2331" priority="88"/>
  </conditionalFormatting>
  <conditionalFormatting sqref="M48">
    <cfRule type="duplicateValues" dxfId="2330" priority="75"/>
    <cfRule type="duplicateValues" dxfId="2329" priority="87"/>
  </conditionalFormatting>
  <conditionalFormatting sqref="M49">
    <cfRule type="duplicateValues" dxfId="2328" priority="74"/>
    <cfRule type="duplicateValues" dxfId="2327" priority="85"/>
    <cfRule type="duplicateValues" dxfId="2326" priority="86"/>
  </conditionalFormatting>
  <conditionalFormatting sqref="M50">
    <cfRule type="duplicateValues" dxfId="2325" priority="73"/>
    <cfRule type="duplicateValues" dxfId="2324" priority="72"/>
  </conditionalFormatting>
  <conditionalFormatting sqref="M51">
    <cfRule type="duplicateValues" dxfId="2323" priority="67"/>
    <cfRule type="duplicateValues" dxfId="2322" priority="68"/>
  </conditionalFormatting>
  <conditionalFormatting sqref="M52">
    <cfRule type="duplicateValues" dxfId="2321" priority="839"/>
    <cfRule type="duplicateValues" dxfId="2320" priority="837"/>
  </conditionalFormatting>
  <conditionalFormatting sqref="M53">
    <cfRule type="duplicateValues" dxfId="2319" priority="836"/>
    <cfRule type="duplicateValues" dxfId="2318" priority="838"/>
  </conditionalFormatting>
  <conditionalFormatting sqref="N5:N14 N16">
    <cfRule type="duplicateValues" dxfId="2317" priority="1590"/>
    <cfRule type="duplicateValues" dxfId="2316" priority="1591"/>
  </conditionalFormatting>
  <conditionalFormatting sqref="N5:N16">
    <cfRule type="duplicateValues" dxfId="2310" priority="1575"/>
  </conditionalFormatting>
  <conditionalFormatting sqref="N5:N17">
    <cfRule type="duplicateValues" dxfId="2309" priority="955"/>
    <cfRule type="duplicateValues" dxfId="2308" priority="1556"/>
  </conditionalFormatting>
  <conditionalFormatting sqref="N15">
    <cfRule type="duplicateValues" dxfId="2302" priority="1582"/>
    <cfRule type="duplicateValues" dxfId="2301" priority="1583"/>
  </conditionalFormatting>
  <conditionalFormatting sqref="N17">
    <cfRule type="cellIs" dxfId="2300" priority="1396" operator="equal">
      <formula>$O$15</formula>
    </cfRule>
    <cfRule type="duplicateValues" dxfId="2299" priority="1364"/>
    <cfRule type="duplicateValues" dxfId="2298" priority="1366"/>
    <cfRule type="cellIs" dxfId="2297" priority="1367" operator="equal">
      <formula>$O$13</formula>
    </cfRule>
    <cfRule type="cellIs" dxfId="2296" priority="1368" operator="equal">
      <formula>$O$12</formula>
    </cfRule>
    <cfRule type="cellIs" dxfId="2295" priority="1369" operator="equal">
      <formula>$O$11</formula>
    </cfRule>
    <cfRule type="cellIs" dxfId="2294" priority="1370" operator="equal">
      <formula>$O$10</formula>
    </cfRule>
    <cfRule type="cellIs" dxfId="2293" priority="1371" operator="equal">
      <formula>$O$9</formula>
    </cfRule>
    <cfRule type="cellIs" dxfId="2292" priority="1372" operator="equal">
      <formula>$O$8</formula>
    </cfRule>
    <cfRule type="cellIs" dxfId="2291" priority="1373" operator="equal">
      <formula>$O$7</formula>
    </cfRule>
    <cfRule type="cellIs" dxfId="2290" priority="1374" operator="equal">
      <formula>$O$6</formula>
    </cfRule>
    <cfRule type="cellIs" dxfId="2289" priority="1375" operator="equal">
      <formula>$O$5</formula>
    </cfRule>
    <cfRule type="cellIs" dxfId="2288" priority="1377" operator="equal">
      <formula>$O$18</formula>
    </cfRule>
    <cfRule type="cellIs" dxfId="2287" priority="1378" operator="equal">
      <formula>$O$17</formula>
    </cfRule>
    <cfRule type="cellIs" dxfId="2286" priority="1379" operator="equal">
      <formula>$O$16</formula>
    </cfRule>
    <cfRule type="cellIs" dxfId="2285" priority="1380" operator="equal">
      <formula>$O$15</formula>
    </cfRule>
    <cfRule type="cellIs" dxfId="2284" priority="1381" operator="equal">
      <formula>$O$14</formula>
    </cfRule>
    <cfRule type="duplicateValues" dxfId="2283" priority="1391"/>
    <cfRule type="duplicateValues" dxfId="2282" priority="1392"/>
    <cfRule type="cellIs" dxfId="2281" priority="1393" operator="equal">
      <formula>$O$18</formula>
    </cfRule>
    <cfRule type="cellIs" dxfId="2280" priority="1394" operator="equal">
      <formula>$O$17</formula>
    </cfRule>
    <cfRule type="cellIs" dxfId="2279" priority="1395" operator="equal">
      <formula>$O$16</formula>
    </cfRule>
    <cfRule type="cellIs" dxfId="2278" priority="1397" operator="equal">
      <formula>$O$14</formula>
    </cfRule>
    <cfRule type="cellIs" dxfId="2277" priority="1399" operator="equal">
      <formula>$O$13</formula>
    </cfRule>
    <cfRule type="cellIs" dxfId="2276" priority="1400" operator="equal">
      <formula>$O$12</formula>
    </cfRule>
    <cfRule type="cellIs" dxfId="2275" priority="1401" operator="equal">
      <formula>$O$11</formula>
    </cfRule>
    <cfRule type="cellIs" dxfId="2274" priority="1403" operator="equal">
      <formula>$O$10</formula>
    </cfRule>
    <cfRule type="cellIs" dxfId="2273" priority="1404" operator="equal">
      <formula>$O$9</formula>
    </cfRule>
    <cfRule type="cellIs" dxfId="2272" priority="1405" operator="equal">
      <formula>$O$8</formula>
    </cfRule>
    <cfRule type="cellIs" dxfId="2271" priority="1406" operator="equal">
      <formula>$O$7</formula>
    </cfRule>
    <cfRule type="cellIs" dxfId="2270" priority="1407" operator="equal">
      <formula>$O$6</formula>
    </cfRule>
    <cfRule type="cellIs" dxfId="2269" priority="1408" operator="equal">
      <formula>$O$5</formula>
    </cfRule>
    <cfRule type="duplicateValues" dxfId="2268" priority="1409"/>
    <cfRule type="duplicateValues" dxfId="2267" priority="1410"/>
    <cfRule type="cellIs" dxfId="2266" priority="1411" operator="equal">
      <formula>$O$18</formula>
    </cfRule>
    <cfRule type="cellIs" dxfId="2265" priority="1412" operator="equal">
      <formula>$O$10</formula>
    </cfRule>
    <cfRule type="cellIs" dxfId="2264" priority="1413" operator="equal">
      <formula>$O$17</formula>
    </cfRule>
    <cfRule type="cellIs" dxfId="2263" priority="1414" operator="equal">
      <formula>$O$16</formula>
    </cfRule>
    <cfRule type="cellIs" dxfId="2262" priority="1415" operator="equal">
      <formula>$O$15</formula>
    </cfRule>
    <cfRule type="cellIs" dxfId="2261" priority="1416" operator="equal">
      <formula>$O$14</formula>
    </cfRule>
    <cfRule type="cellIs" dxfId="2260" priority="1417" operator="equal">
      <formula>$O$13</formula>
    </cfRule>
    <cfRule type="cellIs" dxfId="2259" priority="1418" operator="equal">
      <formula>$O$12</formula>
    </cfRule>
    <cfRule type="cellIs" dxfId="2258" priority="1419" operator="equal">
      <formula>$O$11</formula>
    </cfRule>
    <cfRule type="cellIs" dxfId="2257" priority="1422" operator="equal">
      <formula>$O$9</formula>
    </cfRule>
    <cfRule type="cellIs" dxfId="2256" priority="1424" operator="equal">
      <formula>$O$8</formula>
    </cfRule>
    <cfRule type="cellIs" dxfId="2255" priority="1425" operator="equal">
      <formula>$O$7</formula>
    </cfRule>
    <cfRule type="cellIs" dxfId="2254" priority="1426" operator="equal">
      <formula>$O$6</formula>
    </cfRule>
    <cfRule type="duplicateValues" dxfId="2253" priority="1199"/>
    <cfRule type="duplicateValues" dxfId="2252" priority="1200"/>
    <cfRule type="cellIs" dxfId="2251" priority="1201" operator="equal">
      <formula>$O$18</formula>
    </cfRule>
    <cfRule type="cellIs" dxfId="2250" priority="1202" operator="equal">
      <formula>$O$17</formula>
    </cfRule>
    <cfRule type="cellIs" dxfId="2249" priority="1203" operator="equal">
      <formula>$O$16</formula>
    </cfRule>
    <cfRule type="cellIs" dxfId="2248" priority="1204" operator="equal">
      <formula>$O$15</formula>
    </cfRule>
    <cfRule type="cellIs" dxfId="2247" priority="1205" operator="equal">
      <formula>$O$14</formula>
    </cfRule>
    <cfRule type="cellIs" dxfId="2246" priority="1207" operator="equal">
      <formula>$O$13</formula>
    </cfRule>
    <cfRule type="cellIs" dxfId="2245" priority="1208" operator="equal">
      <formula>$O$12</formula>
    </cfRule>
    <cfRule type="cellIs" dxfId="2244" priority="1209" operator="equal">
      <formula>$O$11</formula>
    </cfRule>
    <cfRule type="cellIs" dxfId="2243" priority="1211" operator="equal">
      <formula>$O$10</formula>
    </cfRule>
    <cfRule type="cellIs" dxfId="2242" priority="1212" operator="equal">
      <formula>$O$9</formula>
    </cfRule>
    <cfRule type="cellIs" dxfId="2241" priority="1213" operator="equal">
      <formula>$O$8</formula>
    </cfRule>
    <cfRule type="cellIs" dxfId="2240" priority="1214" operator="equal">
      <formula>$O$7</formula>
    </cfRule>
    <cfRule type="cellIs" dxfId="2239" priority="1215" operator="equal">
      <formula>$O$6</formula>
    </cfRule>
    <cfRule type="cellIs" dxfId="2238" priority="1216" operator="equal">
      <formula>$O$5</formula>
    </cfRule>
    <cfRule type="duplicateValues" dxfId="2237" priority="1217"/>
    <cfRule type="duplicateValues" dxfId="2236" priority="1218"/>
    <cfRule type="cellIs" dxfId="2235" priority="1219" operator="equal">
      <formula>$O$18</formula>
    </cfRule>
    <cfRule type="cellIs" dxfId="2234" priority="1220" operator="equal">
      <formula>$O$10</formula>
    </cfRule>
    <cfRule type="cellIs" dxfId="2233" priority="1221" operator="equal">
      <formula>$O$17</formula>
    </cfRule>
    <cfRule type="cellIs" dxfId="2232" priority="1222" operator="equal">
      <formula>$O$16</formula>
    </cfRule>
    <cfRule type="cellIs" dxfId="2231" priority="1223" operator="equal">
      <formula>$O$15</formula>
    </cfRule>
    <cfRule type="cellIs" dxfId="2230" priority="1224" operator="equal">
      <formula>$O$14</formula>
    </cfRule>
    <cfRule type="cellIs" dxfId="2229" priority="1225" operator="equal">
      <formula>$O$13</formula>
    </cfRule>
    <cfRule type="cellIs" dxfId="2228" priority="1226" operator="equal">
      <formula>$O$12</formula>
    </cfRule>
    <cfRule type="cellIs" dxfId="2227" priority="1227" operator="equal">
      <formula>$O$11</formula>
    </cfRule>
    <cfRule type="cellIs" dxfId="2226" priority="1230" operator="equal">
      <formula>$O$9</formula>
    </cfRule>
    <cfRule type="cellIs" dxfId="2225" priority="1232" operator="equal">
      <formula>$O$8</formula>
    </cfRule>
    <cfRule type="cellIs" dxfId="2224" priority="1234" operator="equal">
      <formula>$O$6</formula>
    </cfRule>
    <cfRule type="cellIs" dxfId="2223" priority="1235" operator="equal">
      <formula>$O$5</formula>
    </cfRule>
    <cfRule type="cellIs" dxfId="2222" priority="1188" operator="equal">
      <formula>$O$15</formula>
    </cfRule>
    <cfRule type="cellIs" dxfId="2221" priority="1187" operator="equal">
      <formula>$O$16</formula>
    </cfRule>
    <cfRule type="cellIs" dxfId="2220" priority="1186" operator="equal">
      <formula>$O$17</formula>
    </cfRule>
    <cfRule type="cellIs" dxfId="2219" priority="1185" operator="equal">
      <formula>$O$18</formula>
    </cfRule>
    <cfRule type="cellIs" dxfId="2218" priority="1183" operator="equal">
      <formula>$O$5</formula>
    </cfRule>
    <cfRule type="cellIs" dxfId="2217" priority="1189" operator="equal">
      <formula>$O$14</formula>
    </cfRule>
    <cfRule type="cellIs" dxfId="2216" priority="1182" operator="equal">
      <formula>$O$6</formula>
    </cfRule>
    <cfRule type="cellIs" dxfId="2215" priority="1181" operator="equal">
      <formula>$O$7</formula>
    </cfRule>
    <cfRule type="cellIs" dxfId="2214" priority="1180" operator="equal">
      <formula>$O$8</formula>
    </cfRule>
    <cfRule type="cellIs" dxfId="2213" priority="1179" operator="equal">
      <formula>$O$9</formula>
    </cfRule>
    <cfRule type="cellIs" dxfId="2212" priority="1178" operator="equal">
      <formula>$O$10</formula>
    </cfRule>
    <cfRule type="cellIs" dxfId="2211" priority="1177" operator="equal">
      <formula>$O$11</formula>
    </cfRule>
    <cfRule type="cellIs" dxfId="2210" priority="1176" operator="equal">
      <formula>$O$12</formula>
    </cfRule>
    <cfRule type="cellIs" dxfId="2209" priority="1175" operator="equal">
      <formula>$O$13</formula>
    </cfRule>
    <cfRule type="duplicateValues" dxfId="2208" priority="1174"/>
    <cfRule type="duplicateValues" dxfId="2207" priority="1172"/>
    <cfRule type="cellIs" dxfId="2206" priority="1233" operator="equal">
      <formula>$O$7</formula>
    </cfRule>
    <cfRule type="cellIs" dxfId="2205" priority="1427" operator="equal">
      <formula>$O$5</formula>
    </cfRule>
  </conditionalFormatting>
  <conditionalFormatting sqref="N17:N19">
    <cfRule type="cellIs" dxfId="2204" priority="394" operator="equal">
      <formula>0</formula>
    </cfRule>
  </conditionalFormatting>
  <conditionalFormatting sqref="N18">
    <cfRule type="duplicateValues" dxfId="2203" priority="191"/>
    <cfRule type="duplicateValues" dxfId="2202" priority="397"/>
  </conditionalFormatting>
  <conditionalFormatting sqref="N18:N19">
    <cfRule type="cellIs" dxfId="2200" priority="389" operator="equal">
      <formula>$O$9</formula>
    </cfRule>
    <cfRule type="cellIs" dxfId="2199" priority="388" operator="equal">
      <formula>$O$10</formula>
    </cfRule>
    <cfRule type="cellIs" dxfId="2198" priority="387" operator="equal">
      <formula>$O$11</formula>
    </cfRule>
    <cfRule type="cellIs" dxfId="2197" priority="386" operator="equal">
      <formula>$O$12</formula>
    </cfRule>
    <cfRule type="cellIs" dxfId="2196" priority="385" operator="equal">
      <formula>$O$13</formula>
    </cfRule>
    <cfRule type="cellIs" dxfId="2195" priority="384" operator="equal">
      <formula>$O$14</formula>
    </cfRule>
    <cfRule type="cellIs" dxfId="2194" priority="383" operator="equal">
      <formula>$O$15</formula>
    </cfRule>
    <cfRule type="cellIs" dxfId="2193" priority="382" operator="equal">
      <formula>$O$16</formula>
    </cfRule>
    <cfRule type="cellIs" dxfId="2192" priority="381" operator="equal">
      <formula>$O$17</formula>
    </cfRule>
    <cfRule type="cellIs" dxfId="2191" priority="380" operator="equal">
      <formula>$O$18</formula>
    </cfRule>
    <cfRule type="duplicateValues" dxfId="2189" priority="412"/>
    <cfRule type="duplicateValues" dxfId="2185" priority="379"/>
    <cfRule type="cellIs" dxfId="2184" priority="390" operator="equal">
      <formula>$O$8</formula>
    </cfRule>
    <cfRule type="cellIs" dxfId="2180" priority="391" operator="equal">
      <formula>$O$7</formula>
    </cfRule>
    <cfRule type="cellIs" dxfId="2179" priority="392" operator="equal">
      <formula>$O$6</formula>
    </cfRule>
    <cfRule type="duplicateValues" dxfId="2178" priority="395"/>
    <cfRule type="cellIs" dxfId="2177" priority="393" operator="equal">
      <formula>$O$5</formula>
    </cfRule>
    <cfRule type="duplicateValues" dxfId="2176" priority="396"/>
  </conditionalFormatting>
  <conditionalFormatting sqref="N19">
    <cfRule type="duplicateValues" dxfId="2173" priority="398"/>
  </conditionalFormatting>
  <conditionalFormatting sqref="N35">
    <cfRule type="duplicateValues" dxfId="2172" priority="231"/>
    <cfRule type="duplicateValues" dxfId="2167" priority="241"/>
    <cfRule type="duplicateValues" dxfId="2160" priority="302"/>
    <cfRule type="duplicateValues" dxfId="2151" priority="293"/>
    <cfRule type="duplicateValues" dxfId="2150" priority="292"/>
    <cfRule type="duplicateValues" dxfId="2147" priority="232"/>
  </conditionalFormatting>
  <conditionalFormatting sqref="N35:N36">
    <cfRule type="cellIs" dxfId="2146" priority="258" operator="equal">
      <formula>$O$14</formula>
    </cfRule>
    <cfRule type="duplicateValues" dxfId="2145" priority="317"/>
    <cfRule type="duplicateValues" dxfId="2144" priority="309"/>
    <cfRule type="cellIs" dxfId="2143" priority="198" operator="equal">
      <formula>$O$13</formula>
    </cfRule>
    <cfRule type="cellIs" dxfId="2142" priority="192" operator="equal">
      <formula>$O$10</formula>
    </cfRule>
    <cfRule type="cellIs" dxfId="2141" priority="193" operator="equal">
      <formula>$O$18</formula>
    </cfRule>
    <cfRule type="cellIs" dxfId="2140" priority="194" operator="equal">
      <formula>$O$17</formula>
    </cfRule>
    <cfRule type="cellIs" dxfId="2139" priority="195" operator="equal">
      <formula>$O$16</formula>
    </cfRule>
    <cfRule type="cellIs" dxfId="2138" priority="196" operator="equal">
      <formula>$O$15</formula>
    </cfRule>
    <cfRule type="cellIs" dxfId="2137" priority="197" operator="equal">
      <formula>$O$14</formula>
    </cfRule>
    <cfRule type="cellIs" dxfId="2136" priority="282" operator="equal">
      <formula>$O$5</formula>
    </cfRule>
    <cfRule type="cellIs" dxfId="2135" priority="281" operator="equal">
      <formula>$O$6</formula>
    </cfRule>
    <cfRule type="cellIs" dxfId="2134" priority="280" operator="equal">
      <formula>$O$7</formula>
    </cfRule>
    <cfRule type="cellIs" dxfId="2133" priority="278" operator="equal">
      <formula>$O$9</formula>
    </cfRule>
    <cfRule type="duplicateValues" dxfId="2132" priority="248"/>
    <cfRule type="cellIs" dxfId="2131" priority="220" operator="equal">
      <formula>$O$6</formula>
    </cfRule>
    <cfRule type="cellIs" dxfId="2130" priority="218" operator="equal">
      <formula>$O$8</formula>
    </cfRule>
    <cfRule type="cellIs" dxfId="2129" priority="217" operator="equal">
      <formula>$O$9</formula>
    </cfRule>
    <cfRule type="cellIs" dxfId="2128" priority="279" operator="equal">
      <formula>$O$8</formula>
    </cfRule>
    <cfRule type="cellIs" dxfId="2127" priority="199" operator="equal">
      <formula>$O$12</formula>
    </cfRule>
    <cfRule type="cellIs" dxfId="2126" priority="261" operator="equal">
      <formula>$O$11</formula>
    </cfRule>
    <cfRule type="cellIs" dxfId="2125" priority="260" operator="equal">
      <formula>$O$12</formula>
    </cfRule>
    <cfRule type="cellIs" dxfId="2124" priority="259" operator="equal">
      <formula>$O$13</formula>
    </cfRule>
    <cfRule type="duplicateValues" dxfId="2123" priority="252"/>
    <cfRule type="cellIs" dxfId="2122" priority="200" operator="equal">
      <formula>$O$11</formula>
    </cfRule>
    <cfRule type="cellIs" dxfId="2121" priority="257" operator="equal">
      <formula>$O$15</formula>
    </cfRule>
    <cfRule type="cellIs" dxfId="2120" priority="256" operator="equal">
      <formula>$O$16</formula>
    </cfRule>
    <cfRule type="cellIs" dxfId="2119" priority="255" operator="equal">
      <formula>$O$17</formula>
    </cfRule>
    <cfRule type="cellIs" dxfId="2118" priority="254" operator="equal">
      <formula>$O$18</formula>
    </cfRule>
    <cfRule type="cellIs" dxfId="2117" priority="253" operator="equal">
      <formula>$O$10</formula>
    </cfRule>
    <cfRule type="cellIs" dxfId="2116" priority="219" operator="equal">
      <formula>$O$7</formula>
    </cfRule>
    <cfRule type="duplicateValues" dxfId="2115" priority="251"/>
    <cfRule type="duplicateValues" dxfId="2114" priority="250"/>
    <cfRule type="duplicateValues" dxfId="2113" priority="249"/>
    <cfRule type="cellIs" dxfId="2112" priority="221" operator="equal">
      <formula>$O$5</formula>
    </cfRule>
  </conditionalFormatting>
  <conditionalFormatting sqref="N36">
    <cfRule type="duplicateValues" dxfId="2111" priority="262"/>
    <cfRule type="duplicateValues" dxfId="2103" priority="212"/>
    <cfRule type="duplicateValues" dxfId="2092" priority="273"/>
    <cfRule type="duplicateValues" dxfId="2089" priority="201"/>
  </conditionalFormatting>
  <conditionalFormatting sqref="N38:N49">
    <cfRule type="duplicateValues" dxfId="2087" priority="2316"/>
    <cfRule type="duplicateValues" dxfId="2086" priority="2341"/>
  </conditionalFormatting>
  <conditionalFormatting sqref="N38:N50">
    <cfRule type="duplicateValues" dxfId="2085" priority="2183"/>
  </conditionalFormatting>
  <conditionalFormatting sqref="N38:N51">
    <cfRule type="duplicateValues" dxfId="2084" priority="1897"/>
    <cfRule type="duplicateValues" dxfId="2083" priority="1905"/>
  </conditionalFormatting>
  <conditionalFormatting sqref="N49">
    <cfRule type="duplicateValues" dxfId="2082" priority="2201"/>
    <cfRule type="cellIs" dxfId="2081" priority="2202" operator="equal">
      <formula>$O$16</formula>
    </cfRule>
    <cfRule type="cellIs" dxfId="2080" priority="2203" operator="equal">
      <formula>$O$15</formula>
    </cfRule>
    <cfRule type="cellIs" dxfId="2079" priority="2204" operator="equal">
      <formula>$O$14</formula>
    </cfRule>
    <cfRule type="cellIs" dxfId="2078" priority="2205" operator="equal">
      <formula>$O$13</formula>
    </cfRule>
    <cfRule type="cellIs" dxfId="2077" priority="2206" operator="equal">
      <formula>$O$12</formula>
    </cfRule>
    <cfRule type="cellIs" dxfId="2076" priority="2207" operator="equal">
      <formula>$O$11</formula>
    </cfRule>
    <cfRule type="cellIs" dxfId="2075" priority="2208" operator="equal">
      <formula>$O$10</formula>
    </cfRule>
    <cfRule type="cellIs" dxfId="2074" priority="2209" operator="equal">
      <formula>$O$18</formula>
    </cfRule>
    <cfRule type="cellIs" dxfId="2073" priority="2210" operator="equal">
      <formula>$O$17</formula>
    </cfRule>
    <cfRule type="cellIs" dxfId="2072" priority="2215" operator="equal">
      <formula>$O$9</formula>
    </cfRule>
    <cfRule type="cellIs" dxfId="2071" priority="2216" operator="equal">
      <formula>$O$8</formula>
    </cfRule>
    <cfRule type="cellIs" dxfId="2070" priority="2217" operator="equal">
      <formula>$O$7</formula>
    </cfRule>
    <cfRule type="cellIs" dxfId="2069" priority="2218" operator="equal">
      <formula>$O$6</formula>
    </cfRule>
    <cfRule type="duplicateValues" dxfId="2063" priority="2188"/>
    <cfRule type="duplicateValues" dxfId="2061" priority="2199"/>
    <cfRule type="duplicateValues" dxfId="2057" priority="2194"/>
    <cfRule type="duplicateValues" dxfId="2056" priority="2193"/>
    <cfRule type="duplicateValues" dxfId="2055" priority="2192"/>
    <cfRule type="duplicateValues" dxfId="2054" priority="2191"/>
    <cfRule type="cellIs" dxfId="2052" priority="2219" operator="equal">
      <formula>$O$5</formula>
    </cfRule>
  </conditionalFormatting>
  <conditionalFormatting sqref="N50">
    <cfRule type="duplicateValues" dxfId="2049" priority="2062"/>
    <cfRule type="duplicateValues" dxfId="2048" priority="2061"/>
    <cfRule type="duplicateValues" dxfId="2047" priority="2060"/>
    <cfRule type="duplicateValues" dxfId="2046" priority="2059"/>
    <cfRule type="cellIs" dxfId="2043" priority="2072" operator="equal">
      <formula>$O$14</formula>
    </cfRule>
    <cfRule type="duplicateValues" dxfId="2042" priority="2056"/>
    <cfRule type="cellIs" dxfId="2037" priority="2087" operator="equal">
      <formula>$O$5</formula>
    </cfRule>
    <cfRule type="cellIs" dxfId="2036" priority="2086" operator="equal">
      <formula>$O$6</formula>
    </cfRule>
    <cfRule type="cellIs" dxfId="2035" priority="2085" operator="equal">
      <formula>$O$7</formula>
    </cfRule>
    <cfRule type="cellIs" dxfId="2034" priority="2084" operator="equal">
      <formula>$O$8</formula>
    </cfRule>
    <cfRule type="cellIs" dxfId="2033" priority="2083" operator="equal">
      <formula>$O$9</formula>
    </cfRule>
    <cfRule type="cellIs" dxfId="2032" priority="2078" operator="equal">
      <formula>$O$17</formula>
    </cfRule>
    <cfRule type="cellIs" dxfId="2031" priority="2077" operator="equal">
      <formula>$O$18</formula>
    </cfRule>
    <cfRule type="cellIs" dxfId="2030" priority="2076" operator="equal">
      <formula>$O$10</formula>
    </cfRule>
    <cfRule type="cellIs" dxfId="2029" priority="2075" operator="equal">
      <formula>$O$11</formula>
    </cfRule>
    <cfRule type="cellIs" dxfId="2028" priority="2074" operator="equal">
      <formula>$O$12</formula>
    </cfRule>
    <cfRule type="cellIs" dxfId="2027" priority="2073" operator="equal">
      <formula>$O$13</formula>
    </cfRule>
    <cfRule type="cellIs" dxfId="2026" priority="2071" operator="equal">
      <formula>$O$15</formula>
    </cfRule>
    <cfRule type="cellIs" dxfId="2025" priority="2070" operator="equal">
      <formula>$O$16</formula>
    </cfRule>
    <cfRule type="duplicateValues" dxfId="2024" priority="2069"/>
    <cfRule type="duplicateValues" dxfId="2023" priority="2067"/>
  </conditionalFormatting>
  <conditionalFormatting sqref="N51">
    <cfRule type="duplicateValues" dxfId="2017" priority="1917"/>
    <cfRule type="duplicateValues" dxfId="2016" priority="1916"/>
    <cfRule type="duplicateValues" dxfId="2015" priority="1915"/>
    <cfRule type="duplicateValues" dxfId="2014" priority="1914"/>
    <cfRule type="duplicateValues" dxfId="2011" priority="1911"/>
    <cfRule type="duplicateValues" dxfId="2010" priority="2026"/>
    <cfRule type="duplicateValues" dxfId="2009" priority="1922"/>
    <cfRule type="cellIs" dxfId="2003" priority="1942" operator="equal">
      <formula>$O$5</formula>
    </cfRule>
    <cfRule type="cellIs" dxfId="2002" priority="1941" operator="equal">
      <formula>$O$6</formula>
    </cfRule>
    <cfRule type="cellIs" dxfId="2001" priority="1940" operator="equal">
      <formula>$O$7</formula>
    </cfRule>
    <cfRule type="cellIs" dxfId="2000" priority="1939" operator="equal">
      <formula>$O$8</formula>
    </cfRule>
    <cfRule type="cellIs" dxfId="1999" priority="1938" operator="equal">
      <formula>$O$9</formula>
    </cfRule>
    <cfRule type="cellIs" dxfId="1998" priority="1933" operator="equal">
      <formula>$O$17</formula>
    </cfRule>
    <cfRule type="cellIs" dxfId="1997" priority="1932" operator="equal">
      <formula>$O$18</formula>
    </cfRule>
    <cfRule type="cellIs" dxfId="1996" priority="1931" operator="equal">
      <formula>$O$10</formula>
    </cfRule>
    <cfRule type="cellIs" dxfId="1995" priority="1930" operator="equal">
      <formula>$O$11</formula>
    </cfRule>
    <cfRule type="cellIs" dxfId="1994" priority="1929" operator="equal">
      <formula>$O$12</formula>
    </cfRule>
    <cfRule type="cellIs" dxfId="1993" priority="1928" operator="equal">
      <formula>$O$13</formula>
    </cfRule>
    <cfRule type="cellIs" dxfId="1992" priority="1927" operator="equal">
      <formula>$O$14</formula>
    </cfRule>
    <cfRule type="cellIs" dxfId="1991" priority="1926" operator="equal">
      <formula>$O$15</formula>
    </cfRule>
    <cfRule type="cellIs" dxfId="1990" priority="1925" operator="equal">
      <formula>$O$16</formula>
    </cfRule>
    <cfRule type="duplicateValues" dxfId="1989" priority="1924"/>
  </conditionalFormatting>
  <conditionalFormatting sqref="N52">
    <cfRule type="duplicateValues" dxfId="1988" priority="777"/>
    <cfRule type="duplicateValues" dxfId="1987" priority="774"/>
  </conditionalFormatting>
  <conditionalFormatting sqref="N52:N53">
    <cfRule type="duplicateValues" dxfId="1978" priority="802"/>
    <cfRule type="duplicateValues" dxfId="1977" priority="803"/>
    <cfRule type="duplicateValues" dxfId="1976" priority="804"/>
    <cfRule type="duplicateValues" dxfId="1975" priority="844"/>
    <cfRule type="duplicateValues" dxfId="1974" priority="847"/>
    <cfRule type="containsText" dxfId="1971" priority="771" operator="containsText" text="(HEM)">
      <formula>NOT(ISERROR(SEARCH("(HEM)",N52)))</formula>
    </cfRule>
    <cfRule type="containsText" dxfId="1970" priority="772" operator="containsText" text="(SV)">
      <formula>NOT(ISERROR(SEARCH("(SV)",N52)))</formula>
    </cfRule>
    <cfRule type="duplicateValues" dxfId="1969" priority="775"/>
    <cfRule type="duplicateValues" dxfId="1968" priority="778"/>
    <cfRule type="cellIs" dxfId="1967" priority="779" operator="equal">
      <formula>$O$13</formula>
    </cfRule>
    <cfRule type="cellIs" dxfId="1966" priority="780" operator="equal">
      <formula>$O$12</formula>
    </cfRule>
    <cfRule type="cellIs" dxfId="1965" priority="781" operator="equal">
      <formula>$O$11</formula>
    </cfRule>
    <cfRule type="cellIs" dxfId="1964" priority="782" operator="equal">
      <formula>$O$10</formula>
    </cfRule>
    <cfRule type="cellIs" dxfId="1963" priority="783" operator="equal">
      <formula>$O$9</formula>
    </cfRule>
    <cfRule type="cellIs" dxfId="1962" priority="784" operator="equal">
      <formula>$O$8</formula>
    </cfRule>
    <cfRule type="cellIs" dxfId="1961" priority="785" operator="equal">
      <formula>$O$7</formula>
    </cfRule>
    <cfRule type="cellIs" dxfId="1960" priority="786" operator="equal">
      <formula>$O$6</formula>
    </cfRule>
    <cfRule type="cellIs" dxfId="1959" priority="787" operator="equal">
      <formula>$O$5</formula>
    </cfRule>
    <cfRule type="cellIs" dxfId="1958" priority="789" operator="equal">
      <formula>$O$18</formula>
    </cfRule>
    <cfRule type="cellIs" dxfId="1957" priority="790" operator="equal">
      <formula>$O$17</formula>
    </cfRule>
    <cfRule type="duplicateValues" dxfId="1956" priority="791"/>
  </conditionalFormatting>
  <conditionalFormatting sqref="N53">
    <cfRule type="duplicateValues" dxfId="1955" priority="776"/>
    <cfRule type="duplicateValues" dxfId="1954" priority="773"/>
  </conditionalFormatting>
  <conditionalFormatting sqref="Q26">
    <cfRule type="duplicateValues" dxfId="1953" priority="8307"/>
    <cfRule type="duplicateValues" dxfId="1952" priority="8457"/>
    <cfRule type="duplicateValues" dxfId="1951" priority="8454"/>
    <cfRule type="duplicateValues" dxfId="1950" priority="8308"/>
  </conditionalFormatting>
  <conditionalFormatting sqref="R5">
    <cfRule type="duplicateValues" dxfId="1939" priority="4472"/>
    <cfRule type="duplicateValues" dxfId="1938" priority="4469"/>
  </conditionalFormatting>
  <conditionalFormatting sqref="R5:R16">
    <cfRule type="duplicateValues" dxfId="1927" priority="4471"/>
    <cfRule type="duplicateValues" dxfId="1926" priority="4470"/>
  </conditionalFormatting>
  <conditionalFormatting sqref="R5:R17">
    <cfRule type="cellIs" dxfId="1925" priority="4391" operator="equal">
      <formula>0</formula>
    </cfRule>
    <cfRule type="cellIs" dxfId="1924" priority="4444" operator="equal">
      <formula>$O$12</formula>
    </cfRule>
    <cfRule type="cellIs" dxfId="1923" priority="4439" operator="equal">
      <formula>$O$17</formula>
    </cfRule>
    <cfRule type="cellIs" dxfId="1922" priority="4437" operator="equal">
      <formula>$O$18</formula>
    </cfRule>
    <cfRule type="cellIs" dxfId="1921" priority="4440" operator="equal">
      <formula>$O$16</formula>
    </cfRule>
    <cfRule type="cellIs" dxfId="1920" priority="4441" operator="equal">
      <formula>$O$15</formula>
    </cfRule>
    <cfRule type="cellIs" dxfId="1919" priority="4442" operator="equal">
      <formula>$O$14</formula>
    </cfRule>
    <cfRule type="cellIs" dxfId="1918" priority="4438" operator="equal">
      <formula>$O$10</formula>
    </cfRule>
    <cfRule type="cellIs" dxfId="1917" priority="4453" operator="equal">
      <formula>$O$5</formula>
    </cfRule>
    <cfRule type="cellIs" dxfId="1916" priority="4443" operator="equal">
      <formula>$O$13</formula>
    </cfRule>
    <cfRule type="cellIs" dxfId="1915" priority="4452" operator="equal">
      <formula>$O$6</formula>
    </cfRule>
    <cfRule type="cellIs" dxfId="1914" priority="4451" operator="equal">
      <formula>$O$7</formula>
    </cfRule>
    <cfRule type="cellIs" dxfId="1913" priority="4450" operator="equal">
      <formula>$O$8</formula>
    </cfRule>
    <cfRule type="cellIs" dxfId="1912" priority="4448" operator="equal">
      <formula>$O$9</formula>
    </cfRule>
    <cfRule type="cellIs" dxfId="1911" priority="4445" operator="equal">
      <formula>$O$11</formula>
    </cfRule>
  </conditionalFormatting>
  <conditionalFormatting sqref="R6">
    <cfRule type="duplicateValues" dxfId="1910" priority="4473"/>
  </conditionalFormatting>
  <conditionalFormatting sqref="R7">
    <cfRule type="duplicateValues" dxfId="1909" priority="4474"/>
  </conditionalFormatting>
  <conditionalFormatting sqref="R8">
    <cfRule type="duplicateValues" dxfId="1908" priority="4475"/>
  </conditionalFormatting>
  <conditionalFormatting sqref="R9">
    <cfRule type="duplicateValues" dxfId="1907" priority="4476"/>
  </conditionalFormatting>
  <conditionalFormatting sqref="R10">
    <cfRule type="duplicateValues" dxfId="1906" priority="4477"/>
  </conditionalFormatting>
  <conditionalFormatting sqref="R11">
    <cfRule type="duplicateValues" dxfId="1905" priority="4478"/>
  </conditionalFormatting>
  <conditionalFormatting sqref="R12">
    <cfRule type="duplicateValues" dxfId="1904" priority="4479"/>
  </conditionalFormatting>
  <conditionalFormatting sqref="R13">
    <cfRule type="duplicateValues" dxfId="1903" priority="4480"/>
  </conditionalFormatting>
  <conditionalFormatting sqref="R14">
    <cfRule type="duplicateValues" dxfId="1902" priority="4481"/>
  </conditionalFormatting>
  <conditionalFormatting sqref="R15">
    <cfRule type="duplicateValues" dxfId="1901" priority="4482"/>
  </conditionalFormatting>
  <conditionalFormatting sqref="R16">
    <cfRule type="duplicateValues" dxfId="1900" priority="4483"/>
  </conditionalFormatting>
  <conditionalFormatting sqref="R17">
    <cfRule type="duplicateValues" dxfId="1899" priority="4436"/>
    <cfRule type="cellIs" dxfId="1898" priority="4397" operator="equal">
      <formula>$O$9</formula>
    </cfRule>
    <cfRule type="cellIs" dxfId="1897" priority="4396" operator="equal">
      <formula>$O$10</formula>
    </cfRule>
    <cfRule type="cellIs" dxfId="1896" priority="4395" operator="equal">
      <formula>$O$11</formula>
    </cfRule>
    <cfRule type="cellIs" dxfId="1895" priority="4394" operator="equal">
      <formula>$O$12</formula>
    </cfRule>
    <cfRule type="cellIs" dxfId="1894" priority="4393" operator="equal">
      <formula>$O$13</formula>
    </cfRule>
    <cfRule type="duplicateValues" dxfId="1893" priority="4392"/>
    <cfRule type="cellIs" dxfId="1892" priority="4427" operator="equal">
      <formula>$O$11</formula>
    </cfRule>
    <cfRule type="duplicateValues" dxfId="1891" priority="4435"/>
    <cfRule type="cellIs" dxfId="1890" priority="4434" operator="equal">
      <formula>$O$5</formula>
    </cfRule>
    <cfRule type="cellIs" dxfId="1889" priority="4433" operator="equal">
      <formula>$O$6</formula>
    </cfRule>
    <cfRule type="cellIs" dxfId="1888" priority="4432" operator="equal">
      <formula>$O$7</formula>
    </cfRule>
    <cfRule type="cellIs" dxfId="1887" priority="4431" operator="equal">
      <formula>$O$8</formula>
    </cfRule>
    <cfRule type="cellIs" dxfId="1886" priority="4429" operator="equal">
      <formula>$O$10</formula>
    </cfRule>
    <cfRule type="duplicateValues" dxfId="1885" priority="4390"/>
    <cfRule type="cellIs" dxfId="1884" priority="4426" operator="equal">
      <formula>$O$12</formula>
    </cfRule>
    <cfRule type="cellIs" dxfId="1883" priority="4425" operator="equal">
      <formula>$O$13</formula>
    </cfRule>
    <cfRule type="cellIs" dxfId="1882" priority="4423" operator="equal">
      <formula>$O$14</formula>
    </cfRule>
    <cfRule type="cellIs" dxfId="1881" priority="4422" operator="equal">
      <formula>$O$15</formula>
    </cfRule>
    <cfRule type="cellIs" dxfId="1880" priority="4430" operator="equal">
      <formula>$O$9</formula>
    </cfRule>
    <cfRule type="cellIs" dxfId="1879" priority="4421" operator="equal">
      <formula>$O$16</formula>
    </cfRule>
    <cfRule type="cellIs" dxfId="1878" priority="4420" operator="equal">
      <formula>$O$17</formula>
    </cfRule>
    <cfRule type="cellIs" dxfId="1877" priority="4419" operator="equal">
      <formula>$O$18</formula>
    </cfRule>
    <cfRule type="duplicateValues" dxfId="1876" priority="4418"/>
    <cfRule type="duplicateValues" dxfId="1875" priority="4417"/>
    <cfRule type="cellIs" dxfId="1874" priority="4407" operator="equal">
      <formula>$O$14</formula>
    </cfRule>
    <cfRule type="cellIs" dxfId="1873" priority="4406" operator="equal">
      <formula>$O$15</formula>
    </cfRule>
    <cfRule type="cellIs" dxfId="1872" priority="4404" operator="equal">
      <formula>$O$17</formula>
    </cfRule>
    <cfRule type="cellIs" dxfId="1871" priority="4403" operator="equal">
      <formula>$O$18</formula>
    </cfRule>
    <cfRule type="cellIs" dxfId="1870" priority="4401" operator="equal">
      <formula>$O$5</formula>
    </cfRule>
    <cfRule type="cellIs" dxfId="1869" priority="4405" operator="equal">
      <formula>$O$16</formula>
    </cfRule>
    <cfRule type="cellIs" dxfId="1868" priority="4400" operator="equal">
      <formula>$O$6</formula>
    </cfRule>
    <cfRule type="cellIs" dxfId="1867" priority="4399" operator="equal">
      <formula>$O$7</formula>
    </cfRule>
    <cfRule type="cellIs" dxfId="1866" priority="4398" operator="equal">
      <formula>$O$8</formula>
    </cfRule>
  </conditionalFormatting>
  <conditionalFormatting sqref="R26">
    <cfRule type="duplicateValues" dxfId="1865" priority="8271"/>
    <cfRule type="duplicateValues" dxfId="1864" priority="8272"/>
    <cfRule type="duplicateValues" dxfId="1863" priority="8273"/>
    <cfRule type="duplicateValues" dxfId="1862" priority="8274"/>
  </conditionalFormatting>
  <conditionalFormatting sqref="S64:S70 V4:V62">
    <cfRule type="colorScale" priority="9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62">
    <cfRule type="dataBar" priority="8306">
      <dataBar>
        <cfvo type="num" val="0"/>
        <cfvo type="num" val="16"/>
        <color rgb="FF00FF30"/>
      </dataBar>
      <extLst>
        <ext xmlns:x14="http://schemas.microsoft.com/office/spreadsheetml/2009/9/main" uri="{B025F937-C7B1-47D3-B67F-A62EFF666E3E}">
          <x14:id>{968C3029-CF80-4809-83EE-5F5EB8ED0301}</x14:id>
        </ext>
      </extLst>
    </cfRule>
  </conditionalFormatting>
  <dataValidations count="64">
    <dataValidation type="list" allowBlank="1" showInputMessage="1" sqref="H24 L24 F24" xr:uid="{00000000-0002-0000-0200-000000000000}">
      <formula1>$G$88:$G$94</formula1>
    </dataValidation>
    <dataValidation type="list" allowBlank="1" showInputMessage="1" sqref="F26 L26 H26" xr:uid="{00000000-0002-0000-0200-000001000000}">
      <formula1>$K$88:$K$94</formula1>
    </dataValidation>
    <dataValidation type="list" allowBlank="1" showInputMessage="1" sqref="F22 H22 L22" xr:uid="{00000000-0002-0000-0200-000002000000}">
      <formula1>$C$88:$C$95</formula1>
    </dataValidation>
    <dataValidation type="list" allowBlank="1" showInputMessage="1" sqref="F28 H28 L28" xr:uid="{00000000-0002-0000-0200-000003000000}">
      <formula1>$O$88:$O$95</formula1>
    </dataValidation>
    <dataValidation type="list" allowBlank="1" showInputMessage="1" sqref="F29 H29 L29" xr:uid="{00000000-0002-0000-0200-000004000000}">
      <formula1>$Q$88:$Q$94</formula1>
    </dataValidation>
    <dataValidation type="list" allowBlank="1" showInputMessage="1" sqref="F30 H30 L30" xr:uid="{00000000-0002-0000-0200-000005000000}">
      <formula1>$S$88:$S$95</formula1>
    </dataValidation>
    <dataValidation type="list" allowBlank="1" showInputMessage="1" sqref="F31 H31 L31" xr:uid="{00000000-0002-0000-0200-000006000000}">
      <formula1>$U$88:$U$95</formula1>
    </dataValidation>
    <dataValidation type="list" allowBlank="1" showInputMessage="1" sqref="F33 H33 L33" xr:uid="{00000000-0002-0000-0200-000007000000}">
      <formula1>$Y$88:$Y$95</formula1>
    </dataValidation>
    <dataValidation type="list" allowBlank="1" showInputMessage="1" sqref="F21 H21 L21" xr:uid="{00000000-0002-0000-0200-000008000000}">
      <formula1>$A$88:$A$95</formula1>
    </dataValidation>
    <dataValidation type="list" allowBlank="1" showInputMessage="1" sqref="F23 L23 H23" xr:uid="{00000000-0002-0000-0200-000009000000}">
      <formula1>$E$88:$E$95</formula1>
    </dataValidation>
    <dataValidation type="list" allowBlank="1" showInputMessage="1" sqref="F25 L25 H25" xr:uid="{00000000-0002-0000-0200-00000A000000}">
      <formula1>$I$88:$I$95</formula1>
    </dataValidation>
    <dataValidation type="list" allowBlank="1" showInputMessage="1" sqref="N17 H17 F17 L17" xr:uid="{00000000-0002-0000-0200-00000B000000}">
      <formula1>$Y$100:$Y$107</formula1>
    </dataValidation>
    <dataValidation type="list" allowBlank="1" showInputMessage="1" sqref="F14 H14 L14 N14" xr:uid="{00000000-0002-0000-0200-00000C000000}">
      <formula1>$S$100:$S$106</formula1>
    </dataValidation>
    <dataValidation type="list" allowBlank="1" showInputMessage="1" sqref="F5 H5 L5 N5" xr:uid="{00000000-0002-0000-0200-00000D000000}">
      <formula1>$A$100:$A$107</formula1>
    </dataValidation>
    <dataValidation type="list" allowBlank="1" showInputMessage="1" sqref="F11 L11 N11 H11" xr:uid="{00000000-0002-0000-0200-00000E000000}">
      <formula1>$M$100:$M$107</formula1>
    </dataValidation>
    <dataValidation type="list" allowBlank="1" showInputMessage="1" sqref="F12 N12 L12 H12" xr:uid="{00000000-0002-0000-0200-00000F000000}">
      <formula1>$O$100:$O$107</formula1>
    </dataValidation>
    <dataValidation type="list" allowBlank="1" showInputMessage="1" sqref="F13 N13 L13 H13" xr:uid="{00000000-0002-0000-0200-000010000000}">
      <formula1>$Q$100:$Q$107</formula1>
    </dataValidation>
    <dataValidation type="list" allowBlank="1" showInputMessage="1" sqref="Q26:R26 N16 H16 F16 L16" xr:uid="{00000000-0002-0000-0200-000011000000}">
      <formula1>$W$100:$W$107</formula1>
    </dataValidation>
    <dataValidation type="list" allowBlank="1" showInputMessage="1" sqref="F7 N7 L7 H7" xr:uid="{00000000-0002-0000-0200-000012000000}">
      <formula1>$E$100:$E$107</formula1>
    </dataValidation>
    <dataValidation type="list" allowBlank="1" showInputMessage="1" sqref="F6 N6 L6 H6" xr:uid="{00000000-0002-0000-0200-000013000000}">
      <formula1>$C$100:$C$107</formula1>
    </dataValidation>
    <dataValidation type="list" allowBlank="1" showInputMessage="1" sqref="F8 N8 L8 H8" xr:uid="{00000000-0002-0000-0200-000014000000}">
      <formula1>$G$100:$G$107</formula1>
    </dataValidation>
    <dataValidation type="list" allowBlank="1" showInputMessage="1" sqref="F9 N9 L9 H9" xr:uid="{00000000-0002-0000-0200-000015000000}">
      <formula1>$I$100:$I$107</formula1>
    </dataValidation>
    <dataValidation type="list" allowBlank="1" showInputMessage="1" sqref="F10 N10 L10 H10" xr:uid="{00000000-0002-0000-0200-000016000000}">
      <formula1>$K$100:$K$107</formula1>
    </dataValidation>
    <dataValidation type="list" allowBlank="1" showInputMessage="1" sqref="F15 N15 L15 H15" xr:uid="{00000000-0002-0000-0200-000017000000}">
      <formula1>$U$100:$U$107</formula1>
    </dataValidation>
    <dataValidation type="list" allowBlank="1" showInputMessage="1" sqref="F34 L34 H34" xr:uid="{00000000-0002-0000-0200-000018000000}">
      <formula1>$AA$88:$AA$94</formula1>
    </dataValidation>
    <dataValidation type="list" allowBlank="1" showInputMessage="1" sqref="R15" xr:uid="{00000000-0002-0000-0200-000019000000}">
      <formula1>$U$1048546:$U$1048553</formula1>
    </dataValidation>
    <dataValidation type="list" allowBlank="1" showInputMessage="1" sqref="R10" xr:uid="{00000000-0002-0000-0200-00001A000000}">
      <formula1>$K$1048546:$K$1048553</formula1>
    </dataValidation>
    <dataValidation type="list" allowBlank="1" showInputMessage="1" sqref="R9" xr:uid="{00000000-0002-0000-0200-00001B000000}">
      <formula1>$I$1048546:$I$1048553</formula1>
    </dataValidation>
    <dataValidation type="list" allowBlank="1" showInputMessage="1" sqref="R8" xr:uid="{00000000-0002-0000-0200-00001C000000}">
      <formula1>$G$1048546:$G$1048553</formula1>
    </dataValidation>
    <dataValidation type="list" allowBlank="1" showInputMessage="1" sqref="R6" xr:uid="{00000000-0002-0000-0200-00001D000000}">
      <formula1>$C$1048546:$C$1048553</formula1>
    </dataValidation>
    <dataValidation type="list" allowBlank="1" showInputMessage="1" sqref="R7" xr:uid="{00000000-0002-0000-0200-00001E000000}">
      <formula1>$E$1048546:$E$1048553</formula1>
    </dataValidation>
    <dataValidation type="list" allowBlank="1" showInputMessage="1" sqref="R16" xr:uid="{00000000-0002-0000-0200-00001F000000}">
      <formula1>$W$1048546:$W$1048553</formula1>
    </dataValidation>
    <dataValidation type="list" allowBlank="1" showInputMessage="1" sqref="R13" xr:uid="{00000000-0002-0000-0200-000020000000}">
      <formula1>$Q$1048546:$Q$1048553</formula1>
    </dataValidation>
    <dataValidation type="list" allowBlank="1" showInputMessage="1" sqref="R12" xr:uid="{00000000-0002-0000-0200-000021000000}">
      <formula1>$O$1048546:$O$1048553</formula1>
    </dataValidation>
    <dataValidation type="list" allowBlank="1" showInputMessage="1" sqref="R11" xr:uid="{00000000-0002-0000-0200-000022000000}">
      <formula1>$M$1048546:$M$1048553</formula1>
    </dataValidation>
    <dataValidation type="list" allowBlank="1" showInputMessage="1" sqref="R5" xr:uid="{00000000-0002-0000-0200-000023000000}">
      <formula1>$A$1048546:$A$1048553</formula1>
    </dataValidation>
    <dataValidation type="list" allowBlank="1" showInputMessage="1" sqref="R14" xr:uid="{00000000-0002-0000-0200-000024000000}">
      <formula1>$S$1048546:$S$1048552</formula1>
    </dataValidation>
    <dataValidation type="list" allowBlank="1" showInputMessage="1" sqref="R17" xr:uid="{00000000-0002-0000-0200-000025000000}">
      <formula1>$Y$1048546:$Y$1048553</formula1>
    </dataValidation>
    <dataValidation type="list" allowBlank="1" showInputMessage="1" sqref="F32 H32 L32" xr:uid="{00000000-0002-0000-0200-000026000000}">
      <formula1>$W$88:$W$95</formula1>
    </dataValidation>
    <dataValidation type="list" allowBlank="1" showInputMessage="1" sqref="F27 H27 L27" xr:uid="{00000000-0002-0000-0200-000027000000}">
      <formula1>$M$88:$M$95</formula1>
    </dataValidation>
    <dataValidation type="list" allowBlank="1" showInputMessage="1" showErrorMessage="1" sqref="N51 F51 H51 L51" xr:uid="{00000000-0002-0000-0200-000028000000}">
      <formula1>$AA$74:$AA$79</formula1>
    </dataValidation>
    <dataValidation type="list" allowBlank="1" showInputMessage="1" showErrorMessage="1" sqref="N50 F50 H50 L50" xr:uid="{00000000-0002-0000-0200-000029000000}">
      <formula1>$Y$74:$Y$79</formula1>
    </dataValidation>
    <dataValidation type="list" allowBlank="1" showInputMessage="1" showErrorMessage="1" sqref="N49 F49 H49 L49" xr:uid="{00000000-0002-0000-0200-00002A000000}">
      <formula1>$W$74:$W$79</formula1>
    </dataValidation>
    <dataValidation type="list" allowBlank="1" showInputMessage="1" showErrorMessage="1" sqref="N48 H48 F48 L48" xr:uid="{00000000-0002-0000-0200-00002B000000}">
      <formula1>$U$74:$U$79</formula1>
    </dataValidation>
    <dataValidation type="list" allowBlank="1" showInputMessage="1" showErrorMessage="1" sqref="N47 F47 H47 L47" xr:uid="{00000000-0002-0000-0200-00002C000000}">
      <formula1>$S$74:$S$79</formula1>
    </dataValidation>
    <dataValidation type="list" allowBlank="1" showInputMessage="1" showErrorMessage="1" sqref="N46 F46 H46 L46" xr:uid="{00000000-0002-0000-0200-00002D000000}">
      <formula1>$Q$74:$Q$79</formula1>
    </dataValidation>
    <dataValidation type="list" allowBlank="1" showInputMessage="1" showErrorMessage="1" sqref="N45 F45 H45 L45" xr:uid="{00000000-0002-0000-0200-00002E000000}">
      <formula1>$O$74:$O$79</formula1>
    </dataValidation>
    <dataValidation type="list" allowBlank="1" showInputMessage="1" showErrorMessage="1" sqref="N44 F44 H44 L44" xr:uid="{00000000-0002-0000-0200-00002F000000}">
      <formula1>$M$74:$M$79</formula1>
    </dataValidation>
    <dataValidation type="list" allowBlank="1" showInputMessage="1" showErrorMessage="1" sqref="N43 H43 F43 L43" xr:uid="{00000000-0002-0000-0200-000030000000}">
      <formula1>$K$74:$K$79</formula1>
    </dataValidation>
    <dataValidation type="list" allowBlank="1" showInputMessage="1" showErrorMessage="1" sqref="N42 F42 H42 L42" xr:uid="{00000000-0002-0000-0200-000031000000}">
      <formula1>$I$74:$I$79</formula1>
    </dataValidation>
    <dataValidation type="list" allowBlank="1" showInputMessage="1" showErrorMessage="1" sqref="N41 F41 H41 L41" xr:uid="{00000000-0002-0000-0200-000032000000}">
      <formula1>$G$74:$G$79</formula1>
    </dataValidation>
    <dataValidation type="list" allowBlank="1" showInputMessage="1" showErrorMessage="1" sqref="N40 F40 H40 L40" xr:uid="{00000000-0002-0000-0200-000033000000}">
      <formula1>$E$74:$E$79</formula1>
    </dataValidation>
    <dataValidation type="list" allowBlank="1" showInputMessage="1" showErrorMessage="1" sqref="N39 F39 H39 L39" xr:uid="{00000000-0002-0000-0200-000034000000}">
      <formula1>$C$74:$C$79</formula1>
    </dataValidation>
    <dataValidation type="list" allowBlank="1" showInputMessage="1" showErrorMessage="1" sqref="N38 F38 H38 L38" xr:uid="{00000000-0002-0000-0200-000035000000}">
      <formula1>$A$74:$A$79</formula1>
    </dataValidation>
    <dataValidation type="list" allowBlank="1" showInputMessage="1" showErrorMessage="1" sqref="E52:E53 G52:G53 K52:K53 M52:M53" xr:uid="{00000000-0002-0000-0200-000036000000}">
      <formula1>$AD$74:$AD$83</formula1>
    </dataValidation>
    <dataValidation type="list" allowBlank="1" showInputMessage="1" showErrorMessage="1" sqref="F52:F53 H52:H53 L52:L53 N52:N53" xr:uid="{00000000-0002-0000-0200-000037000000}">
      <formula1>$AC$74:$AC$83</formula1>
    </dataValidation>
    <dataValidation type="list" allowBlank="1" showInputMessage="1" showErrorMessage="1" sqref="L35:L36 H35:H36" xr:uid="{00000000-0002-0000-0200-000038000000}">
      <formula1>$AC$88:$AC$95</formula1>
    </dataValidation>
    <dataValidation type="list" allowBlank="1" showInputMessage="1" showErrorMessage="1" sqref="E35:E36 G35:G36 K35:K36" xr:uid="{00000000-0002-0000-0200-000039000000}">
      <formula1>$AD$88:$AD$95</formula1>
    </dataValidation>
    <dataValidation type="list" allowBlank="1" showInputMessage="1" showErrorMessage="1" sqref="F18:F19 H18:H19 L18:L19" xr:uid="{00000000-0002-0000-0200-00003A000000}">
      <formula1>$AA$100:$AA$107</formula1>
    </dataValidation>
    <dataValidation type="list" allowBlank="1" showInputMessage="1" showErrorMessage="1" sqref="E18:E19 G18:G19 K18:K19 M18:M19" xr:uid="{00000000-0002-0000-0200-00003B000000}">
      <formula1>$AB$100:$AB$107</formula1>
    </dataValidation>
    <dataValidation type="list" allowBlank="1" showInputMessage="1" showErrorMessage="1" sqref="F35:F36" xr:uid="{00000000-0002-0000-0200-00003C000000}">
      <formula1>$AC$88:$AC$96</formula1>
    </dataValidation>
    <dataValidation type="list" allowBlank="1" showInputMessage="1" showErrorMessage="1" sqref="N35:N36" xr:uid="{00000000-0002-0000-0200-00003D000000}">
      <formula1>$AC$86:$AC$96</formula1>
    </dataValidation>
    <dataValidation type="list" allowBlank="1" showInputMessage="1" showErrorMessage="1" sqref="M35:M36" xr:uid="{00000000-0002-0000-0200-00003E000000}">
      <formula1>$AD$86:$AD$96</formula1>
    </dataValidation>
    <dataValidation type="list" allowBlank="1" showInputMessage="1" showErrorMessage="1" sqref="N18:N19" xr:uid="{00000000-0002-0000-0200-00003F000000}">
      <formula1>$AA$99:$AA$107</formula1>
    </dataValidation>
  </dataValidations>
  <pageMargins left="0.75" right="0.75" top="0.28000000000000003" bottom="0.17" header="0.5" footer="0.5"/>
  <pageSetup scale="85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44" operator="containsText" id="{03E3C421-9D59-4768-BC9E-90565F4E88D1}">
            <xm:f>NOT(ISERROR(SEARCH($O$15,F5)))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2" operator="containsText" id="{B052230F-5E00-4234-98FF-C18F039A0E89}">
            <xm:f>NOT(ISERROR(SEARCH($O$12,F5)))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3" operator="containsText" id="{F0C75DF2-055B-4496-AB4E-A6E21C47520D}">
            <xm:f>NOT(ISERROR(SEARCH($O$13,F5)))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1" operator="containsText" id="{40D8C4FD-A5D1-483C-A1D1-8CED9E0A9DFC}">
            <xm:f>NOT(ISERROR(SEARCH($O$11,F5)))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4" operator="containsText" id="{292ED8E1-BF94-43C3-AB17-B51EEB34CBCC}">
            <xm:f>NOT(ISERROR(SEARCH($O$14,F5)))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F5:F16 H5:H16 L5:L16 N5:N14 N16</xm:sqref>
        </x14:conditionalFormatting>
        <x14:conditionalFormatting xmlns:xm="http://schemas.microsoft.com/office/excel/2006/main">
          <x14:cfRule type="containsText" priority="1617" operator="containsText" id="{6056B0B9-7281-40DD-9155-984968DF292B}">
            <xm:f>NOT(ISERROR(SEARCH($O$6,F5)))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616" operator="containsText" id="{06F07E61-2777-4E9B-AF43-6AA45562B5DF}">
            <xm:f>NOT(ISERROR(SEARCH($O$5,F5)))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0" operator="containsText" id="{724A344A-9E07-4047-AB3A-039581A7B4C9}">
            <xm:f>NOT(ISERROR(SEARCH($O$9,F5)))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619" operator="containsText" id="{ADBF174D-F473-4679-A13C-77FEE908E9F0}">
            <xm:f>NOT(ISERROR(SEARCH($O$8,F5)))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618" operator="containsText" id="{CB98CB34-8D24-454E-B59D-59D149AC0A24}">
            <xm:f>NOT(ISERROR(SEARCH($O$7,F5)))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F5:F16 H5:H16 L5:L16</xm:sqref>
        </x14:conditionalFormatting>
        <x14:conditionalFormatting xmlns:xm="http://schemas.microsoft.com/office/excel/2006/main">
          <x14:cfRule type="containsText" priority="506" operator="containsText" id="{91F1B328-01C3-4395-BC6A-4F3C05961EDD}">
            <xm:f>NOT(ISERROR(SEARCH($O$7,F18)))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04" operator="containsText" id="{C6893EA3-8671-4792-BE74-610B6C86D522}">
            <xm:f>NOT(ISERROR(SEARCH($O$5,F18)))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05" operator="containsText" id="{0C4371FE-6FEF-4768-B004-01546BF5B0E1}">
            <xm:f>NOT(ISERROR(SEARCH($O$6,F18)))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12" operator="containsText" id="{D3B34043-AB54-4BB8-9E75-E88D31B4355E}">
            <xm:f>NOT(ISERROR(SEARCH($O$14,F18)))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10" operator="containsText" id="{729DE775-FFE8-431D-908F-5B74C9144472}">
            <xm:f>NOT(ISERROR(SEARCH($O$12,F18)))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08" operator="containsText" id="{32E22EDA-C7BE-4024-BBFD-FA59DB7F81E3}">
            <xm:f>NOT(ISERROR(SEARCH($O$9,F18)))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07" operator="containsText" id="{CD2CF16C-3FF5-4554-8669-38A558302BEB}">
            <xm:f>NOT(ISERROR(SEARCH($O$8,F18)))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11" operator="containsText" id="{04F27F3A-D366-4A6F-BD5C-4E02BF6FD89C}">
            <xm:f>NOT(ISERROR(SEARCH($O$13,F18)))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09" operator="containsText" id="{3D366574-BC94-48B3-92BF-2BED3184C1BF}">
            <xm:f>NOT(ISERROR(SEARCH($O$11,F18)))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13" operator="containsText" id="{853BA77B-F84B-4C7E-A946-A7620FEAC665}">
            <xm:f>NOT(ISERROR(SEARCH($O$15,F18)))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834" operator="containsText" id="{3C5B4D8F-2DD0-4763-842F-0B0F4E282A42}">
            <xm:f>NOT(ISERROR(SEARCH($O$11,F21)))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3" operator="containsText" id="{E344F4A0-EB57-4074-8E8A-CF4F5B4D8A1A}">
            <xm:f>NOT(ISERROR(SEARCH($O$15,F21)))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F21:F33 H21:H33 L21:L33</xm:sqref>
        </x14:conditionalFormatting>
        <x14:conditionalFormatting xmlns:xm="http://schemas.microsoft.com/office/excel/2006/main">
          <x14:cfRule type="containsText" priority="1145" operator="containsText" id="{2C75C652-64D2-45B6-92A3-4D678EF1D289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149" operator="containsText" id="{779ECA3D-7D8D-4A66-8138-7D7040DF0E22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124" operator="containsText" id="{7845B956-E676-482F-874A-73902FE0EB11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120" operator="containsText" id="{4204CB91-5B1D-424F-A139-E30E6A8439C1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1116" operator="containsText" id="{95DD73E9-7B5D-43AE-9B55-AE03668C5048}">
            <xm:f>NOT(ISERROR(SEARCH($O$5,F34)))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5" operator="containsText" id="{64A6CC32-3154-4A5C-AB56-F287B4A3E46A}">
            <xm:f>NOT(ISERROR(SEARCH($O$6,F34)))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109" operator="containsText" id="{04A3074C-82C2-486C-8708-CD38841A42F5}">
            <xm:f>NOT(ISERROR(SEARCH($O$14,F34)))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0" operator="containsText" id="{785B63E8-2F66-4F45-A197-95098AF1D354}">
            <xm:f>NOT(ISERROR(SEARCH($O$13,F34)))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1" operator="containsText" id="{4122E1EF-6483-4F35-85C5-08925EC39339}">
            <xm:f>NOT(ISERROR(SEARCH($O$12,F34)))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2" operator="containsText" id="{69B00D73-C10E-4F86-8C31-453E38578FB5}">
            <xm:f>NOT(ISERROR(SEARCH($O$9,F34)))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3" operator="containsText" id="{8D997C63-CF40-45A8-928D-8FDF013FFFB8}">
            <xm:f>NOT(ISERROR(SEARCH($O$8,F34)))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4" operator="containsText" id="{60F84587-2F9B-4E32-B4A7-C3FC34565CEB}">
            <xm:f>NOT(ISERROR(SEARCH($O$7,F34)))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7" operator="containsText" id="{B6B647C9-9949-4B10-AB34-732348F229B8}">
            <xm:f>NOT(ISERROR(SEARCH($O$15,F34)))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8" operator="containsText" id="{26565D57-5D07-4642-B341-6C2508B3D3AC}">
            <xm:f>NOT(ISERROR(SEARCH($O$11,F34)))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753" operator="containsText" id="{4EC16ABE-52C6-45D0-8EB8-9D9C3426BB71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748" operator="containsText" id="{70A3E6FF-DA4A-48C7-82F8-6D5571AB12FC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49" operator="containsText" id="{4AC4C384-9015-4549-88C5-B653AC69D3DF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50" operator="containsText" id="{D67FD25D-11E3-4FE1-86A8-961486A5B6DD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51" operator="containsText" id="{55AF6885-4D5B-4C00-B0F7-C4F914FF8808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44" operator="containsText" id="{7779DFE2-7D44-433C-8CD6-9CB798E2C6BF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45" operator="containsText" id="{090F93EA-0729-4CA4-9CFF-D8D07805A335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69" operator="containsText" id="{A10DFE0B-F8F1-4081-ACF4-C7620C68D054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68" operator="containsText" id="{DCDD438D-DF62-46BA-AF9E-76CE05F59E87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66" operator="containsText" id="{9FA45B62-DDA3-49FF-9CA2-2E785EA56FE0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54" operator="containsText" id="{6E8BBCFE-6B33-446D-80B3-AAAD56299CBF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65" operator="containsText" id="{8728BA11-855A-42C5-A20A-AD9ADD380BFD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64" operator="containsText" id="{7F9C9EA4-43D3-41D6-9899-B666613BEB56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63" operator="containsText" id="{AF906FF8-69AE-4871-8C2B-85FF5F25E6C6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59" operator="containsText" id="{3A78418D-F99F-4029-94CE-43342A0581EB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46" operator="containsText" id="{9909B8B5-14E3-45E1-8D11-F34027291ADC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61" operator="containsText" id="{9610CD92-C598-480B-BE02-48CA5370208E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60" operator="containsText" id="{39C91D75-B7F4-445E-A96B-0A15D0497A73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47" operator="containsText" id="{CFF0AB3A-6C0C-40E4-9C5B-F39047409B5D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62" operator="containsText" id="{862AD346-1B7A-4F92-BBE4-9ACA00A26CE9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30" operator="containsText" id="{8E81AB95-E533-49A6-B5A8-C250E8D7E067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31" operator="containsText" id="{B45F2079-BB19-4A6A-ACDB-5DB5D5396612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32" operator="containsText" id="{1F15AAD0-83AC-4179-BBCA-6581DEA867A5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33" operator="containsText" id="{6A7EBE91-4670-4350-98DC-2F8E3903FC72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34" operator="containsText" id="{42A1D8F2-62FD-480F-8A5C-5378301173FE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35" operator="containsText" id="{12D83E22-4C9A-4364-B246-CBA9DD664F4D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36" operator="containsText" id="{46D2F901-44BA-4BB5-8FD5-D72EFC902D89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37" operator="containsText" id="{36545DD7-5C02-4DFC-8E2C-8CA0798C8EA0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29" operator="containsText" id="{EBF5704E-62CF-4A68-A610-F66868275845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28" operator="containsText" id="{CAB91FCB-E250-4C82-A42F-E3F0D6DFB63E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20" operator="containsText" id="{F5E4602E-1F08-4001-80FA-A16CEA62BBB3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19" operator="containsText" id="{BFC012FA-3F0E-4066-A920-39E31645C226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21" operator="containsText" id="{3DE8E872-6144-4FC4-9BA9-D0D4A56E4D72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718" operator="containsText" id="{F7920D6E-FBA9-4C79-918D-B4EFF7E33BC3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17" operator="containsText" id="{1DA984A9-3B37-4456-B53D-84880FA0C1BC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16" operator="containsText" id="{29688080-2971-489C-9E2E-98FEA3D6C774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15" operator="containsText" id="{A0E74558-A43B-41A0-8F80-3414718550C8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14" operator="containsText" id="{D70A6EAA-B995-4C87-B86B-DBEFBAE47DF5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13" operator="containsText" id="{F5D9C6C8-63F7-4D94-8309-54C92419251B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22" operator="containsText" id="{12B3E7A9-EC5A-4D02-A5C0-86FEDB97208D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2350" operator="containsText" id="{D772431F-5E8B-40B7-8701-069B53673F76}">
            <xm:f>NOT(ISERROR(SEARCH($O$11,F38)))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1" operator="containsText" id="{96A19A6B-7966-476E-BFE4-3D2D6ECAD33D}">
            <xm:f>NOT(ISERROR(SEARCH($O$12,F38)))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2" operator="containsText" id="{20ACC3A9-9C95-4236-A018-3686DD60339E}">
            <xm:f>NOT(ISERROR(SEARCH($O$14,F38)))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3" operator="containsText" id="{4F9AE523-0356-46AF-AFF2-400AEA6BE994}">
            <xm:f>NOT(ISERROR(SEARCH($O$15,F38)))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4" operator="containsText" id="{BBDCF551-D71D-40C8-BDB0-FD9957B6873F}">
            <xm:f>NOT(ISERROR(SEARCH($O$7,F38)))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5" operator="containsText" id="{8536CBD0-172B-49FD-BAF6-B053FFFCD00B}">
            <xm:f>NOT(ISERROR(SEARCH($O$13,F38)))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349" operator="containsText" id="{C93F37CE-4763-4FBD-9734-14C94D1F6FD5}">
            <xm:f>NOT(ISERROR(SEARCH($O$9,F38)))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346" operator="containsText" id="{9BD8B48A-BB66-402A-9896-3A26DBCDE440}">
            <xm:f>NOT(ISERROR(SEARCH($O$5,F38)))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48" operator="containsText" id="{0F4EFB77-62A6-4DC4-A8F5-5869CE0FFF0D}">
            <xm:f>NOT(ISERROR(SEARCH($O$8,F38)))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347" operator="containsText" id="{4CED967E-239F-437E-86D1-A2ED7A062131}">
            <xm:f>NOT(ISERROR(SEARCH($O$6,F38)))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274" operator="containsText" id="{E00F4EE9-909B-42B5-B8EF-277C3F3CEC5B}">
            <xm:f>NOT(ISERROR(SEARCH($O$7,F49)))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273" operator="containsText" id="{9DC4D4D5-0D96-4EEA-9651-7E1FE3D7FCDE}">
            <xm:f>NOT(ISERROR(SEARCH($O$6,F49)))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276" operator="containsText" id="{642C8F64-C10F-4CAF-98BA-1CB6B5ED2735}">
            <xm:f>NOT(ISERROR(SEARCH($O$9,F49)))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275" operator="containsText" id="{8AD392DB-4EEF-4DC0-B46C-C4D4A16C978C}">
            <xm:f>NOT(ISERROR(SEARCH($O$8,F49)))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144" operator="containsText" id="{ED61F30B-3395-4699-AB05-53850A9A5FF1}">
            <xm:f>NOT(ISERROR(SEARCH($O$9,F50)))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3" operator="containsText" id="{93D1C04B-04DB-4689-B8B4-4FCB06811772}">
            <xm:f>NOT(ISERROR(SEARCH($O$8,F50)))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2" operator="containsText" id="{E8A557E8-F1F6-419B-9207-3052A52E9CBA}">
            <xm:f>NOT(ISERROR(SEARCH($O$7,F50)))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141" operator="containsText" id="{05A15E11-DC4F-4623-AB50-1180BBA6B855}">
            <xm:f>NOT(ISERROR(SEARCH($O$6,F50)))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999" operator="containsText" id="{93619371-2EC9-404B-A8C4-3C385D43A69E}">
            <xm:f>NOT(ISERROR(SEARCH($O$9,F51)))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997" operator="containsText" id="{9EAA065E-B1EF-47F0-B8B0-0236E103289E}">
            <xm:f>NOT(ISERROR(SEARCH($O$7,F51)))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96" operator="containsText" id="{4658C15C-8DF7-4770-832F-DFC3DBCD6C41}">
            <xm:f>NOT(ISERROR(SEARCH($O$6,F51)))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998" operator="containsText" id="{E8220702-4C08-4706-BB93-B30E530124FA}">
            <xm:f>NOT(ISERROR(SEARCH($O$8,F51)))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915" operator="containsText" id="{2D5B3CB6-2B6B-4B96-8C4B-59C08819EA0B}">
            <xm:f>NOT(ISERROR(SEARCH($O$11,F52)))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916" operator="containsText" id="{47687786-0923-42C2-A280-96A7489D63B1}">
            <xm:f>NOT(ISERROR(SEARCH($O$12,F52)))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917" operator="containsText" id="{513A0F50-B9B2-4FC8-B744-8A0982C9091F}">
            <xm:f>NOT(ISERROR(SEARCH($O$14,F52)))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918" operator="containsText" id="{8C163491-9E0C-4BE6-9259-308FF010817A}">
            <xm:f>NOT(ISERROR(SEARCH($O$15,F52)))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919" operator="containsText" id="{99BA1017-BDFE-4EF6-B0DD-56B37E718E60}">
            <xm:f>NOT(ISERROR(SEARCH($O$7,F52)))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920" operator="containsText" id="{D971DDC9-31D5-4213-8856-34AEDA7AEAA4}">
            <xm:f>NOT(ISERROR(SEARCH($O$13,F52)))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911" operator="containsText" id="{CAF134B5-D467-40F6-AD7D-8806180DB71D}">
            <xm:f>NOT(ISERROR(SEARCH($O$5,F52)))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912" operator="containsText" id="{EEDD5A17-9ED9-4B19-8566-C3A375085D50}">
            <xm:f>NOT(ISERROR(SEARCH($O$6,F52)))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913" operator="containsText" id="{137EC612-9D9A-440A-825E-9DA2C37E3BE1}">
            <xm:f>NOT(ISERROR(SEARCH($O$8,F52)))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914" operator="containsText" id="{9E892E46-A7B2-474A-A74F-E73ACE0CA4FA}">
            <xm:f>NOT(ISERROR(SEARCH($O$9,F52)))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472" operator="containsText" id="{4721653F-B998-4EE3-B3CB-B700D9CD7D46}">
            <xm:f>NOT(ISERROR(SEARCH($O$8,H18)))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74" operator="containsText" id="{786A3440-D079-4CC5-AF77-20B5FBDE0B94}">
            <xm:f>NOT(ISERROR(SEARCH($O$11,H18)))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75" operator="containsText" id="{8174E5E7-B89F-4617-A6B8-4D3CF70F999A}">
            <xm:f>NOT(ISERROR(SEARCH($O$12,H18)))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76" operator="containsText" id="{BFF94A63-3946-4426-B494-45AEAE037FDF}">
            <xm:f>NOT(ISERROR(SEARCH($O$13,H18)))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77" operator="containsText" id="{40EED7FE-18E6-4E6B-8137-7E4A51027B44}">
            <xm:f>NOT(ISERROR(SEARCH($O$14,H18)))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78" operator="containsText" id="{A002C234-03F1-4816-A0C0-A72716F58D34}">
            <xm:f>NOT(ISERROR(SEARCH($O$15,H18)))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73" operator="containsText" id="{247C272C-4A51-49DC-B0E7-4485DE9B1DF5}">
            <xm:f>NOT(ISERROR(SEARCH($O$9,H18)))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69" operator="containsText" id="{1AB8BE52-2079-4379-91B1-0C1786066DD5}">
            <xm:f>NOT(ISERROR(SEARCH($O$5,H18)))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70" operator="containsText" id="{C84FF3CE-16AD-4554-A698-8A8EDA99C4CD}">
            <xm:f>NOT(ISERROR(SEARCH($O$6,H18)))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71" operator="containsText" id="{37BF1690-7D58-4B40-B4D7-87BC4E660908}">
            <xm:f>NOT(ISERROR(SEARCH($O$7,H18)))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814" operator="containsText" id="{70463ED3-B22A-4131-A068-21E34A8E7BC4}">
            <xm:f>NOT(ISERROR(SEARCH($O$14,F21)))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1" operator="containsText" id="{559E9FB4-B069-4885-926F-48DE23EB4152}">
            <xm:f>NOT(ISERROR(SEARCH($O$5,F21)))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5" operator="containsText" id="{A0031A93-A415-4AEB-989E-FAF4E66478F8}">
            <xm:f>NOT(ISERROR(SEARCH($O$13,F21)))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6" operator="containsText" id="{13215F28-A517-4878-A593-382AC63CE77A}">
            <xm:f>NOT(ISERROR(SEARCH($O$12,F21)))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7" operator="containsText" id="{8DDD077D-6408-442F-BCA2-397C240F49A7}">
            <xm:f>NOT(ISERROR(SEARCH($O$9,F21)))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9" operator="containsText" id="{A46B0750-D7C5-4D9F-BCA1-D2A0AC773A85}">
            <xm:f>NOT(ISERROR(SEARCH($O$7,F21)))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0" operator="containsText" id="{E5B990E2-3D4C-4971-9256-56B1D80A992C}">
            <xm:f>NOT(ISERROR(SEARCH($O$6,F21)))</xm:f>
            <xm:f>$O$6</xm:f>
            <x14:dxf>
              <fill>
                <patternFill>
                  <bgColor rgb="FFFF0000"/>
                </patternFill>
              </fill>
            </x14:dxf>
          </x14:cfRule>
          <xm:sqref>H21:H33 L21:L33 F21:F33</xm:sqref>
        </x14:conditionalFormatting>
        <x14:conditionalFormatting xmlns:xm="http://schemas.microsoft.com/office/excel/2006/main">
          <x14:cfRule type="containsText" priority="1839" operator="containsText" id="{A9A9B33E-F3FE-4A9E-854F-282CAD104097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97" operator="containsText" id="{9494634B-369C-4C78-909E-E64F3948B100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135" operator="containsText" id="{B2BDE443-00F0-4D87-9E74-6DF27D42D24B}">
            <xm:f>NOT(ISERROR(SEARCH($O$8,H23)))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157" operator="containsText" id="{A935D34D-6DCA-4170-B08A-93AAEB90F512}">
            <xm:f>NOT(ISERROR(SEARCH($O$8,H27)))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1167" operator="containsText" id="{5A4154EF-BA96-4F6C-9D13-6E85799F7FE5}">
            <xm:f>NOT(ISERROR(SEARCH($O$8,H32)))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H32</xm:sqref>
        </x14:conditionalFormatting>
        <x14:conditionalFormatting xmlns:xm="http://schemas.microsoft.com/office/excel/2006/main">
          <x14:cfRule type="containsText" priority="1097" operator="containsText" id="{CF339C17-3DCF-48D2-B7DF-9A32F4758FBD}">
            <xm:f>NOT(ISERROR(SEARCH($O$11,H34)))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5" operator="containsText" id="{4148DCFC-C618-4E99-8972-1A29BA3FB2E7}">
            <xm:f>NOT(ISERROR(SEARCH($O$5,H34)))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4" operator="containsText" id="{1F200887-1955-4E66-8ACE-B30A18C1ED46}">
            <xm:f>NOT(ISERROR(SEARCH($O$6,H34)))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3" operator="containsText" id="{FF316425-EA51-4E04-8824-CCE7AB3629D7}">
            <xm:f>NOT(ISERROR(SEARCH($O$7,H34)))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2" operator="containsText" id="{5AE129F8-3E4B-4A89-B30B-1C3D76B5FBEF}">
            <xm:f>NOT(ISERROR(SEARCH($O$9,H34)))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1" operator="containsText" id="{E1E5D13B-06D5-4022-BE97-F1B1C9A1EE55}">
            <xm:f>NOT(ISERROR(SEARCH($O$12,H34)))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6" operator="containsText" id="{DB76DAE8-2259-4451-8DC2-5C4A5F01BB8D}">
            <xm:f>NOT(ISERROR(SEARCH($O$15,H34)))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90" operator="containsText" id="{FFDD240F-A573-4D1B-AE1F-CA8ED913B51E}">
            <xm:f>NOT(ISERROR(SEARCH($O$13,H34)))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89" operator="containsText" id="{FB87B07A-2695-4C51-822B-D10070236AA1}">
            <xm:f>NOT(ISERROR(SEARCH($O$14,H34)))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88" operator="containsText" id="{12088E78-2AD9-4452-97E3-E5C569D0F27A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695" operator="containsText" id="{85AE873F-D19D-4835-B054-779F9BCEE716}">
            <xm:f>NOT(ISERROR(SEARCH($O$15,H35)))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93" operator="containsText" id="{5E26CF53-ADF0-4DDF-ABDF-137DDEBC41D2}">
            <xm:f>NOT(ISERROR(SEARCH($O$5,H35)))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92" operator="containsText" id="{5B238225-18FF-45DA-B2D5-571B9C27D7B4}">
            <xm:f>NOT(ISERROR(SEARCH($O$6,H35)))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91" operator="containsText" id="{D96B5AFD-55F6-4E7A-B727-A57DF7A95176}">
            <xm:f>NOT(ISERROR(SEARCH($O$7,H35)))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690" operator="containsText" id="{46361A42-5C4B-4E5C-AD15-5343866AFAA7}">
            <xm:f>NOT(ISERROR(SEARCH($O$8,H35)))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89" operator="containsText" id="{C48F9326-8D92-467E-B7B6-63A7E1E6E56B}">
            <xm:f>NOT(ISERROR(SEARCH($O$9,H35)))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88" operator="containsText" id="{084ED35B-251F-4B3B-B8C8-B1DC0D7D9578}">
            <xm:f>NOT(ISERROR(SEARCH($O$12,H35)))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687" operator="containsText" id="{E0E74280-3E00-4E6B-A640-B9B1DF8A1895}">
            <xm:f>NOT(ISERROR(SEARCH($O$13,H35)))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686" operator="containsText" id="{5A564BA4-F7FA-4B9C-8C1E-F4E2FA296B85}">
            <xm:f>NOT(ISERROR(SEARCH($O$14,H35)))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96" operator="containsText" id="{DD78D1F1-CC2B-43E9-BC42-7C7C05F07FA0}">
            <xm:f>NOT(ISERROR(SEARCH($O$11,H35)))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662" operator="containsText" id="{4090E00A-F864-4556-83A3-5316816B47B9}">
            <xm:f>NOT(ISERROR(SEARCH($O$5,H36)))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56" operator="containsText" id="{F582D151-D3AF-4696-9003-D25847B4C660}">
            <xm:f>NOT(ISERROR(SEARCH($O$13,H36)))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655" operator="containsText" id="{43AF40D9-2B75-4891-B047-402BDCEDED3F}">
            <xm:f>NOT(ISERROR(SEARCH($O$14,H36)))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63" operator="containsText" id="{43858F67-9C59-4715-B54E-8C97F4A1FBDE}">
            <xm:f>NOT(ISERROR(SEARCH($O$15,H36)))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60" operator="containsText" id="{26BD3B0E-3442-4BFF-9AE6-8F1BD3D7B6C2}">
            <xm:f>NOT(ISERROR(SEARCH($O$7,H36)))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661" operator="containsText" id="{32382055-62B1-4463-AC10-7D292F9AA309}">
            <xm:f>NOT(ISERROR(SEARCH($O$6,H36)))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59" operator="containsText" id="{4B4DE28A-D7B7-4FA7-B4B7-7D896BB817B9}">
            <xm:f>NOT(ISERROR(SEARCH($O$8,H36)))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58" operator="containsText" id="{1BA6C54E-7816-4877-B1B3-117335E4FEE4}">
            <xm:f>NOT(ISERROR(SEARCH($O$9,H36)))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64" operator="containsText" id="{A40D6F66-9DB8-4781-A5BF-94063D1D157C}">
            <xm:f>NOT(ISERROR(SEARCH($O$11,H36)))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657" operator="containsText" id="{D689A239-A7C1-476F-A8AB-ADFD07FB132C}">
            <xm:f>NOT(ISERROR(SEARCH($O$12,H36)))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265" operator="containsText" id="{8C2F442C-9FF1-40DD-B3DA-CA23C033F0F7}">
            <xm:f>NOT(ISERROR(SEARCH($O$13,F49)))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299" operator="containsText" id="{F4CF3B44-1A5C-4FF4-ACFC-78C3E73D7576}">
            <xm:f>NOT(ISERROR(SEARCH($O$11,F49)))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301" operator="containsText" id="{D7D1FB63-D01F-4E86-8A90-0CC4B8D6754A}">
            <xm:f>NOT(ISERROR(SEARCH($O$15,F49)))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02" operator="containsText" id="{EEF0ED3F-92DB-4087-A22E-F14991B71308}">
            <xm:f>NOT(ISERROR(SEARCH($O$5,F49)))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00" operator="containsText" id="{EAB9A23B-07ED-4453-B3C6-827DDAB3D61B}">
            <xm:f>NOT(ISERROR(SEARCH($O$12,F49)))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264" operator="containsText" id="{4C0F7354-0CFD-45CE-947B-BBC47445A5F9}">
            <xm:f>NOT(ISERROR(SEARCH($O$14,F49)))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169" operator="containsText" id="{95AC0ED7-FE34-4D41-B91C-20DD0E65030D}">
            <xm:f>NOT(ISERROR(SEARCH($O$15,F50)))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70" operator="containsText" id="{C8B87B49-B72E-4DEA-88C2-D603F3553739}">
            <xm:f>NOT(ISERROR(SEARCH($O$5,F50)))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68" operator="containsText" id="{E1C09329-498C-4F92-98AA-AED75DD944C0}">
            <xm:f>NOT(ISERROR(SEARCH($O$12,F50)))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132" operator="containsText" id="{B52C041D-64B2-4105-ADFC-ABE5B9FF2660}">
            <xm:f>NOT(ISERROR(SEARCH($O$14,F50)))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133" operator="containsText" id="{4C784BDB-E4E6-414F-8786-9ABF2CD24461}">
            <xm:f>NOT(ISERROR(SEARCH($O$13,F50)))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167" operator="containsText" id="{32CAAF38-5343-487E-9E13-AE3D019D2877}">
            <xm:f>NOT(ISERROR(SEARCH($O$11,F50)))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2022" operator="containsText" id="{D6277E24-17BC-4174-BD22-603A4C023C5A}">
            <xm:f>NOT(ISERROR(SEARCH($O$11,F51)))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3" operator="containsText" id="{A4C3416E-DABC-4648-AF28-ED68FDD7F9EC}">
            <xm:f>NOT(ISERROR(SEARCH($O$12,F51)))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8" operator="containsText" id="{507AB155-0183-4E9E-8F90-F6CD1EB0AA61}">
            <xm:f>NOT(ISERROR(SEARCH($O$13,F51)))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7" operator="containsText" id="{EE92A191-3F60-43FC-9BCA-935581C03721}">
            <xm:f>NOT(ISERROR(SEARCH($O$14,F51)))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4" operator="containsText" id="{2C12894B-7DCF-4BD7-B75B-EEC5601FD6BC}">
            <xm:f>NOT(ISERROR(SEARCH($O$15,F51)))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5" operator="containsText" id="{77E72707-8C3E-4D41-BACB-3F1DCBCAF583}">
            <xm:f>NOT(ISERROR(SEARCH($O$5,F51)))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880" operator="containsText" id="{AB0A9185-29C7-4893-A3DA-5BD922E4AE1D}">
            <xm:f>NOT(ISERROR(SEARCH($O$9,H52)))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85" operator="containsText" id="{42344C7F-E5DB-4AFC-B838-53796342F1C7}">
            <xm:f>NOT(ISERROR(SEARCH($O$7,H52)))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82" operator="containsText" id="{E9478108-F817-4AF1-B0E3-2B4404471CBB}">
            <xm:f>NOT(ISERROR(SEARCH($O$12,H52)))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77" operator="containsText" id="{67D033F5-7626-45DA-A686-CC42327B9F7E}">
            <xm:f>NOT(ISERROR(SEARCH($O$5,H52)))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878" operator="containsText" id="{3C308BA4-3374-4E95-92CD-9B7CDABE5AD8}">
            <xm:f>NOT(ISERROR(SEARCH($O$6,H52)))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879" operator="containsText" id="{3ACBDECE-5A5F-4E23-8802-9BD1C49577E4}">
            <xm:f>NOT(ISERROR(SEARCH($O$8,H52)))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81" operator="containsText" id="{3856E377-4360-465B-91D6-3AC1EE7E834E}">
            <xm:f>NOT(ISERROR(SEARCH($O$11,H52)))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83" operator="containsText" id="{C26784FB-3467-4D33-8C07-B820A9CAD7F6}">
            <xm:f>NOT(ISERROR(SEARCH($O$14,H52)))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84" operator="containsText" id="{8B16DA2A-0BB8-48E1-A992-5E8BDA27BB5B}">
            <xm:f>NOT(ISERROR(SEARCH($O$15,H52)))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86" operator="containsText" id="{CDA4E289-5012-4F1A-89BC-BE3F80277CE8}">
            <xm:f>NOT(ISERROR(SEARCH($O$13,H52)))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434" operator="containsText" id="{FCE662BC-9466-44B4-A502-A0C05FCD300F}">
            <xm:f>NOT(ISERROR(SEARCH($O$5,L18)))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40" operator="containsText" id="{8B1C3DFA-3FD3-4ACD-94EC-9792DE4CBF58}">
            <xm:f>NOT(ISERROR(SEARCH($O$12,L18)))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35" operator="containsText" id="{F38F4C1C-00E7-408E-9470-46444B21BD20}">
            <xm:f>NOT(ISERROR(SEARCH($O$6,L18)))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36" operator="containsText" id="{DB74D528-3E90-4352-BB42-FBBA68F1A85E}">
            <xm:f>NOT(ISERROR(SEARCH($O$7,L18)))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37" operator="containsText" id="{17426E59-4565-4179-AE76-433DB7070464}">
            <xm:f>NOT(ISERROR(SEARCH($O$8,L18)))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38" operator="containsText" id="{926CFFC8-F4FE-4F1D-B354-BE3431548CDD}">
            <xm:f>NOT(ISERROR(SEARCH($O$9,L18)))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39" operator="containsText" id="{7D9C5BAA-597A-401E-BAB5-D1A8329F8148}">
            <xm:f>NOT(ISERROR(SEARCH($O$11,L18)))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41" operator="containsText" id="{5F020EA3-1173-4421-969B-36C326393AAF}">
            <xm:f>NOT(ISERROR(SEARCH($O$13,L18)))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42" operator="containsText" id="{C0B6B4E2-E08B-4817-A287-9D566485ADDC}">
            <xm:f>NOT(ISERROR(SEARCH($O$14,L18)))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43" operator="containsText" id="{B779F4A0-B998-444C-8FF8-C82D95AFE02C}">
            <xm:f>NOT(ISERROR(SEARCH($O$15,L18)))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796" operator="containsText" id="{0A6D4078-912F-4C67-8A64-CF54DD019081}">
            <xm:f>NOT(ISERROR(SEARCH($O$8,L21)))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1818" operator="containsText" id="{CC010044-B335-4A53-ADBC-BF3140BDA11F}">
            <xm:f>NOT(ISERROR(SEARCH($O$8,F21)))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L21:L33 F21:F33</xm:sqref>
        </x14:conditionalFormatting>
        <x14:conditionalFormatting xmlns:xm="http://schemas.microsoft.com/office/excel/2006/main">
          <x14:cfRule type="containsText" priority="1062" operator="containsText" id="{C4802335-F47F-46E7-A7B0-F16982B7709F}">
            <xm:f>NOT(ISERROR(SEARCH($O$6,L34)))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1" operator="containsText" id="{93571056-CD86-4C20-AD95-8DAD1E5D1DBF}">
            <xm:f>NOT(ISERROR(SEARCH($O$7,L34)))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0" operator="containsText" id="{5F24D16B-DEEF-4F03-8C21-A71CD7DCA6DB}">
            <xm:f>NOT(ISERROR(SEARCH($O$8,L34)))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9" operator="containsText" id="{286EEC25-4C4B-465E-B75D-A343214E7A17}">
            <xm:f>NOT(ISERROR(SEARCH($O$9,L34)))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8" operator="containsText" id="{0E885B83-B13C-4FE7-A1E5-33A3995FD242}">
            <xm:f>NOT(ISERROR(SEARCH($O$12,L34)))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7" operator="containsText" id="{AF9882E0-76CD-41FC-8C01-227AABE734DB}">
            <xm:f>NOT(ISERROR(SEARCH($O$13,L34)))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056" operator="containsText" id="{65E4E1CF-8245-4E2D-81A5-5533A5C0F213}">
            <xm:f>NOT(ISERROR(SEARCH($O$14,L34)))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7" operator="containsText" id="{4B24C60A-E9F1-46D5-99BD-2C0322D40722}">
            <xm:f>NOT(ISERROR(SEARCH($O$11,L34)))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6" operator="containsText" id="{9C61100C-878C-4944-96C2-927A47000CC3}">
            <xm:f>NOT(ISERROR(SEARCH($O$15,L34)))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063" operator="containsText" id="{E9DAB7CB-DBE8-4707-AA5C-28E914D42AC4}">
            <xm:f>NOT(ISERROR(SEARCH($O$5,L34)))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containsText" priority="618" operator="containsText" id="{833DCB26-4F67-42E0-93D8-B08567969B89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27" operator="containsText" id="{975489CB-D5DA-44C3-BFA1-412FCD612E28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628" operator="containsText" id="{82A0D471-1617-4B86-A345-1DC7744E172E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619" operator="containsText" id="{ABC8655A-0E95-4764-84D7-4ED3C466A075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625" operator="containsText" id="{C964936D-2726-4271-8961-9EAFD98F9A07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624" operator="containsText" id="{01A34264-7FAA-4B6A-96AC-1230536E4F35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620" operator="containsText" id="{6D444EA5-5EC4-47A2-A75D-9DCD76D1E552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621" operator="containsText" id="{57FB9184-1BD1-4F4C-BBCF-A218189DB53B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22" operator="containsText" id="{AF89660A-E861-4164-823F-0688DC9E8B4E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23" operator="containsText" id="{E50FA1D9-5379-401C-8A7E-90DDE486D122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591" operator="containsText" id="{3D4C901A-CC12-4AA4-9245-BB3037053761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87" operator="containsText" id="{4E0B3E2F-7F3A-40C1-93CC-3CB35FB84D5E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88" operator="containsText" id="{9413936C-D79A-4BE0-AAF6-861C8CE06C88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89" operator="containsText" id="{7C9005F2-CA74-4D2A-8467-49E2F6D63A6B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90" operator="containsText" id="{F9A8CB66-F1F9-4D8C-95FB-7B8FB0F27BFC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92" operator="containsText" id="{64153C5C-057C-48D4-A255-990D9F42D5D4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93" operator="containsText" id="{3BE912E6-87F7-445C-8EDD-D6FEDE00A93E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94" operator="containsText" id="{8D996F18-F60E-409F-AED2-5058D44DCCC1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95" operator="containsText" id="{A486857B-F258-4ACF-8A54-D22B979CAEE3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96" operator="containsText" id="{B39B00D7-60DF-49F1-A84A-42DC7C89893F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225" operator="containsText" id="{E7EFAA55-EF98-48A4-9FC4-4C41860E20D2}">
            <xm:f>NOT(ISERROR(SEARCH($O$14,L49)))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226" operator="containsText" id="{C508D6A3-2136-455D-9689-BF0D8E681D16}">
            <xm:f>NOT(ISERROR(SEARCH($O$13,L49)))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2" operator="containsText" id="{744AC17C-90D9-4A33-B294-A0F441A62BE0}">
            <xm:f>NOT(ISERROR(SEARCH($O$7,L49)))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3" operator="containsText" id="{3A914317-9DA3-4BCC-973C-2815AA793CFC}">
            <xm:f>NOT(ISERROR(SEARCH($O$8,L49)))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256" operator="containsText" id="{39C56F7D-B579-46E9-B07C-6DA6312A95BD}">
            <xm:f>NOT(ISERROR(SEARCH($O$11,L49)))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257" operator="containsText" id="{22C2E7E5-2310-4E7E-B689-51A07B1D4D2E}">
            <xm:f>NOT(ISERROR(SEARCH($O$12,L49)))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258" operator="containsText" id="{C2A7D494-7887-435D-853C-A7443452269F}">
            <xm:f>NOT(ISERROR(SEARCH($O$15,L49)))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259" operator="containsText" id="{996ED1FC-35FE-42A6-A5C9-F8AB75793FDA}">
            <xm:f>NOT(ISERROR(SEARCH($O$5,L49)))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4" operator="containsText" id="{923D0F0B-49E1-46E9-823B-B02CBA867FE2}">
            <xm:f>NOT(ISERROR(SEARCH($O$9,L49)))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231" operator="containsText" id="{84E876E8-06D9-4393-A81A-6DDD7167434E}">
            <xm:f>NOT(ISERROR(SEARCH($O$6,L49)))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2127" operator="containsText" id="{7A8A9B1D-A39E-4F37-ACC1-040846C01F02}">
            <xm:f>NOT(ISERROR(SEARCH($O$5,L50)))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3" operator="containsText" id="{C65D3074-414B-426A-A7A2-57682EA7888D}">
            <xm:f>NOT(ISERROR(SEARCH($O$14,L50)))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4" operator="containsText" id="{4933CF93-C7DB-4655-828F-1C9B08D569B0}">
            <xm:f>NOT(ISERROR(SEARCH($O$13,L50)))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9" operator="containsText" id="{640BC9EB-2DCC-4D57-9042-E539C40774CE}">
            <xm:f>NOT(ISERROR(SEARCH($O$6,L50)))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0" operator="containsText" id="{94A1F691-A9CE-428A-BD33-BDA6CF3A0E61}">
            <xm:f>NOT(ISERROR(SEARCH($O$7,L50)))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1" operator="containsText" id="{BC038541-A52A-4DDF-AD28-4E4E5BF193E6}">
            <xm:f>NOT(ISERROR(SEARCH($O$8,L50)))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2" operator="containsText" id="{1DA4870B-156C-470C-BECB-97CD5A9705B1}">
            <xm:f>NOT(ISERROR(SEARCH($O$9,L50)))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125" operator="containsText" id="{92E8FAFA-8593-44B4-AD67-BFF09E65EBE1}">
            <xm:f>NOT(ISERROR(SEARCH($O$12,L50)))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126" operator="containsText" id="{9857A781-86E9-4724-AC20-5E5523E5B136}">
            <xm:f>NOT(ISERROR(SEARCH($O$15,L50)))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24" operator="containsText" id="{9845208D-61FF-4B18-941A-51D9877C8698}">
            <xm:f>NOT(ISERROR(SEARCH($O$11,L50)))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957" operator="containsText" id="{7BD28355-7587-4A19-9D1C-E529768B67F7}">
            <xm:f>NOT(ISERROR(SEARCH($O$9,L51)))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956" operator="containsText" id="{DAD46350-76A4-4E5B-A76B-DC5D54C73B7C}">
            <xm:f>NOT(ISERROR(SEARCH($O$8,L51)))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55" operator="containsText" id="{BFBF9AD7-4B4D-4A6D-847C-16C87C93F129}">
            <xm:f>NOT(ISERROR(SEARCH($O$7,L51)))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54" operator="containsText" id="{F01E004A-E965-4F18-8236-DD1B5F82AD33}">
            <xm:f>NOT(ISERROR(SEARCH($O$6,L51)))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2" operator="containsText" id="{9268E3E7-1E05-4EF7-AC1B-E70F8B773A1C}">
            <xm:f>NOT(ISERROR(SEARCH($O$5,L51)))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9" operator="containsText" id="{563FF348-C6B4-40DF-A3A5-513E8BE5F599}">
            <xm:f>NOT(ISERROR(SEARCH($O$13,L51)))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8" operator="containsText" id="{21627267-1DDC-415E-834B-5C8BEC9BA4A2}">
            <xm:f>NOT(ISERROR(SEARCH($O$14,L51)))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1" operator="containsText" id="{5CDEA0E8-CBE5-4E22-8264-8B98ADB29454}">
            <xm:f>NOT(ISERROR(SEARCH($O$15,L51)))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0" operator="containsText" id="{335D579B-5D1D-4B62-A402-4393941F1FA0}">
            <xm:f>NOT(ISERROR(SEARCH($O$12,L51)))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79" operator="containsText" id="{4548A014-7240-4328-BD91-4EAC96936946}">
            <xm:f>NOT(ISERROR(SEARCH($O$11,L51)))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835" operator="containsText" id="{68A98F1D-9B15-4E0F-BF60-F99B2324320E}">
            <xm:f>NOT(ISERROR(SEARCH($O$13,L52)))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834" operator="containsText" id="{D6E9EDBE-8EC9-436F-BE17-AB0F23127489}">
            <xm:f>NOT(ISERROR(SEARCH($O$7,L52)))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33" operator="containsText" id="{74D871BB-B62B-42E9-8350-8F469293EA05}">
            <xm:f>NOT(ISERROR(SEARCH($O$15,L52)))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32" operator="containsText" id="{0B9C8053-7768-4221-BC12-EEF3F2C2426C}">
            <xm:f>NOT(ISERROR(SEARCH($O$14,L52)))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31" operator="containsText" id="{09634A88-04C4-4952-8182-8925C96B6352}">
            <xm:f>NOT(ISERROR(SEARCH($O$12,L52)))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30" operator="containsText" id="{C831DA35-FF57-4877-BAA1-2E65F6BBDFDC}">
            <xm:f>NOT(ISERROR(SEARCH($O$11,L52)))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29" operator="containsText" id="{BF97C241-5D1B-4005-8D98-DF33413775BE}">
            <xm:f>NOT(ISERROR(SEARCH($O$9,L52)))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28" operator="containsText" id="{D64926E7-9166-4901-8D68-62C7D022DD10}">
            <xm:f>NOT(ISERROR(SEARCH($O$8,L52)))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27" operator="containsText" id="{CEE3600B-F78B-4285-8576-AFE4337DBCEF}">
            <xm:f>NOT(ISERROR(SEARCH($O$6,L52)))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826" operator="containsText" id="{67421EEC-0FF4-4E98-982D-3AB4D8422A0A}">
            <xm:f>NOT(ISERROR(SEARCH($O$5,L52)))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1625" operator="containsText" id="{0A040132-795E-4900-BEFD-F20E4BE6FDF2}">
            <xm:f>NOT(ISERROR(SEARCH($O$5,N5)))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6" operator="containsText" id="{E0415CC4-5E43-4796-8593-720ED6C48B64}">
            <xm:f>NOT(ISERROR(SEARCH($O$6,N5)))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7" operator="containsText" id="{2A617368-758E-43AC-96A7-88FF4519C84F}">
            <xm:f>NOT(ISERROR(SEARCH($O$7,N5)))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8" operator="containsText" id="{6E325998-6B7E-4805-A361-0757337085A5}">
            <xm:f>NOT(ISERROR(SEARCH($O$8,N5)))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9" operator="containsText" id="{1DF40C31-F138-4535-8046-637028AC2799}">
            <xm:f>NOT(ISERROR(SEARCH($O$9,N5)))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N5:N16</xm:sqref>
        </x14:conditionalFormatting>
        <x14:conditionalFormatting xmlns:xm="http://schemas.microsoft.com/office/excel/2006/main">
          <x14:cfRule type="containsText" priority="1640" stopIfTrue="1" operator="containsText" id="{7064CE7C-D5EE-4152-BDA0-675F96339A9A}">
            <xm:f>NOT(ISERROR(SEARCH($O$11,N15)))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1" stopIfTrue="1" operator="containsText" id="{08637615-AD07-4100-85F5-089BFCFB2740}">
            <xm:f>NOT(ISERROR(SEARCH($O$12,N15)))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2" stopIfTrue="1" operator="containsText" id="{F3930788-629F-444E-9510-63A3F3010407}">
            <xm:f>NOT(ISERROR(SEARCH($O$13,N15)))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3" stopIfTrue="1" operator="containsText" id="{99567223-4CA1-4ED9-8226-228655940C44}">
            <xm:f>NOT(ISERROR(SEARCH($O$14,N15)))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5" stopIfTrue="1" operator="containsText" id="{605E357A-0443-4E7E-9549-B1A1CA757B8A}">
            <xm:f>NOT(ISERROR(SEARCH($O$15,N15)))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407" operator="containsText" id="{73801147-50ED-44C4-8B14-383B175070CE}">
            <xm:f>NOT(ISERROR(SEARCH($O$14,N18)))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01" operator="containsText" id="{3A507AEE-CBB4-469A-BA94-029A7B07F916}">
            <xm:f>NOT(ISERROR(SEARCH($O$7,N18)))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08" operator="containsText" id="{2DB113B6-52F2-494B-ABAE-59097892F715}">
            <xm:f>NOT(ISERROR(SEARCH($O$15,N18)))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00" operator="containsText" id="{FB915227-ADD0-4383-BE4A-565B4F3AB140}">
            <xm:f>NOT(ISERROR(SEARCH($O$6,N18)))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06" operator="containsText" id="{6EA64DD5-20D9-4A0F-A891-9A1E151717C7}">
            <xm:f>NOT(ISERROR(SEARCH($O$13,N18)))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05" operator="containsText" id="{1CED2539-3D3A-4EC5-A2ED-A3C1D730FE7E}">
            <xm:f>NOT(ISERROR(SEARCH($O$12,N18)))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04" operator="containsText" id="{2B8EB112-DDA5-4B1E-84F6-A670F5AB6A8D}">
            <xm:f>NOT(ISERROR(SEARCH($O$11,N18)))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02" operator="containsText" id="{8E329616-DE2C-4B3F-8AF3-7C89F3CB6EE5}">
            <xm:f>NOT(ISERROR(SEARCH($O$8,N18)))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03" operator="containsText" id="{766A49AA-5B4D-4A3C-8FD0-05C02E9EB602}">
            <xm:f>NOT(ISERROR(SEARCH($O$9,N18)))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99" operator="containsText" id="{ECE8D958-6557-4004-BC4B-8DAF16DED723}">
            <xm:f>NOT(ISERROR(SEARCH($O$5,N18)))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304" operator="containsText" id="{E1EE903F-2CC6-4D3A-A10C-EBEE40510519}">
            <xm:f>NOT(ISERROR(SEARCH($O$11,N35)))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33" operator="containsText" id="{6CCA550F-C45E-402A-B8E7-801F1BE8285C}">
            <xm:f>NOT(ISERROR(SEARCH($O$14,N35)))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43" operator="containsText" id="{7D665FC2-2613-404C-B680-E2E687B06C8F}">
            <xm:f>NOT(ISERROR(SEARCH($O$11,N35)))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42" operator="containsText" id="{920BCC39-87B9-41E4-8764-A0A7F80A992C}">
            <xm:f>NOT(ISERROR(SEARCH($O$15,N35)))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40" operator="containsText" id="{852811C3-0052-4956-AAB7-C850093476C7}">
            <xm:f>NOT(ISERROR(SEARCH($O$5,N35)))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9" operator="containsText" id="{9053D42E-671E-45E6-8FA2-32283E48DE83}">
            <xm:f>NOT(ISERROR(SEARCH($O$6,N35)))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38" operator="containsText" id="{B9088387-5B37-450D-BEC6-268B42484653}">
            <xm:f>NOT(ISERROR(SEARCH($O$7,N35)))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37" operator="containsText" id="{78B9D55B-AD42-435F-8C4D-C056C1FAC0DA}">
            <xm:f>NOT(ISERROR(SEARCH($O$8,N35)))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36" operator="containsText" id="{5B2131B2-40BD-4BEB-9E95-83AC93006480}">
            <xm:f>NOT(ISERROR(SEARCH($O$9,N35)))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03" operator="containsText" id="{B1415CAD-A824-4C3D-AA13-C261E85544C5}">
            <xm:f>NOT(ISERROR(SEARCH($O$15,N35)))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1" operator="containsText" id="{542BB205-CFCC-49A5-BD03-1A24003A3F49}">
            <xm:f>NOT(ISERROR(SEARCH($O$5,N35)))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0" operator="containsText" id="{DA347DB8-D3BC-4050-9E28-8CDF19F0A049}">
            <xm:f>NOT(ISERROR(SEARCH($O$6,N35)))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99" operator="containsText" id="{7F21215E-19FC-4782-8F1F-3F36A5A42922}">
            <xm:f>NOT(ISERROR(SEARCH($O$7,N35)))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98" operator="containsText" id="{75B62A6B-BB92-45CB-880D-D6ACC426466E}">
            <xm:f>NOT(ISERROR(SEARCH($O$8,N35)))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97" operator="containsText" id="{46929218-3C43-47E7-B961-E765733CF2B1}">
            <xm:f>NOT(ISERROR(SEARCH($O$9,N35)))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96" operator="containsText" id="{F23FECFE-872E-48F7-B47E-50C2F349276D}">
            <xm:f>NOT(ISERROR(SEARCH($O$12,N35)))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95" operator="containsText" id="{5DC8508A-C67C-471F-9CC2-F876F61A48D0}">
            <xm:f>NOT(ISERROR(SEARCH($O$13,N35)))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94" operator="containsText" id="{689EE98B-5598-4A73-9877-B30E4FADCAE1}">
            <xm:f>NOT(ISERROR(SEARCH($O$14,N35)))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35" operator="containsText" id="{AF2B036A-9665-4675-84D5-E3BB9A6CF213}">
            <xm:f>NOT(ISERROR(SEARCH($O$12,N35)))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34" operator="containsText" id="{0E22BFD4-58EE-4CFF-A9E8-D3C0746EAB0D}">
            <xm:f>NOT(ISERROR(SEARCH($O$13,N35)))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263" operator="containsText" id="{1EAB1E69-2A2A-445F-8466-05E70DF36B56}">
            <xm:f>NOT(ISERROR(SEARCH($O$14,N36)))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64" operator="containsText" id="{89BFE10A-7330-4297-8BAB-E1530EE3D52C}">
            <xm:f>NOT(ISERROR(SEARCH($O$13,N36)))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65" operator="containsText" id="{7309A168-BA5F-4057-82F8-9CDEF1E6F013}">
            <xm:f>NOT(ISERROR(SEARCH($O$12,N36)))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66" operator="containsText" id="{5F1C9BEC-6AD6-40E8-B376-6390E20928DC}">
            <xm:f>NOT(ISERROR(SEARCH($O$9,N36)))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67" operator="containsText" id="{AFD6027D-8B0F-4B07-9819-D88741295292}">
            <xm:f>NOT(ISERROR(SEARCH($O$8,N36)))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69" operator="containsText" id="{1DF3158E-9880-40BC-88BD-B9A5110ED482}">
            <xm:f>NOT(ISERROR(SEARCH($O$6,N36)))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70" operator="containsText" id="{5C1A871E-1910-4C28-B5A9-85CD78CCF960}">
            <xm:f>NOT(ISERROR(SEARCH($O$5,N36)))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1" operator="containsText" id="{75BE5C80-B68F-439A-A460-DC63118A00B2}">
            <xm:f>NOT(ISERROR(SEARCH($O$11,N36)))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" operator="containsText" id="{21F10DE3-01F6-4396-8DBC-6EAE338A5558}">
            <xm:f>NOT(ISERROR(SEARCH($O$15,N36)))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68" operator="containsText" id="{8786B2F6-9FBC-4329-BE56-EFFA289D796F}">
            <xm:f>NOT(ISERROR(SEARCH($O$7,N36)))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71" operator="containsText" id="{D00284BF-8F5A-4CCE-B0B1-87A21EBFF443}">
            <xm:f>NOT(ISERROR(SEARCH($O$15,N36)))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" operator="containsText" id="{92696217-3177-45CE-9CDB-FFC8B10497B3}">
            <xm:f>NOT(ISERROR(SEARCH($O$5,N36)))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8" operator="containsText" id="{FCECA5CC-1368-43BC-801A-B1450858844D}">
            <xm:f>NOT(ISERROR(SEARCH($O$6,N36)))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" operator="containsText" id="{0FED0591-E203-4431-A60C-3C03E9351F76}">
            <xm:f>NOT(ISERROR(SEARCH($O$7,N36)))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06" operator="containsText" id="{621DC371-1A39-4E8A-AAA5-3B93E7E397E0}">
            <xm:f>NOT(ISERROR(SEARCH($O$8,N36)))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" operator="containsText" id="{C74FDD72-96C1-4577-80B4-3D5E443F9CD9}">
            <xm:f>NOT(ISERROR(SEARCH($O$9,N36)))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72" operator="containsText" id="{F91523EB-155A-4385-9786-B4A4E895C7A7}">
            <xm:f>NOT(ISERROR(SEARCH($O$11,N36)))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" operator="containsText" id="{A7FEE017-9309-495E-B068-CB515E8CD833}">
            <xm:f>NOT(ISERROR(SEARCH($O$13,N36)))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" operator="containsText" id="{FD851D88-C096-4766-B41C-3257808401FB}">
            <xm:f>NOT(ISERROR(SEARCH($O$14,N36)))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4" operator="containsText" id="{39354A93-EACE-4FA3-850A-A13DA481251F}">
            <xm:f>NOT(ISERROR(SEARCH($O$12,N36)))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198" operator="containsText" id="{F235D60D-DA48-459C-B29F-8D29D123F5BD}">
            <xm:f>NOT(ISERROR(SEARCH($O$9,N49)))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220" operator="containsText" id="{999E8CE4-9AAE-4AC1-80A7-763ECB22E70B}">
            <xm:f>NOT(ISERROR(SEARCH($O$11,N49)))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221" operator="containsText" id="{D2272BAB-D8E2-4C2F-A6FF-E3EC26EE9055}">
            <xm:f>NOT(ISERROR(SEARCH($O$12,N49)))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222" operator="containsText" id="{68497B46-7B0B-469C-93F3-C474693821DF}">
            <xm:f>NOT(ISERROR(SEARCH($O$15,N49)))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223" operator="containsText" id="{F2CDA0AF-3C01-4FE7-A11C-94E43E6A211A}">
            <xm:f>NOT(ISERROR(SEARCH($O$5,N49)))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189" operator="containsText" id="{8BC0B56A-546E-4450-B435-8E3EC32C378E}">
            <xm:f>NOT(ISERROR(SEARCH($O$14,N49)))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197" operator="containsText" id="{86C7F9C6-30DD-4C33-BB7F-CAA393462FF1}">
            <xm:f>NOT(ISERROR(SEARCH($O$8,N49)))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196" operator="containsText" id="{6A13FB6D-4CAF-4F7A-9147-A6E48A4990D4}">
            <xm:f>NOT(ISERROR(SEARCH($O$7,N49)))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195" operator="containsText" id="{6E88AA83-C0C5-49F4-AF49-ACB91D41AC60}">
            <xm:f>NOT(ISERROR(SEARCH($O$6,N49)))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190" operator="containsText" id="{C72E68B2-8D85-443F-9B35-D8288C63E747}">
            <xm:f>NOT(ISERROR(SEARCH($O$13,N49)))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2064" operator="containsText" id="{CDA381E1-7305-4582-BBE0-112EDD236232}">
            <xm:f>NOT(ISERROR(SEARCH($O$7,N50)))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063" operator="containsText" id="{665333B7-E1D5-4FBD-9F87-C1B67E5456B7}">
            <xm:f>NOT(ISERROR(SEARCH($O$6,N50)))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8" operator="containsText" id="{1E619FC3-43D9-4254-B52C-201A2B78E3CB}">
            <xm:f>NOT(ISERROR(SEARCH($O$13,N50)))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7" operator="containsText" id="{7C256AD9-E52F-4D1E-A2EA-8B35615A41CC}">
            <xm:f>NOT(ISERROR(SEARCH($O$14,N50)))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89" operator="containsText" id="{3B6CF1C0-C23E-42EE-B86B-E54FC3A489FB}">
            <xm:f>NOT(ISERROR(SEARCH($O$12,N50)))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0" operator="containsText" id="{5D9E6A29-38D8-4834-8D3D-5FA2E07E11BF}">
            <xm:f>NOT(ISERROR(SEARCH($O$15,N50)))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1" operator="containsText" id="{20D4AB13-C8F1-4C61-A6ED-6BB25690E7AA}">
            <xm:f>NOT(ISERROR(SEARCH($O$5,N50)))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88" operator="containsText" id="{7D49727C-47B7-4771-BFAD-72E065C254CA}">
            <xm:f>NOT(ISERROR(SEARCH($O$11,N50)))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66" operator="containsText" id="{8B0D5127-FF0D-4D49-8A1A-9A954BF6FDCD}">
            <xm:f>NOT(ISERROR(SEARCH($O$9,N50)))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065" operator="containsText" id="{ECAD8032-8B61-4C3A-8F32-062D10A651E0}">
            <xm:f>NOT(ISERROR(SEARCH($O$8,N50)))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920" operator="containsText" id="{2483408B-5F06-4FC8-AFED-1161F9F28AF9}">
            <xm:f>NOT(ISERROR(SEARCH($O$8,N51)))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9" operator="containsText" id="{CC65511E-DC6E-427E-9EBC-26D6A745C036}">
            <xm:f>NOT(ISERROR(SEARCH($O$7,N51)))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8" operator="containsText" id="{BC67D3D1-62D5-487F-8D96-C155B6AC4E9E}">
            <xm:f>NOT(ISERROR(SEARCH($O$6,N51)))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3" operator="containsText" id="{DB46A0C9-ECBF-4A13-9E4E-D2AF514D0829}">
            <xm:f>NOT(ISERROR(SEARCH($O$13,N51)))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2" operator="containsText" id="{13148003-E455-452D-8E4E-87CB07B933AC}">
            <xm:f>NOT(ISERROR(SEARCH($O$14,N51)))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6" operator="containsText" id="{A91062A4-7233-4F00-B341-8477B2A51B58}">
            <xm:f>NOT(ISERROR(SEARCH($O$5,N51)))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5" operator="containsText" id="{D85D9C54-08CE-4A8E-8229-D98E876354A5}">
            <xm:f>NOT(ISERROR(SEARCH($O$15,N51)))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21" operator="containsText" id="{0D20F8B5-C405-4EB3-A6B6-5373E0D37E40}">
            <xm:f>NOT(ISERROR(SEARCH($O$9,N51)))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4" operator="containsText" id="{23E3B2CC-E90C-49C3-AE1C-D437D09475D3}">
            <xm:f>NOT(ISERROR(SEARCH($O$12,N51)))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3" operator="containsText" id="{9292E059-68E0-49C2-9C18-7EA943B7FF94}">
            <xm:f>NOT(ISERROR(SEARCH($O$11,N51)))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793" operator="containsText" id="{0C581B9D-690C-456F-ADE9-9A46F598165E}">
            <xm:f>NOT(ISERROR(SEARCH($O$6,N52)))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94" operator="containsText" id="{7C7A02E8-A53C-4760-A095-26BDE6A16DD8}">
            <xm:f>NOT(ISERROR(SEARCH($O$8,N52)))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95" operator="containsText" id="{3BBA2E85-60E7-4581-AB13-3BA6E9C5DAC6}">
            <xm:f>NOT(ISERROR(SEARCH($O$9,N52)))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96" operator="containsText" id="{32F22D17-0E07-4A44-B811-779177CD4166}">
            <xm:f>NOT(ISERROR(SEARCH($O$11,N52)))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797" operator="containsText" id="{4D5BBEAD-CAE3-420D-9E88-66C95FA60E03}">
            <xm:f>NOT(ISERROR(SEARCH($O$12,N52)))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98" operator="containsText" id="{27BA3CFD-6AB8-453F-8FBD-DB43595622A2}">
            <xm:f>NOT(ISERROR(SEARCH($O$14,N52)))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99" operator="containsText" id="{A80CC0DE-C84C-4441-8718-780F308CBF3F}">
            <xm:f>NOT(ISERROR(SEARCH($O$15,N52)))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00" operator="containsText" id="{EAE86D8B-90AD-40C8-AFEC-938F1D18D83D}">
            <xm:f>NOT(ISERROR(SEARCH($O$7,N52)))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92" operator="containsText" id="{C2EEFAA9-C115-4CFE-9B0B-784FCE32E4C2}">
            <xm:f>NOT(ISERROR(SEARCH($O$5,N52)))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801" operator="containsText" id="{294597ED-E13F-44E0-9705-A5DAB87B9BE6}">
            <xm:f>NOT(ISERROR(SEARCH($O$13,N52)))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8971" operator="containsText" id="{757A6036-D756-4E08-925D-4A3DC321EC4B}">
            <xm:f>NOT(ISERROR(SEARCH($O$15,Q26)))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957" operator="containsText" id="{A95D0E0C-C56F-4316-9415-1976427676A2}">
            <xm:f>NOT(ISERROR(SEARCH($O$8,Q26)))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956" operator="containsText" id="{C026ECE0-FE25-42C2-8C6C-315649DC0866}">
            <xm:f>NOT(ISERROR(SEARCH($O$7,Q26)))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459" operator="containsText" id="{1A928EBD-4B73-4E80-A8E4-E54CC95133BA}">
            <xm:f>NOT(ISERROR(SEARCH($O$6,Q26)))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8458" operator="containsText" id="{0A39424A-2637-4824-8051-4ECB0DFA8E38}">
            <xm:f>NOT(ISERROR(SEARCH($O$5,Q26)))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8962" operator="containsText" id="{8A3530D4-95C3-4F9A-959F-1C005A9A1C9C}">
            <xm:f>NOT(ISERROR(SEARCH($O$14,Q26)))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961" operator="containsText" id="{4075BE2C-C239-415A-BD41-0B9C18EA4412}">
            <xm:f>NOT(ISERROR(SEARCH($O$13,Q26)))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8960" operator="containsText" id="{E43BC544-20E2-4CC6-ABC6-633A7F70CD2B}">
            <xm:f>NOT(ISERROR(SEARCH($O$12,Q26)))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959" operator="containsText" id="{87D186A9-43B9-4EF3-90B0-3E3748CF0517}">
            <xm:f>NOT(ISERROR(SEARCH($O$11,Q26)))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958" operator="containsText" id="{1B3363A7-470A-4B6B-8ACC-6A0C6E08CC41}">
            <xm:f>NOT(ISERROR(SEARCH($O$9,Q26)))</xm:f>
            <xm:f>$O$9</xm:f>
            <x14:dxf>
              <fill>
                <patternFill>
                  <bgColor rgb="FFFF0000"/>
                </patternFill>
              </fill>
            </x14:dxf>
          </x14:cfRule>
          <xm:sqref>Q26:R26</xm:sqref>
        </x14:conditionalFormatting>
        <x14:conditionalFormatting xmlns:xm="http://schemas.microsoft.com/office/excel/2006/main">
          <x14:cfRule type="containsText" priority="4484" operator="containsText" id="{3DB16DD6-622C-455B-87F6-E03E51FA577F}">
            <xm:f>NOT(ISERROR(SEARCH($O$5,R5)))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487" operator="containsText" id="{54416D41-5B78-4791-A043-458EA5074E92}">
            <xm:f>NOT(ISERROR(SEARCH($O$8,R5)))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493" operator="containsText" id="{1DA9B5BA-67DA-4421-B480-516E2EF05AFB}">
            <xm:f>NOT(ISERROR(SEARCH($O$15,R5)))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492" operator="containsText" id="{D3ED4DDF-C465-4513-B577-24E077538661}">
            <xm:f>NOT(ISERROR(SEARCH($O$14,R5)))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491" operator="containsText" id="{126FD90E-6673-43FF-B025-46DA841CDE1A}">
            <xm:f>NOT(ISERROR(SEARCH($O$13,R5)))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490" operator="containsText" id="{21FBB8A9-FD1B-437D-B04F-8D576678C33D}">
            <xm:f>NOT(ISERROR(SEARCH($O$12,R5)))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489" operator="containsText" id="{8ABADB2F-5348-406B-B637-3E389475D0D4}">
            <xm:f>NOT(ISERROR(SEARCH($O$11,R5)))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488" operator="containsText" id="{287E0231-F886-4038-A434-0A9103818235}">
            <xm:f>NOT(ISERROR(SEARCH($O$9,R5)))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486" operator="containsText" id="{9C246A21-D205-4764-8FB8-3569B54B435B}">
            <xm:f>NOT(ISERROR(SEARCH($O$7,R5)))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485" operator="containsText" id="{13CF9585-E389-4658-9DA6-3EA9B6984F89}">
            <xm:f>NOT(ISERROR(SEARCH($O$6,R5)))</xm:f>
            <xm:f>$O$6</xm:f>
            <x14:dxf>
              <fill>
                <patternFill>
                  <bgColor rgb="FFFF0000"/>
                </patternFill>
              </fill>
            </x14:dxf>
          </x14:cfRule>
          <xm:sqref>R5:R16</xm:sqref>
        </x14:conditionalFormatting>
        <x14:conditionalFormatting xmlns:xm="http://schemas.microsoft.com/office/excel/2006/main">
          <x14:cfRule type="dataBar" id="{968C3029-CF80-4809-83EE-5F5EB8ED0301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W4:W62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30"/>
  <sheetViews>
    <sheetView showGridLines="0" zoomScale="110" zoomScaleNormal="110" workbookViewId="0">
      <selection activeCell="K21" sqref="K21"/>
    </sheetView>
  </sheetViews>
  <sheetFormatPr defaultColWidth="8.81640625" defaultRowHeight="14.5" x14ac:dyDescent="0.35"/>
  <cols>
    <col min="1" max="1" width="5.453125" customWidth="1"/>
    <col min="2" max="2" width="17.453125" customWidth="1"/>
    <col min="3" max="3" width="8.453125" customWidth="1"/>
    <col min="4" max="4" width="4.81640625" customWidth="1"/>
    <col min="7" max="7" width="10.453125" customWidth="1"/>
    <col min="8" max="8" width="11.81640625" customWidth="1"/>
    <col min="9" max="9" width="5" customWidth="1"/>
    <col min="10" max="10" width="5.453125" customWidth="1"/>
    <col min="13" max="13" width="10.26953125" customWidth="1"/>
    <col min="14" max="14" width="10.1796875" customWidth="1"/>
    <col min="15" max="15" width="5" customWidth="1"/>
    <col min="16" max="16" width="11.81640625" customWidth="1"/>
    <col min="17" max="17" width="7.26953125" customWidth="1"/>
    <col min="18" max="18" width="9.1796875" customWidth="1"/>
    <col min="19" max="19" width="6.81640625" customWidth="1"/>
    <col min="20" max="20" width="7.26953125" customWidth="1"/>
    <col min="21" max="37" width="9.453125" customWidth="1"/>
  </cols>
  <sheetData>
    <row r="1" spans="1:79" ht="19" thickBot="1" x14ac:dyDescent="0.4">
      <c r="A1" s="1"/>
      <c r="B1" s="1"/>
      <c r="C1" s="1"/>
      <c r="D1" s="1"/>
      <c r="E1" s="1"/>
      <c r="F1" s="1"/>
      <c r="G1" s="1"/>
      <c r="H1" s="2"/>
      <c r="I1" s="1" t="s">
        <v>222</v>
      </c>
      <c r="J1" s="1"/>
      <c r="AC1" s="379" t="s">
        <v>223</v>
      </c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1"/>
    </row>
    <row r="2" spans="1:79" ht="15" thickBot="1" x14ac:dyDescent="0.4">
      <c r="Y2" s="382" t="s">
        <v>1</v>
      </c>
      <c r="Z2" s="383"/>
      <c r="AA2" s="383"/>
      <c r="AB2" s="384"/>
      <c r="AC2" s="385" t="s">
        <v>2</v>
      </c>
      <c r="AD2" s="386"/>
      <c r="AE2" s="386"/>
      <c r="AF2" s="387"/>
      <c r="AG2" s="385" t="s">
        <v>3</v>
      </c>
      <c r="AH2" s="386"/>
      <c r="AI2" s="386"/>
      <c r="AJ2" s="387"/>
      <c r="AK2" s="385" t="s">
        <v>4</v>
      </c>
      <c r="AL2" s="386"/>
      <c r="AM2" s="386"/>
      <c r="AN2" s="387"/>
    </row>
    <row r="3" spans="1:79" ht="30" customHeight="1" thickBot="1" x14ac:dyDescent="0.4">
      <c r="A3" s="369" t="s">
        <v>5</v>
      </c>
      <c r="B3" s="370"/>
      <c r="C3" s="370"/>
      <c r="D3" s="370"/>
      <c r="E3" s="370"/>
      <c r="F3" s="370"/>
      <c r="G3" s="370"/>
      <c r="H3" s="370"/>
      <c r="I3" s="371">
        <f>Mon!I3+3</f>
        <v>44000</v>
      </c>
      <c r="J3" s="371"/>
      <c r="K3" s="371"/>
      <c r="L3" s="371"/>
      <c r="M3" s="371"/>
      <c r="N3" s="372"/>
      <c r="O3" s="120"/>
      <c r="P3" s="150" t="s">
        <v>6</v>
      </c>
      <c r="Q3" s="28"/>
      <c r="R3" s="28"/>
      <c r="S3" s="28"/>
      <c r="U3" s="168" t="s">
        <v>7</v>
      </c>
      <c r="V3" s="10" t="s">
        <v>8</v>
      </c>
      <c r="W3" s="168" t="s">
        <v>218</v>
      </c>
      <c r="X3" s="168" t="s">
        <v>7</v>
      </c>
      <c r="Y3" s="10" t="s">
        <v>9</v>
      </c>
      <c r="Z3" s="10" t="s">
        <v>10</v>
      </c>
      <c r="AA3" s="10" t="s">
        <v>11</v>
      </c>
      <c r="AB3" s="10" t="s">
        <v>12</v>
      </c>
      <c r="AC3" s="10" t="s">
        <v>13</v>
      </c>
      <c r="AD3" s="10" t="s">
        <v>14</v>
      </c>
      <c r="AE3" s="10" t="s">
        <v>15</v>
      </c>
      <c r="AF3" s="10" t="s">
        <v>16</v>
      </c>
      <c r="AG3" s="10" t="s">
        <v>17</v>
      </c>
      <c r="AH3" s="10" t="s">
        <v>18</v>
      </c>
      <c r="AI3" s="10" t="s">
        <v>19</v>
      </c>
      <c r="AJ3" s="10" t="s">
        <v>20</v>
      </c>
      <c r="AK3" s="10" t="s">
        <v>21</v>
      </c>
      <c r="AL3" s="10" t="s">
        <v>22</v>
      </c>
      <c r="AM3" s="10" t="s">
        <v>23</v>
      </c>
      <c r="AN3" s="10" t="s">
        <v>24</v>
      </c>
      <c r="BX3" s="364" t="s">
        <v>25</v>
      </c>
      <c r="BY3" s="365"/>
      <c r="BZ3" s="365"/>
      <c r="CA3" s="366"/>
    </row>
    <row r="4" spans="1:79" ht="18.75" customHeight="1" thickBot="1" x14ac:dyDescent="0.4">
      <c r="A4" s="101" t="s">
        <v>26</v>
      </c>
      <c r="B4" s="299"/>
      <c r="C4" s="94" t="s">
        <v>27</v>
      </c>
      <c r="D4" s="95" t="s">
        <v>136</v>
      </c>
      <c r="E4" s="352" t="s">
        <v>28</v>
      </c>
      <c r="F4" s="353"/>
      <c r="G4" s="354" t="s">
        <v>29</v>
      </c>
      <c r="H4" s="353"/>
      <c r="I4" s="354" t="s">
        <v>30</v>
      </c>
      <c r="J4" s="353"/>
      <c r="K4" s="354" t="s">
        <v>31</v>
      </c>
      <c r="L4" s="353"/>
      <c r="M4" s="354" t="s">
        <v>32</v>
      </c>
      <c r="N4" s="358"/>
      <c r="O4" s="121" t="s">
        <v>33</v>
      </c>
      <c r="P4" s="38" t="s">
        <v>33</v>
      </c>
      <c r="Q4" s="331"/>
      <c r="R4" s="75"/>
      <c r="S4" s="75"/>
      <c r="U4" s="165" t="str">
        <f>Mon!U4</f>
        <v>(AB)</v>
      </c>
      <c r="V4" s="9">
        <f>SUM(COUNTIF($E$5:$N$55,U4),IF(T4&lt;&gt;0,COUNTIF($E$5:$N$55,T4),0),IF(S4&lt;&gt;0,COUNTIF($E$5:$N$55,S4),0))</f>
        <v>1</v>
      </c>
      <c r="W4" s="36">
        <f>SUM(Mon!V4,Tue!V4,Wed!V4,Thur!V4)</f>
        <v>5</v>
      </c>
      <c r="X4" s="165" t="str">
        <f>Mon!U4</f>
        <v>(AB)</v>
      </c>
      <c r="Y4" s="20">
        <f t="shared" ref="Y4:Y52" si="0">SUM((COUNTIF($E$5:$F$55,$U4)),IF($T4&lt;&gt;0,(COUNTIF($E$5:$F$55,$T4))),IF($S4&lt;&gt;0,(COUNTIF($E$5:$F$55,$S4))))</f>
        <v>0</v>
      </c>
      <c r="Z4" s="21">
        <f t="shared" ref="Z4:Z52" si="1">SUM(COUNTIF($G$5:$J$55,$U4),IF($T4&lt;&gt;0,(COUNTIF($G$5:$J$55,$T4))),IF($S4&lt;&gt;0,(COUNTIF($G$5:$J$55,$S4))))</f>
        <v>0</v>
      </c>
      <c r="AA4" s="21">
        <f t="shared" ref="AA4:AA52" si="2">SUM(COUNTIF($K$5:$L$55,$U4),IF($T4&lt;&gt;0,(COUNTIF($K$5:$L$55,$T4))),IF($S4&lt;&gt;0,(COUNTIF($K$5:$L$55,$S4))))</f>
        <v>0</v>
      </c>
      <c r="AB4" s="22">
        <f t="shared" ref="AB4:AB52" si="3">SUM(COUNTIF($M$5:$N$55,$U4),IF($T4&lt;&gt;0,(COUNTIF($M$5:$N$55,$T4))),IF($S4&lt;&gt;0,(COUNTIF($M$5:$N$55,$S4))))</f>
        <v>1</v>
      </c>
      <c r="AC4" s="25" t="str">
        <f>CONCATENATE(IF($U4=$F$5,$E$5,IF($U4=$F$6,$E$6,IF($U4=$F$7,$E$7,IF($U4=$F$8,$E$8,IF($U4=$F$9,$E$9,IF($U4=$F$10,$E$10,IF($U4=$F$11,$E$11,IF($U4=$F$12,$E$12,IF($U4=$F$13,$E$13,IF($U4=$F$14,$E$14,IF($U4=$F$15,$E$15,IF($U4=$F$16,$E$16,IF($U4=$F$17,$E$17,"")))))))))))))&amp;" "&amp;IF($U4=$F$5,"(A)",IF($U4=$F$6,"(B)",IF($U4=$F$7,"(C)",IF($U4=$F$8,"(D)",IF($U4=$F$9,"(E)",IF($U4=$F$10,"(F)",IF($U4=$F$11,"(G)",IF($U4=$F$12,"(H)",IF($U4=$F$13,"(I)",IF($U4=$F$14,"(J)",IF($U4=$F$15,"(K)",IF($U4=$F$16,"(L)",IF($U4=$F$17,"(L)",""))))))))))))))</f>
        <v xml:space="preserve"> </v>
      </c>
      <c r="AD4" s="26" t="str">
        <f>CONCATENATE(IF($U4=$H$5,$G$5,IF($U4=$H$6,$G$6,IF($U4=$H$7,$G$7,IF($U4=$H$8,$G$8,IF($U4=$H$9,$G$9,IF($U4=$H$10,$G$10,IF($U4=$H$11,$G$11,IF($U4=$H$12,$G$12,IF($U4=$H$13,$G$13,IF($U4=$H$14,$G$14,IF($U4=$H$15,$G$15,IF($U4=$H$16,$G$16,IF($U4=$H$17,$G$17,"")))))))))))))&amp;" "&amp;IF($U4=$H$5,"(A)",IF($U4=$H$6,"(B)",IF($U4=$H$7,"(C)",IF($U4=$H$8,"(D)",IF($U4=$H$9,"(E)",IF($U4=$H$10,"(F)",IF($U4=$H$11,"(G)",IF($U4=$H$12,"(H)",IF($U4=$H$13,"(I)",IF($U4=$H$14,"(J)",IF($U4=$H$15,"(K)",IF($U4=$H$16,"(L)",IF($U4=$H$17,"(L)",""))))))))))))))</f>
        <v xml:space="preserve"> </v>
      </c>
      <c r="AE4" s="26" t="str">
        <f>CONCATENATE(IF($U4=$L$5,$K$5,IF($U4=$L$6,$K$6,IF($U4=$L$7,$K$7,IF($U4=$L$8,$K$8,IF($U4=$L$9,$K$9,IF($U4=$L$10,$K$10,IF($U4=$L$11,$K$11,IF($U4=$L$12,$K$12,IF($U4=$L$13,$K$13,IF($U4=$L$14,$K$14,IF($U4=$L$15,$K$15,IF($U4=$L$16,$K$16,IF($U4=$L$17,$K$17,"")))))))))))))&amp;" "&amp;IF($U4=$L$5,"(A)",IF($U4=$L$6,"(B)",IF($U4=$L$7,"(C)",IF($U4=$L$8,"(D)",IF($U4=$L$9,"(E)",IF($U4=$L$10,"(F)",IF($U4=$L$11,"(G)",IF($U4=$L$12,"(H)",IF($U4=$L$13,"(I)",IF($U4=$L$14,"(J)",IF($U4=$L$15,"(K)",IF($U4=$L$16,"(L)",IF($U4=$L$17,"(L)",""))))))))))))))</f>
        <v xml:space="preserve"> </v>
      </c>
      <c r="AF4" s="27" t="str">
        <f>CONCATENATE(IF($U4=$N$5,$M$5,IF($U4=$N$6,$M$6,IF($U4=$N$7,$M$7,IF($U4=$N$8,$M$8,IF($U4=$N$9,$M$9,IF($U4=$N$10,$M$10,IF($U4=$N$11,$M$11,IF($U4=$N$12,$M$12,IF($U4=$N$13,$M$13,IF($U4=$N$14,$M$14,IF($U4=$N$15,$M$15,IF($U4=$N$16,$M$16,IF($U4=$N$17,$M$17,"")))))))))))))&amp;" "&amp;(IF($U4=$N$5,"(A)",IF($U4=$N$6,"(B)",IF($U4=$N$7,"(C)",IF($U4=$N$8,"(D)",IF($U4=$N$9,"(E)",IF($U4=$N$10,"(F)",IF($U4=$N$11,"(G)",IF($U4=$N$12,"(H)",IF($U4=$N$13,"(I)",IF($U4=$N$14,"(J)",IF($U4=$N$15,"(K)",IF($U4=$N$16,"(L)",IF($U4=$N$17,"(L)","")))))))))))))))</f>
        <v xml:space="preserve"> </v>
      </c>
      <c r="AG4" s="178" t="str">
        <f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f>
        <v xml:space="preserve"> </v>
      </c>
      <c r="AH4" s="177" t="str">
        <f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f>
        <v xml:space="preserve"> </v>
      </c>
      <c r="AI4" s="177" t="str">
        <f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f>
        <v xml:space="preserve"> </v>
      </c>
      <c r="AJ4" s="180" t="str">
        <f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f>
        <v xml:space="preserve"> </v>
      </c>
      <c r="AK4" s="178" t="str">
        <f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f>
        <v xml:space="preserve"> </v>
      </c>
      <c r="AL4" s="177" t="str">
        <f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f>
        <v xml:space="preserve"> </v>
      </c>
      <c r="AM4" s="177" t="str">
        <f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f>
        <v xml:space="preserve"> </v>
      </c>
      <c r="AN4" s="179" t="str">
        <f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f>
        <v>BT (G)</v>
      </c>
      <c r="BV4" t="s">
        <v>35</v>
      </c>
      <c r="BX4" s="4" t="s">
        <v>36</v>
      </c>
      <c r="BY4" s="4" t="s">
        <v>37</v>
      </c>
      <c r="BZ4" s="4" t="s">
        <v>38</v>
      </c>
      <c r="CA4" s="4" t="s">
        <v>39</v>
      </c>
    </row>
    <row r="5" spans="1:79" ht="18.75" customHeight="1" thickBot="1" x14ac:dyDescent="0.4">
      <c r="A5" s="373">
        <v>5</v>
      </c>
      <c r="B5" s="18" t="str">
        <f>Mon!B5</f>
        <v>F+ECOM</v>
      </c>
      <c r="C5" s="90" t="s">
        <v>41</v>
      </c>
      <c r="D5" s="91"/>
      <c r="E5" s="33" t="str">
        <f>IF(F5=$A$100,$B$100,IF(F5=$A$101,$B$101,IF(F5=$A$102,$B$102,IF(F5=$A$103,$B$103,IF(F5=$A$104,$B$104,IF(F5=$A$105,$B$105,IF(F5=$A$106,$B$106,IF(F5=$A$107,$B$107,"Training"))))))))</f>
        <v>IT</v>
      </c>
      <c r="F5" s="92" t="s">
        <v>50</v>
      </c>
      <c r="G5" s="33" t="str">
        <f>IF(H5=$A$100,$B$100,IF(H5=$A$101,$B$101,IF(H5=$A$102,$B$102,IF(H5=$A$103,$B$103,IF(H5=$A$104,$B$104,IF(H5=$A$105,$B$105,IF(H5=$A$106,$B$106,IF(H5=$A$107,$B$107,"Training"))))))))</f>
        <v>AA</v>
      </c>
      <c r="H5" s="92" t="s">
        <v>45</v>
      </c>
      <c r="I5" s="375" t="s">
        <v>143</v>
      </c>
      <c r="J5" s="375"/>
      <c r="K5" s="33" t="str">
        <f>IF(L5=$A$100,$B$100,IF(L5=$A$101,$B$101,IF(L5=$A$102,$B$102,IF(L5=$A$103,$B$103,IF(L5=$A$104,$B$104,IF(L5=$A$105,$B$105,IF(L5=$A$106,$B$106,IF(L5=$A$107,$B$107,"Training"))))))))</f>
        <v>ECOM</v>
      </c>
      <c r="L5" s="92" t="s">
        <v>56</v>
      </c>
      <c r="M5" s="33" t="str">
        <f>IF(N5=$A$100,$B$100,IF(N5=$A$101,$B$101,IF(N5=$A$102,$B$102,IF(N5=$A$103,$B$103,IF(N5=$A$104,$B$104,IF(N5=$A$105,$B$105,IF(N5=$A$106,$B$106,IF(N5=$A$107,$B$107,"Training"))))))))</f>
        <v>FMS</v>
      </c>
      <c r="N5" s="93" t="s">
        <v>43</v>
      </c>
      <c r="O5" s="71" t="str">
        <f t="shared" ref="O5:O9" si="4">IF(P5="",".",P5)</f>
        <v>.</v>
      </c>
      <c r="P5" s="12"/>
      <c r="Q5" s="331"/>
      <c r="R5" s="331"/>
      <c r="S5" s="331"/>
      <c r="U5" s="165" t="str">
        <f>Mon!U5</f>
        <v>(AD)</v>
      </c>
      <c r="V5" s="9">
        <f t="shared" ref="V5:V58" si="5">SUM(COUNTIF($E$5:$N$55,U5),IF(T5&lt;&gt;0,COUNTIF($E$5:$N$55,T5),0),IF(S5&lt;&gt;0,COUNTIF($E$5:$N$55,S5),0))</f>
        <v>3</v>
      </c>
      <c r="W5" s="36">
        <f>SUM(Mon!V5,Tue!V5,Wed!V5,Thur!V5)</f>
        <v>12</v>
      </c>
      <c r="X5" s="165" t="str">
        <f>Mon!U5</f>
        <v>(AD)</v>
      </c>
      <c r="Y5" s="20">
        <f t="shared" si="0"/>
        <v>1</v>
      </c>
      <c r="Z5" s="21">
        <f t="shared" si="1"/>
        <v>0</v>
      </c>
      <c r="AA5" s="21">
        <f t="shared" si="2"/>
        <v>1</v>
      </c>
      <c r="AB5" s="22">
        <f t="shared" si="3"/>
        <v>1</v>
      </c>
      <c r="AC5" s="25" t="str">
        <f t="shared" ref="AC5:AC8" si="6">CONCATENATE(IF($U5=$F$5,$E$5,IF($U5=$F$6,$E$6,IF($U5=$F$7,$E$7,IF($U5=$F$8,$E$8,IF($U5=$F$9,$E$9,IF($U5=$F$10,$E$10,IF($U5=$F$11,$E$11,IF($U5=$F$12,$E$12,IF($U5=$F$13,$E$13,IF($U5=$F$14,$E$14,IF($U5=$F$15,$E$15,IF($U5=$F$16,$E$16,IF($U5=$F$17,$E$17,"")))))))))))))&amp;" "&amp;IF($U5=$F$5,"(A)",IF($U5=$F$6,"(B)",IF($U5=$F$7,"(C)",IF($U5=$F$8,"(D)",IF($U5=$F$9,"(E)",IF($U5=$F$10,"(F)",IF($U5=$F$11,"(G)",IF($U5=$F$12,"(H)",IF($U5=$F$13,"(I)",IF($U5=$F$14,"(J)",IF($U5=$F$15,"(K)",IF($U5=$F$16,"(L)",IF($U5=$F$17,"(L)",""))))))))))))))</f>
        <v>IT (L)</v>
      </c>
      <c r="AD5" s="26" t="str">
        <f t="shared" ref="AD5:AD8" si="7">CONCATENATE(IF($U5=$H$5,$G$5,IF($U5=$H$6,$G$6,IF($U5=$H$7,$G$7,IF($U5=$H$8,$G$8,IF($U5=$H$9,$G$9,IF($U5=$H$10,$G$10,IF($U5=$H$11,$G$11,IF($U5=$H$12,$G$12,IF($U5=$H$13,$G$13,IF($U5=$H$14,$G$14,IF($U5=$H$15,$G$15,IF($U5=$H$16,$G$16,IF($U5=$H$17,$G$17,"")))))))))))))&amp;" "&amp;IF($U5=$H$5,"(A)",IF($U5=$H$6,"(B)",IF($U5=$H$7,"(C)",IF($U5=$H$8,"(D)",IF($U5=$H$9,"(E)",IF($U5=$H$10,"(F)",IF($U5=$H$11,"(G)",IF($U5=$H$12,"(H)",IF($U5=$H$13,"(I)",IF($U5=$H$14,"(J)",IF($U5=$H$15,"(K)",IF($U5=$H$16,"(L)",IF($U5=$H$17,"(L)",""))))))))))))))</f>
        <v xml:space="preserve"> </v>
      </c>
      <c r="AE5" s="26" t="str">
        <f t="shared" ref="AE5:AE8" si="8">CONCATENATE(IF($U5=$L$5,$K$5,IF($U5=$L$6,$K$6,IF($U5=$L$7,$K$7,IF($U5=$L$8,$K$8,IF($U5=$L$9,$K$9,IF($U5=$L$10,$K$10,IF($U5=$L$11,$K$11,IF($U5=$L$12,$K$12,IF($U5=$L$13,$K$13,IF($U5=$L$14,$K$14,IF($U5=$L$15,$K$15,IF($U5=$L$16,$K$16,IF($U5=$L$17,$K$17,"")))))))))))))&amp;" "&amp;IF($U5=$L$5,"(A)",IF($U5=$L$6,"(B)",IF($U5=$L$7,"(C)",IF($U5=$L$8,"(D)",IF($U5=$L$9,"(E)",IF($U5=$L$10,"(F)",IF($U5=$L$11,"(G)",IF($U5=$L$12,"(H)",IF($U5=$L$13,"(I)",IF($U5=$L$14,"(J)",IF($U5=$L$15,"(K)",IF($U5=$L$16,"(L)",IF($U5=$L$17,"(L)",""))))))))))))))</f>
        <v>IT (K)</v>
      </c>
      <c r="AF5" s="27" t="str">
        <f t="shared" ref="AF5:AF8" si="9">CONCATENATE(IF($U5=$N$5,$M$5,IF($U5=$N$6,$M$6,IF($U5=$N$7,$M$7,IF($U5=$N$8,$M$8,IF($U5=$N$9,$M$9,IF($U5=$N$10,$M$10,IF($U5=$N$11,$M$11,IF($U5=$N$12,$M$12,IF($U5=$N$13,$M$13,IF($U5=$N$14,$M$14,IF($U5=$N$15,$M$15,IF($U5=$N$16,$M$16,IF($U5=$N$17,$M$17,"")))))))))))))&amp;" "&amp;(IF($U5=$N$5,"(A)",IF($U5=$N$6,"(B)",IF($U5=$N$7,"(C)",IF($U5=$N$8,"(D)",IF($U5=$N$9,"(E)",IF($U5=$N$10,"(F)",IF($U5=$N$11,"(G)",IF($U5=$N$12,"(H)",IF($U5=$N$13,"(I)",IF($U5=$N$14,"(J)",IF($U5=$N$15,"(K)",IF($U5=$N$16,"(L)",IF($U5=$N$17,"(L)","")))))))))))))))</f>
        <v>IT (J)</v>
      </c>
      <c r="AG5" s="178" t="str">
        <f t="shared" ref="AG5:AG59" si="10">CONCATENATE(IF($U5=$F$21,$E$21,IF($U5=$F$22,$E$22,IF($U5=$F$23,$E$23,IF($U5=$F$24,$E$24,IF($U5=$F$25,$E$25,IF($U5=$F$26,$E$26,IF($U5=$F$27,$E$27,IF($U5=$F$28,$E$28,IF($U5=$F$29,$E$29,IF($U5=$F$30,$E$30,IF($U5=$F$31,$E$31,IF($U5=$F$32,$E$32,IF($U5=$F$33,$E$33,IF($U5=$F$34,$E$34,"")))))))))))))&amp;" "&amp;(IF($U5=$F$21,"(A)",IF($U5=$F$22,"(B)",IF($U5=$F$23,"(C)",IF($U5=$F$24,"(D)",IF($U5=$F$25,"(E)",IF($U5=$F$26,"(F)",IF($U5=$F$27,"(G)",IF($U5=$F$28,"(H)",IF($U5=$F$29,"(I)",IF($U5=$F$30,"(J)",IF($U5=$D$63,"(K)",IF($U5=$F$32,"(L)",IF($U5=$F$33,"(M)",IF($U5=$F$34,"(N)","")))))))))))))))))</f>
        <v xml:space="preserve"> </v>
      </c>
      <c r="AH5" s="177" t="str">
        <f t="shared" ref="AH5:AH59" si="11">CONCATENATE(IF($U5=$H$21,$G$21,IF($U5=$H$22,$G$22,IF($U5=$H$23,$G$23,IF($U5=$H$24,$G$24,IF($U5=$H$25,$G$25,IF($U5=$H$26,$G$26,IF($U5=$H$27,$G$27,IF($U5=$H$28,$G$28,IF($U5=$H$29,$G$29,IF($U5=$H$30,$G$30,IF($U5=$H$31,$G$31,IF($U5=$H$32,$G$32,IF($U5=$H$33,$G$33,IF($U5=$H$34,$G$34,""))))))))))))))&amp;" "&amp;(IF($U5=$H$21,"(A)",IF($U5=$H$22,"(B)",IF($U5=$H$23,"(C)",IF($U5=$H$24,"(D)",IF($U5=$H$25,"(E)",IF($U5=$H$26,"(F)",IF($U5=$H$27,"(G)",IF($U5=$H$28,"(H)",IF($U5=$H$29,"(I)",IF($U5=$H$30,"(J)",IF($U5=$H$31,"(K)",IF($U5=$H$32,"(L)",IF($U5=$H$33,"(M)",IF($U5=$H$34,"(N)",""))))))))))))))))</f>
        <v xml:space="preserve"> </v>
      </c>
      <c r="AI5" s="177" t="str">
        <f t="shared" ref="AI5:AI59" si="12">CONCATENATE(IF($U5=$L$21,$K$21,IF($U5=$L$22,$K$22,IF($U5=$L$23,$K$23,IF($U5=$L$24,$K$24,IF($U5=$L$25,$K$25,IF($U5=$L$26,$K$26,IF($U5=$L$27,$K$27,IF($U5=$L$28,$K$28,IF($U5=$L$29,$K$29,IF($U5=$L$30,$K$30,IF($U5=$L$31,$K$31,IF($U5=$L$32,$K$32,IF($U5=$L$33,$K$33,IF($U5=$L$34,$K$34,""))))))))))))))&amp;" "&amp;IF($U5=$L$21,"(A)",IF($U5=$L$22,"(B)",IF($U5=$L$23,"(C)",IF($U5=$L$24,"(D)",IF($U5=$L$25,"(E)",IF($U5=$L$26,"(F)",IF($U5=$L$27,"(G)",IF($U5=$L$28,"(H)",IF($U5=$L$29,"(I)",IF($U5=$L$30,"(J)",IF($U5=$L$31,"(K)",IF($U5=$L$32,"(L)",IF($U5=$L$33,"(M)",IF($U5=$L$34,"(N)","")))))))))))))))</f>
        <v xml:space="preserve"> </v>
      </c>
      <c r="AJ5" s="180" t="str">
        <f t="shared" ref="AJ5:AJ59" si="13">CONCATENATE(IF($U5=$N$21,$M$21,IF($U5=$N$22,$M$22,IF($U5=$N$23,$M$23,IF($U5=$N$24,$M$24,IF($U5=$N$25,$M$25,IF($U5=$N$26,$M$26,IF($U5=$N$27,$M$27,IF($U5=$N$28,$M$28,IF($U5=$N$29,$M$29,IF($U5=$N$30,$M$30,IF($U5=$N$31,$M$31,IF($U5=$N$32,$M$32,IF($U5=$N$33,$M$33,IF($U5=$N$34,$M$34,""))))))))))))))&amp;" "&amp;(IF($U5=$N$21,"(A)",IF($U5=$N$22,"(B)",IF($U5=$N$23,"(C)",IF($U5=$N$24,"(D)",IF($U5=$N$25,"(E)",IF($U5=$N$26,"(F)",IF($U5=$N$27,"(G)",IF($U5=$N$28,"(H)",IF($U5=$N$29,"(I)",IF($U5=$N$30,"(J)",IF($U5=$N$31,"(K)",IF($U5=$N$32,"(L)",IF($U5=$N$33,"(M)",IF($U5=$N$34,"(N)",""))))))))))))))))</f>
        <v xml:space="preserve"> </v>
      </c>
      <c r="AK5" s="178" t="str">
        <f t="shared" ref="AK5:AK59" si="14">CONCATENATE(IF($U5=$F$37,$E$37,IF($U5=$F$38,$E$38,IF($U5=$F$39,$E$39,IF($U5=$F$40,$E$40,IF($U5=$F$41,$E$41,IF($U5=$F$42,$E$42,IF($U5=$F$43,$E$43,IF($U5=$F$44,$E$44,IF($U5=$F$45,$E$45,IF($U5=$F$46,$E$46,IF($U5=$F$47,$E$47,IF($U5=$F$48,$E$48,IF($U5=$F$49,$E$49,IF($U5=$F$50,$E$50,IF($U5=$F$51,$E$51,""))))))))))))))&amp;" "&amp;IF($U5=$F$38,"(A)",IF($U5=$F$39,"(B)",IF($U5=$F$40,"(C)",IF($U5=$F$41,"(D)",IF($U5=$F$42,"(E)",IF($U5=$F$43,"(F)",IF($U5=$F$44,"(G)",IF($U5=$F$45,"(H)",IF($U5=$F$46,"(I)",IF($U5=$F$47,"(J)",IF($U5=$F$48,"(K)",IF($U5=$F$49,"(L)",IF($U5=$F$50,"(M)",IF($U5=$F$51,"(N)",""))))))))))))))))</f>
        <v xml:space="preserve"> </v>
      </c>
      <c r="AL5" s="177" t="str">
        <f t="shared" ref="AL5:AL59" si="15">CONCATENATE(IF($U5=$H$37,$G$37,IF($U5=$H$38,$G$38,IF($U5=$H$39,$G$39,IF($U5=$H$40,$G$40,IF($U5=$H$41,$G$41,IF($U5=$H$42,$G$42,IF($U5=$H$43,$G$43,IF($U5=$H$44,$G$44,IF($U5=$H$45,$G$45,IF($U5=$H$46,$G$46,IF($U5=$H$47,$G$47,IF($U5=$H$48,$G$48,IF($U5=$H$49,$G$49,IF($U5=$H$50,$G$50,IF($U5=$H$51,$G$51,"")))))))))))))))&amp;" "&amp;IF($U5=$H$38,"(A)",IF($U5=$H$39,"(B)",IF($U5=$H$40,"(C)",IF($U5=$H$41,"(D)",IF($U5=$H$42,"(E)",IF($U5=$H$43,"(F)",IF($U5=$H$44,"(G)",IF($U5=$H$45,"(H)",IF($U5=$H$46,"(I)",IF($U5=$H$47,"(J)",IF($U5=$H$48,"(K)",IF($U5=$H$49,"(L)",IF($U5=$H$50,"(M)",IF($U5=$H$51,"(N)","")))))))))))))))</f>
        <v xml:space="preserve"> </v>
      </c>
      <c r="AM5" s="177" t="str">
        <f t="shared" ref="AM5:AM59" si="16">CONCATENATE(IF($U5=$L$37,$K$37,IF($U5=$L$38,$K$38,IF($U5=$L$39,$K$39,IF($U5=$L$40,$K$40,IF($U5=$L$41,$K$41,IF($U5=$L$42,$K$42,IF($U5=$L$43,$K$43,IF($U5=$L$44,$K$44,IF($U5=$L$45,$K$45,IF($U5=$L$46,$K$46,IF($U5=$L$47,$K$47,IF($U5=$L$48,$K$48,IF($U5=$L$49,$K$49,IF($U5=$L$50,$K$50,IF($U5=$L$51,$K$51,"")))))))))))))))&amp;" "&amp;IF($U5=$L$38,"(A)",IF($U5=$L$39,"(B)",IF($U5=$L$40,"(C)",IF($U5=$L$41,"(D)",IF($U5=$L$42,"(E)",IF($U5=$L$43,"(F)",IF($U5=$L$44,"(G)",IF($U5=$L$45,"(H)",IF($U5=$L$46,"(I)",IF($U5=$L$47,"(J)",IF($U5=$L$48,"(K)",IF($U5=$L$49,"(L)",IF($U5=$L$50,"(M)",IF($U5=$L$51,"(N)","")))))))))))))))</f>
        <v xml:space="preserve"> </v>
      </c>
      <c r="AN5" s="179" t="str">
        <f t="shared" ref="AN5:AN59" si="17">CONCATENATE(IF($U5=$N$37,$M$37,IF($U5=$N$38,$M$38,IF($U5=$N$39,$M$39,IF($U5=$N$40,$M$40,IF($U5=$N$41,$M$41,IF($U5=$N$42,$M$42,IF($U5=$N$43,$M$43,IF($U5=$N$44,$M$44,IF($U5=$N$45,$M$45,IF($U5=$N$46,$M$46,IF($U5=$N$47,$M$47,IF($U5=$N$48,$M$48,IF($U5=$N$49,$M$49,IF($U5=$N$50,$M$50,IF($U5=$N$51,$M$51,"")))))))))))))))&amp;" "&amp;IF($U5=$N$38,"(A)",IF($U5=$N$39,"(B)",IF($U5=$N$40,"(C)",IF($U5=$N$41,"(D)",IF($U5=$N$42,"(E)",IF($U5=$N$43,"(F)",IF($U5=$N$44,"(G)",IF($U5=$N$45,"(H)",IF($U5=$N$46,"(I)",IF($U5=$N$47,"(J)",IF($U5=$N$48,"(K)",IF($U5=$N$49,"(L)",IF($U5=$N$50,"(M)",IF($U5=$N$51,"(N)","")))))))))))))))</f>
        <v xml:space="preserve"> </v>
      </c>
      <c r="BV5" t="s">
        <v>48</v>
      </c>
    </row>
    <row r="6" spans="1:79" ht="18.75" customHeight="1" thickBot="1" x14ac:dyDescent="0.4">
      <c r="A6" s="374"/>
      <c r="B6" s="162" t="str">
        <f>Mon!B6</f>
        <v>F+ECOM</v>
      </c>
      <c r="C6" s="3" t="s">
        <v>49</v>
      </c>
      <c r="D6" s="76"/>
      <c r="E6" s="6" t="str">
        <f>IF(F6=$C$100,$D$100,IF(F6=$C$101,$D$101,IF(F6=$C$102,$D$102,IF(F6=$C$103,$D$103,IF(F6=$C$104,$D$104,IF(F6=$C$105,$D$105,IF(F6=$C$106,$D$106,IF(F6=$C$107,$D$107,"Training"))))))))</f>
        <v>AA</v>
      </c>
      <c r="F6" s="7" t="s">
        <v>58</v>
      </c>
      <c r="G6" s="6" t="str">
        <f>IF(H6=$C$100,$D$100,IF(H6=$C$101,$D$101,IF(H6=$C$102,$D$102,IF(H6=$C$103,$D$103,IF(H6=$C$104,$D$104,IF(H6=$C$105,$D$105,IF(H6=$C$106,$D$106,IF(H6=$C$107,$D$107,"Training"))))))))</f>
        <v>ECOM</v>
      </c>
      <c r="H6" s="7" t="s">
        <v>51</v>
      </c>
      <c r="I6" s="375"/>
      <c r="J6" s="375"/>
      <c r="K6" s="6" t="str">
        <f>IF(L6=$C$100,$D$100,IF(L6=$C$101,$D$101,IF(L6=$C$102,$D$102,IF(L6=$C$103,$D$103,IF(L6=$C$104,$D$104,IF(L6=$C$105,$D$105,IF(L6=$C$106,$D$106,IF(L6=$C$107,$D$107,"Training"))))))))</f>
        <v>IB</v>
      </c>
      <c r="L6" s="7" t="s">
        <v>70</v>
      </c>
      <c r="M6" s="6" t="str">
        <f>IF(N6=$C$100,$D$100,IF(N6=$C$101,$D$101,IF(N6=$C$102,$D$102,IF(N6=$C$103,$D$103,IF(N6=$C$104,$D$104,IF(N6=$C$105,$D$105,IF(N6=$C$106,$D$106,IF(N6=$C$107,$D$107,"Training"))))))))</f>
        <v>MA</v>
      </c>
      <c r="N6" s="107" t="s">
        <v>106</v>
      </c>
      <c r="O6" s="71" t="str">
        <f t="shared" si="4"/>
        <v>.</v>
      </c>
      <c r="P6" s="13"/>
      <c r="Q6" s="331"/>
      <c r="R6" s="331"/>
      <c r="S6" s="331"/>
      <c r="U6" s="165" t="str">
        <f>Mon!U6</f>
        <v>(AG)</v>
      </c>
      <c r="V6" s="9">
        <f t="shared" si="5"/>
        <v>3</v>
      </c>
      <c r="W6" s="36">
        <f>SUM(Mon!V6,Tue!V6,Wed!V6,Thur!V6)</f>
        <v>13</v>
      </c>
      <c r="X6" s="165" t="str">
        <f>Mon!U6</f>
        <v>(AG)</v>
      </c>
      <c r="Y6" s="20">
        <f t="shared" si="0"/>
        <v>1</v>
      </c>
      <c r="Z6" s="21">
        <f t="shared" si="1"/>
        <v>1</v>
      </c>
      <c r="AA6" s="21">
        <f t="shared" si="2"/>
        <v>0</v>
      </c>
      <c r="AB6" s="22">
        <f t="shared" si="3"/>
        <v>1</v>
      </c>
      <c r="AC6" s="25" t="str">
        <f t="shared" si="6"/>
        <v xml:space="preserve"> </v>
      </c>
      <c r="AD6" s="26" t="str">
        <f t="shared" si="7"/>
        <v xml:space="preserve"> </v>
      </c>
      <c r="AE6" s="26" t="str">
        <f t="shared" si="8"/>
        <v xml:space="preserve"> </v>
      </c>
      <c r="AF6" s="27" t="str">
        <f t="shared" si="9"/>
        <v xml:space="preserve"> </v>
      </c>
      <c r="AG6" s="178" t="str">
        <f t="shared" si="10"/>
        <v>EVS (M)</v>
      </c>
      <c r="AH6" s="177" t="str">
        <f t="shared" si="11"/>
        <v>EVS (J)</v>
      </c>
      <c r="AI6" s="177" t="str">
        <f t="shared" si="12"/>
        <v xml:space="preserve"> </v>
      </c>
      <c r="AJ6" s="180" t="str">
        <f t="shared" si="13"/>
        <v>EVS (C)</v>
      </c>
      <c r="AK6" s="178" t="str">
        <f t="shared" si="14"/>
        <v xml:space="preserve"> </v>
      </c>
      <c r="AL6" s="177" t="str">
        <f t="shared" si="15"/>
        <v xml:space="preserve"> </v>
      </c>
      <c r="AM6" s="177" t="str">
        <f t="shared" si="16"/>
        <v xml:space="preserve"> </v>
      </c>
      <c r="AN6" s="179" t="str">
        <f t="shared" si="17"/>
        <v xml:space="preserve"> </v>
      </c>
    </row>
    <row r="7" spans="1:79" ht="18.75" customHeight="1" thickBot="1" x14ac:dyDescent="0.4">
      <c r="A7" s="374"/>
      <c r="B7" s="162" t="str">
        <f>Mon!B7</f>
        <v>F+ECOM</v>
      </c>
      <c r="C7" s="3" t="s">
        <v>55</v>
      </c>
      <c r="D7" s="76"/>
      <c r="E7" s="6" t="str">
        <f>IF(F7=$E$100,$F$100,IF(F7=$E$101,$F$101,IF(F7=$E$102,$F$102,IF(F7=$E$103,$F$103,IF(F7=$E$104,$F$104,IF(F7=$E$105,$F$105,IF(F7=$E$106,$F$106,IF(F7=$E$107,$F$107,"Training"))))))))</f>
        <v>IB</v>
      </c>
      <c r="F7" s="7" t="s">
        <v>43</v>
      </c>
      <c r="G7" s="6" t="str">
        <f>IF(H7=$E$100,$F$100,IF(H7=$E$101,$F$101,IF(H7=$E$102,$F$102,IF(H7=$E$103,$F$103,IF(H7=$E$104,$F$104,IF(H7=$E$105,$F$105,IF(H7=$E$106,$F$106,IF(H7=$E$107,$F$107,"Training"))))))))</f>
        <v>AA</v>
      </c>
      <c r="H7" s="7" t="s">
        <v>53</v>
      </c>
      <c r="I7" s="375"/>
      <c r="J7" s="375"/>
      <c r="K7" s="6" t="str">
        <f>IF(L7=$E$100,$F$100,IF(L7=$E$101,$F$101,IF(L7=$E$102,$F$102,IF(L7=$E$103,$F$103,IF(L7=$E$104,$F$104,IF(L7=$E$105,$F$105,IF(L7=$E$106,$F$106,IF(L7=$E$107,$F$107,"Training"))))))))</f>
        <v>FMS</v>
      </c>
      <c r="L7" s="7" t="s">
        <v>66</v>
      </c>
      <c r="M7" s="6" t="str">
        <f>IF(N7=$E$100,$F$100,IF(N7=$E$101,$F$101,IF(N7=$E$102,$F$102,IF(N7=$E$103,$F$103,IF(N7=$E$104,$F$104,IF(N7=$E$105,$F$105,IF(N7=$E$106,$F$106,IF(N7=$E$107,$F$107,"Training"))))))))</f>
        <v>IF</v>
      </c>
      <c r="N7" s="11" t="s">
        <v>58</v>
      </c>
      <c r="O7" s="71" t="str">
        <f t="shared" si="4"/>
        <v>.</v>
      </c>
      <c r="P7" s="13"/>
      <c r="Q7" s="331"/>
      <c r="R7" s="331"/>
      <c r="S7" s="331"/>
      <c r="U7" s="165" t="str">
        <f>Mon!U7</f>
        <v>(ANU)</v>
      </c>
      <c r="V7" s="9">
        <f t="shared" si="5"/>
        <v>0</v>
      </c>
      <c r="W7" s="36">
        <f>SUM(Mon!V7,Tue!V7,Wed!V7,Thur!V7)</f>
        <v>0</v>
      </c>
      <c r="X7" s="165" t="str">
        <f>Mon!U7</f>
        <v>(ANU)</v>
      </c>
      <c r="Y7" s="20">
        <f t="shared" si="0"/>
        <v>0</v>
      </c>
      <c r="Z7" s="21">
        <f t="shared" si="1"/>
        <v>0</v>
      </c>
      <c r="AA7" s="21">
        <f t="shared" si="2"/>
        <v>0</v>
      </c>
      <c r="AB7" s="22">
        <f t="shared" si="3"/>
        <v>0</v>
      </c>
      <c r="AC7" s="25" t="str">
        <f t="shared" si="6"/>
        <v xml:space="preserve"> </v>
      </c>
      <c r="AD7" s="26" t="str">
        <f t="shared" si="7"/>
        <v xml:space="preserve"> </v>
      </c>
      <c r="AE7" s="26" t="str">
        <f t="shared" si="8"/>
        <v xml:space="preserve"> </v>
      </c>
      <c r="AF7" s="27" t="str">
        <f t="shared" si="9"/>
        <v xml:space="preserve"> </v>
      </c>
      <c r="AG7" s="178" t="str">
        <f t="shared" si="10"/>
        <v xml:space="preserve"> </v>
      </c>
      <c r="AH7" s="177" t="str">
        <f t="shared" si="11"/>
        <v xml:space="preserve"> </v>
      </c>
      <c r="AI7" s="177" t="str">
        <f t="shared" si="12"/>
        <v xml:space="preserve"> </v>
      </c>
      <c r="AJ7" s="180" t="str">
        <f t="shared" si="13"/>
        <v xml:space="preserve"> </v>
      </c>
      <c r="AK7" s="178" t="str">
        <f t="shared" si="14"/>
        <v xml:space="preserve"> </v>
      </c>
      <c r="AL7" s="177" t="str">
        <f t="shared" si="15"/>
        <v xml:space="preserve"> </v>
      </c>
      <c r="AM7" s="177" t="str">
        <f t="shared" si="16"/>
        <v xml:space="preserve"> </v>
      </c>
      <c r="AN7" s="179" t="str">
        <f t="shared" si="17"/>
        <v xml:space="preserve"> </v>
      </c>
    </row>
    <row r="8" spans="1:79" ht="18.75" customHeight="1" thickBot="1" x14ac:dyDescent="0.4">
      <c r="A8" s="374"/>
      <c r="B8" s="162" t="str">
        <f>Mon!B8</f>
        <v>F+ECOM</v>
      </c>
      <c r="C8" s="3" t="s">
        <v>37</v>
      </c>
      <c r="D8" s="76"/>
      <c r="E8" s="6" t="str">
        <f>IF(F8=$G$100,$H$100,IF(F8=$G$101,$H$101,IF(F8=$G$102,$H$102,IF(F8=$G$103,$H$103,IF(F8=$G$104,$H$104,IF(F8=$G$105,$H$105,IF(F8=$G$106,$H$106,IF(F8=$G$107,$H$107,"Training"))))))))</f>
        <v>IB</v>
      </c>
      <c r="F8" s="7" t="s">
        <v>103</v>
      </c>
      <c r="G8" s="6" t="str">
        <f>IF(H8=$G$100,$H$100,IF(H8=$G$101,$H$101,IF(H8=$G$102,$H$102,IF(H8=$G$103,$H$103,IF(H8=$G$104,$H$104,IF(H8=$G$105,$H$105,IF(H8=$G$106,$H$106,IF(H8=$G$107,$H$107,"Training"))))))))</f>
        <v>IF</v>
      </c>
      <c r="H8" s="7" t="s">
        <v>58</v>
      </c>
      <c r="I8" s="375"/>
      <c r="J8" s="375"/>
      <c r="K8" s="6" t="str">
        <f>IF(L8=$G$100,$H$100,IF(L8=$G$101,$H$101,IF(L8=$G$102,$H$102,IF(L8=$G$103,$H$103,IF(L8=$G$104,$H$104,IF(L8=$G$105,$H$105,IF(L8=$G$106,$H$106,IF(L8=$G$107,$H$107,"Training"))))))))</f>
        <v>MA</v>
      </c>
      <c r="L8" s="7" t="s">
        <v>60</v>
      </c>
      <c r="M8" s="6" t="str">
        <f>IF(N8=$G$100,$H$100,IF(N8=$G$101,$H$101,IF(N8=$G$102,$H$102,IF(N8=$G$103,$H$103,IF(N8=$G$104,$H$104,IF(N8=$G$105,$H$105,IF(N8=$G$106,$H$106,IF(N8=$G$107,$H$107,"Training"))))))))</f>
        <v>ECOM</v>
      </c>
      <c r="N8" s="11" t="s">
        <v>51</v>
      </c>
      <c r="O8" s="71" t="str">
        <f t="shared" si="4"/>
        <v>.</v>
      </c>
      <c r="P8" s="13"/>
      <c r="Q8" s="331"/>
      <c r="R8" s="331"/>
      <c r="S8" s="331"/>
      <c r="U8" s="165" t="str">
        <f>Mon!U8</f>
        <v>(AS)</v>
      </c>
      <c r="V8" s="9">
        <f t="shared" si="5"/>
        <v>3</v>
      </c>
      <c r="W8" s="36">
        <f>SUM(Mon!V8,Tue!V8,Wed!V8,Thur!V8)</f>
        <v>12</v>
      </c>
      <c r="X8" s="165" t="str">
        <f>Mon!U8</f>
        <v>(AS)</v>
      </c>
      <c r="Y8" s="20">
        <f t="shared" si="0"/>
        <v>1</v>
      </c>
      <c r="Z8" s="21">
        <f t="shared" si="1"/>
        <v>1</v>
      </c>
      <c r="AA8" s="21">
        <f t="shared" si="2"/>
        <v>0</v>
      </c>
      <c r="AB8" s="22">
        <f t="shared" si="3"/>
        <v>1</v>
      </c>
      <c r="AC8" s="25" t="str">
        <f t="shared" si="6"/>
        <v xml:space="preserve"> </v>
      </c>
      <c r="AD8" s="26" t="str">
        <f t="shared" si="7"/>
        <v xml:space="preserve"> </v>
      </c>
      <c r="AE8" s="26" t="str">
        <f t="shared" si="8"/>
        <v xml:space="preserve"> </v>
      </c>
      <c r="AF8" s="27" t="str">
        <f t="shared" si="9"/>
        <v xml:space="preserve"> </v>
      </c>
      <c r="AG8" s="178" t="str">
        <f t="shared" si="10"/>
        <v>HR (C)</v>
      </c>
      <c r="AH8" s="177" t="str">
        <f t="shared" si="11"/>
        <v>HR (L)</v>
      </c>
      <c r="AI8" s="177" t="str">
        <f t="shared" si="12"/>
        <v xml:space="preserve"> </v>
      </c>
      <c r="AJ8" s="180" t="str">
        <f t="shared" si="13"/>
        <v>HR (G)</v>
      </c>
      <c r="AK8" s="178" t="str">
        <f t="shared" si="14"/>
        <v xml:space="preserve"> </v>
      </c>
      <c r="AL8" s="177" t="str">
        <f t="shared" si="15"/>
        <v xml:space="preserve"> </v>
      </c>
      <c r="AM8" s="177" t="str">
        <f t="shared" si="16"/>
        <v xml:space="preserve"> </v>
      </c>
      <c r="AN8" s="179" t="str">
        <f t="shared" si="17"/>
        <v xml:space="preserve"> </v>
      </c>
    </row>
    <row r="9" spans="1:79" ht="18.75" customHeight="1" thickBot="1" x14ac:dyDescent="0.4">
      <c r="A9" s="374"/>
      <c r="B9" s="162" t="str">
        <f>Mon!B9</f>
        <v>F+ECOM</v>
      </c>
      <c r="C9" s="3" t="s">
        <v>38</v>
      </c>
      <c r="D9" s="76"/>
      <c r="E9" s="6" t="str">
        <f>IF(F9=$I$100,$J$100,IF(F9=$I$101,$J$101,IF(F9=$I$102,$J$102,IF(F9=$I$103,$J$103,IF(F9=$I$104,$J$104,IF(F9=$I$105,$J$105,IF(F9=$I$106,$J$106,IF(F9=$I$107,$J$107,"Training"))))))))</f>
        <v>ECOM</v>
      </c>
      <c r="F9" s="7" t="s">
        <v>62</v>
      </c>
      <c r="G9" s="6" t="str">
        <f>IF(H9=$I$100,$J$100,IF(H9=$I$101,$J$101,IF(H9=$I$102,$J$102,IF(H9=$I$103,$J$103,IF(H9=$I$104,$J$104,IF(H9=$I$105,$J$105,IF(H9=$I$106,$J$106,IF(H9=$I$107,$J$107,"Training"))))))))</f>
        <v>IF</v>
      </c>
      <c r="H9" s="7" t="s">
        <v>50</v>
      </c>
      <c r="I9" s="375"/>
      <c r="J9" s="375"/>
      <c r="K9" s="6" t="str">
        <f>IF(L9=$I$100,$J$100,IF(L9=$I$101,$J$101,IF(L9=$I$102,$J$102,IF(L9=$I$103,$J$103,IF(L9=$I$104,$J$104,IF(L9=$I$105,$J$105,IF(L9=$I$106,$J$106,IF(L9=$I$107,$J$107,"Training"))))))))</f>
        <v>FMS</v>
      </c>
      <c r="L9" s="7" t="s">
        <v>43</v>
      </c>
      <c r="M9" s="6" t="str">
        <f>IF(N9=$I$100,$J$100,IF(N9=$I$101,$J$101,IF(N9=$I$102,$J$102,IF(N9=$I$103,$J$103,IF(N9=$I$104,$J$104,IF(N9=$I$105,$J$105,IF(N9=$I$106,$J$106,IF(N9=$I$107,$J$107,"Training"))))))))</f>
        <v>MA</v>
      </c>
      <c r="N9" s="11" t="s">
        <v>42</v>
      </c>
      <c r="O9" s="72" t="str">
        <f t="shared" si="4"/>
        <v>.</v>
      </c>
      <c r="P9" s="14"/>
      <c r="Q9" s="331"/>
      <c r="R9" s="331"/>
      <c r="S9" s="331"/>
      <c r="T9" s="87"/>
      <c r="U9" s="165" t="str">
        <f>Mon!U9</f>
        <v>(AV)</v>
      </c>
      <c r="V9" s="9">
        <f t="shared" si="5"/>
        <v>3</v>
      </c>
      <c r="W9" s="36">
        <f>SUM(Mon!V9,Tue!V9,Wed!V9,Thur!V9)</f>
        <v>12</v>
      </c>
      <c r="X9" s="165" t="str">
        <f>Mon!U9</f>
        <v>(AV)</v>
      </c>
      <c r="Y9" s="20">
        <f t="shared" si="0"/>
        <v>1</v>
      </c>
      <c r="Z9" s="21">
        <f t="shared" si="1"/>
        <v>1</v>
      </c>
      <c r="AA9" s="21">
        <f t="shared" si="2"/>
        <v>1</v>
      </c>
      <c r="AB9" s="22">
        <f t="shared" si="3"/>
        <v>0</v>
      </c>
      <c r="AC9" s="116" t="str">
        <f>CONCATENATE(IF($U9=$F$5,$E$5,IF($U9=$F$6,$E$6,IF($U9=$F$7,$E$7,IF($U9=$F$8,$E$8,IF($U9=$F$9,$E$9,IF($U9=$F$10,$E$10,IF($U9=$F$11,$E$11,IF($U9=$F$12,$E$12,IF($U9=$F$13,$E$13,IF($U9=$F$14,$E$14,IF($U9=$F$15,$E$15,IF($U9=$F$16,$E$16,IF($T$9=$F$10,$E$10,""))))))))))))))&amp;" "&amp;IF($U9=$F$5,"(A)",IF($U9=$F$6,"(B)",IF($U9=$F$7,"(C)",IF($U9=$F$8,"(D)",IF($U9=$F$9,"(E)",IF($U9=$F$10,"(F)",IF($U9=$F$11,"(G)",IF($U9=$F$12,"(H)",IF($U9=$F$13,"(I)",IF($U9=$F$14,"(J)",IF($U9=$F$15,"(K)",IF($U9=$F$16,"(L)",IF($T$9=$F$10,"(F)","")))))))))))))</f>
        <v xml:space="preserve"> </v>
      </c>
      <c r="AD9" s="117" t="str">
        <f>CONCATENATE(IF($U9=$H$5,$G$5,IF($U9=$H$6,$G$6,IF($U9=$H$7,$G$7,IF($U9=$H$8,$G$8,IF($U9=$H$9,$G$9,IF($U9=$H$10,$G$10,IF($U9=$H$11,$G$11,IF($U9=$H$12,$G$12,IF($U9=$H$13,$G$13,IF($U9=$H$14,$G$14,IF($U9=$H$15,$G$15,IF($U9=$H$16,$G$16,IF($T$9=$H$10,$G$10,"")))))))))))))&amp;" "&amp;IF($U9=$H$5,"(A)",IF($U9=$H$6,"(B)",IF($U9=$H$7,"(C)",IF($U9=$H$8,"(D)",IF($U9=$H$9,"(E)",IF($U9=$H$10,"(F)",IF($U9=$H$11,"(G)",IF($U9=$H$12,"(H)",IF($U9=$H$13,"(I)",IF($U9=$H$14,"(J)",IF($U9=$H$15,"(K)",IF($U9=$H$16,"(L)",IF($T$9=$H$10,"(F)",""))))))))))))))</f>
        <v>IB (I)</v>
      </c>
      <c r="AE9" s="117" t="str">
        <f>CONCATENATE(IF($U9=$L$5,$K$5,IF($U9=$L$6,$K$6,IF($U9=$L$7,$K$7,IF($U9=$L$8,$K$8,IF($U9=$L$9,$K$9,IF($U9=$L$10,$K$10,IF($U9=$L$11,$K$11,IF($U9=$L$12,$K$12,IF($U9=$L$13,$K$13,IF($U9=$L$14,$K$14,IF($U9=$L$15,$K$15,IF($U9=$L$16,$K$16,IF($T$9=$L$10,$K$10,""))))))))))))&amp;" "&amp;IF($U9=$L$5,"(A)",IF($U9=$L$6,"(B)",IF($U9=$L$7,"(C)",IF($U9=$L$8,"(D)",IF($U9=$L$9,"(E)",IF($U9=$L$10,"(F)",IF($U9=$L$11,"(G)",IF($U9=$L$12,"(H)",IF($U9=$L$13,"(I)",IF($U9=$L$14,"(J)",IF($U9=$L$15,"(K)",IF($U9=$L$16,"(L)",IF($T$9=$L$10,"(F)","")))))))))))))))</f>
        <v>MIP (J)</v>
      </c>
      <c r="AF9" s="118" t="str">
        <f>CONCATENATE(IF($U9=$N$5,$M$5,IF($U9=$N$6,$M$6,IF($U9=$N$7,$M$7,IF($U9=$N$8,$M$8,IF($U9=$N$9,$M$9,IF($U9=$N$10,$M$10,IF($U9=$N$11,$M$11,IF($U9=$N$12,$M$12,IF($U9=$N$13,$M$13,IF($U9=$N$14,$M$14,IF($U9=$N$15,$M$15,IF($U9=$N$16,$M$16,IF($T$9=$N$10,$M$10,"")))))))))))))&amp;" "&amp;(IF($U9=$N$5,"(A)",IF($U9=$N$6,"(B)",IF($U9=$N$7,"(C)",IF($U9=$N$8,"(D)",IF($U9=$N$9,"(E)",IF($U9=$N$10,"(F)",IF($U9=$N$11,"(G)",IF($U9=$N$12,"(H)",IF($U9=$N$13,"(I)",IF($U9=$N$14,"(J)",IF($U9=$N$15,"(K)",IF($U9=$N$16,"(L)",IF($T$9=$N$10,"(F)","")))))))))))))))</f>
        <v xml:space="preserve"> </v>
      </c>
      <c r="AG9" s="178" t="str">
        <f t="shared" si="10"/>
        <v xml:space="preserve">CM </v>
      </c>
      <c r="AH9" s="177" t="str">
        <f t="shared" si="11"/>
        <v xml:space="preserve"> </v>
      </c>
      <c r="AI9" s="177" t="str">
        <f t="shared" si="12"/>
        <v xml:space="preserve"> </v>
      </c>
      <c r="AJ9" s="180" t="str">
        <f t="shared" si="13"/>
        <v xml:space="preserve"> </v>
      </c>
      <c r="AK9" s="178" t="str">
        <f t="shared" si="14"/>
        <v xml:space="preserve"> </v>
      </c>
      <c r="AL9" s="177" t="str">
        <f t="shared" si="15"/>
        <v xml:space="preserve"> </v>
      </c>
      <c r="AM9" s="177" t="str">
        <f t="shared" si="16"/>
        <v xml:space="preserve"> </v>
      </c>
      <c r="AN9" s="179" t="str">
        <f t="shared" si="17"/>
        <v xml:space="preserve"> </v>
      </c>
    </row>
    <row r="10" spans="1:79" ht="18.75" customHeight="1" thickBot="1" x14ac:dyDescent="0.4">
      <c r="A10" s="374"/>
      <c r="B10" s="162" t="str">
        <f>Mon!B10</f>
        <v>F+PR</v>
      </c>
      <c r="C10" s="3" t="s">
        <v>65</v>
      </c>
      <c r="D10" s="76"/>
      <c r="E10" s="6" t="str">
        <f>IF(F10=$K$100,$L$100,IF(F10=$K$101,$L$101,IF(F10=$K$102,$L$102,IF(F10=$K$103,$L$103,IF(F10=$K$104,$L$104,IF(F10=$K$105,$L$105,IF(F10=$K$106,$L$106,IF(F10=$K$107,$L$107,"Training"))))))))</f>
        <v>AA</v>
      </c>
      <c r="F10" s="7" t="s">
        <v>53</v>
      </c>
      <c r="G10" s="6" t="str">
        <f>IF(H10=$K$100,$L$100,IF(H10=$K$101,$L$101,IF(H10=$K$102,$L$102,IF(H10=$K$103,$L$103,IF(H10=$K$104,$L$104,IF(H10=$K$105,$L$105,IF(H10=$K$106,$L$106,IF(H10=$K$107,$L$107,"Training"))))))))</f>
        <v>MA</v>
      </c>
      <c r="H10" s="7" t="s">
        <v>120</v>
      </c>
      <c r="I10" s="375"/>
      <c r="J10" s="375"/>
      <c r="K10" s="6" t="str">
        <f>IF(L10=$K$100,$L$100,IF(L10=$K$101,$L$101,IF(L10=$K$102,$L$102,IF(L10=$K$103,$L$103,IF(L10=$K$104,$L$104,IF(L10=$K$105,$L$105,IF(L10=$K$106,$L$106,IF(L10=$K$107,$L$107,"Training"))))))))</f>
        <v>IB</v>
      </c>
      <c r="L10" s="7" t="s">
        <v>103</v>
      </c>
      <c r="M10" s="6" t="str">
        <f>IF(N10=$K$100,$L$100,IF(N10=$K$101,$L$101,IF(N10=$K$102,$L$102,IF(N10=$K$103,$L$103,IF(N10=$K$104,$L$104,IF(N10=$K$105,$L$105,IF(N10=$K$106,$L$106,IF(N10=$K$107,$L$107,"Training"))))))))</f>
        <v>IT</v>
      </c>
      <c r="N10" s="11" t="s">
        <v>52</v>
      </c>
      <c r="O10" s="123" t="s">
        <v>67</v>
      </c>
      <c r="P10" s="32" t="s">
        <v>67</v>
      </c>
      <c r="Q10" s="331"/>
      <c r="R10" s="331"/>
      <c r="S10" s="331"/>
      <c r="U10" s="165" t="str">
        <f>Mon!U10</f>
        <v>(AW)</v>
      </c>
      <c r="V10" s="9">
        <f t="shared" si="5"/>
        <v>3</v>
      </c>
      <c r="W10" s="36">
        <f>SUM(Mon!V10,Tue!V10,Wed!V10,Thur!V10)</f>
        <v>12</v>
      </c>
      <c r="X10" s="165" t="str">
        <f>Mon!U10</f>
        <v>(AW)</v>
      </c>
      <c r="Y10" s="20">
        <f t="shared" si="0"/>
        <v>0</v>
      </c>
      <c r="Z10" s="21">
        <f t="shared" si="1"/>
        <v>0</v>
      </c>
      <c r="AA10" s="21">
        <f t="shared" si="2"/>
        <v>2</v>
      </c>
      <c r="AB10" s="22">
        <f t="shared" si="3"/>
        <v>1</v>
      </c>
      <c r="AC10" s="25" t="str">
        <f>CONCATENATE(IF($U10=$F$5,$E$5,IF($U10=$F$6,$E$6,IF($U10=$F$7,$E$7,IF($U10=$F$8,$E$8,IF($U10=$F$9,$E$9,IF($U10=$F$10,$E$10,IF($U10=$F$11,$E$11,IF($U10=$F$12,$E$12,IF($U10=$F$13,$E$13,IF($U10=$F$14,$E$14,IF($U10=$F$15,$E$15,IF($U10=$F$16,$E$16,IF($U10=$F$17,$E$17,"")))))))))))))&amp;" "&amp;IF($U10=$F$5,"(A)",IF($U10=$F$6,"(B)",IF($U10=$F$7,"(C)",IF($U10=$F$8,"(D)",IF($U10=$F$9,"(E)",IF($U10=$F$10,"(F)",IF($U10=$F$11,"(G)",IF($U10=$F$12,"(H)",IF($U10=$F$13,"(I)",IF($U10=$F$14,"(J)",IF($U10=$F$15,"(K)",IF($U10=$F$16,"(L)",IF($U10=$F$17,"(L)",""))))))))))))))</f>
        <v xml:space="preserve"> </v>
      </c>
      <c r="AD10" s="26" t="str">
        <f>CONCATENATE(IF($U10=$H$5,$G$5,IF($U10=$H$6,$G$6,IF($U10=$H$7,$G$7,IF($U10=$H$8,$G$8,IF($U10=$H$9,$G$9,IF($U10=$H$10,$G$10,IF($U10=$H$11,$G$11,IF($U10=$H$12,$G$12,IF($U10=$H$13,$G$13,IF($U10=$H$14,$G$14,IF($U10=$H$15,$G$15,IF($U10=$H$16,$G$16,IF($U10=$H$17,$G$17,"")))))))))))))&amp;" "&amp;IF($U10=$H$5,"(A)",IF($U10=$H$6,"(B)",IF($U10=$H$7,"(C)",IF($U10=$H$8,"(D)",IF($U10=$H$9,"(E)",IF($U10=$H$10,"(F)",IF($U10=$H$11,"(G)",IF($U10=$H$12,"(H)",IF($U10=$H$13,"(I)",IF($U10=$H$14,"(J)",IF($U10=$H$15,"(K)",IF($U10=$H$16,"(L)",IF($U10=$H$17,"(L)",""))))))))))))))</f>
        <v xml:space="preserve"> </v>
      </c>
      <c r="AE10" s="26" t="str">
        <f>CONCATENATE(IF($U10=$L$5,$K$5,IF($U10=$L$6,$K$6,IF($U10=$L$7,$K$7,IF($U10=$L$8,$K$8,IF($U10=$L$9,$K$9,IF($U10=$L$10,$K$10,IF($U10=$L$11,$K$11,IF($U10=$L$12,$K$12,IF($U10=$L$13,$K$13,IF($U10=$L$14,$K$14,IF($U10=$L$15,$K$15,IF($U10=$L$16,$K$16,IF($U10=$L$17,$K$17,"")))))))))))))&amp;" "&amp;IF($U10=$L$5,"(A)",IF($U10=$L$6,"(B)",IF($U10=$L$7,"(C)",IF($U10=$L$8,"(D)",IF($U10=$L$9,"(E)",IF($U10=$L$10,"(F)",IF($U10=$L$11,"(G)",IF($U10=$L$12,"(H)",IF($U10=$L$13,"(I)",IF($U10=$L$14,"(J)",IF($U10=$L$15,"(K)",IF($U10=$L$16,"(L)",IF($U10=$L$17,"(L)",""))))))))))))))</f>
        <v>ECOM (A)</v>
      </c>
      <c r="AF10" s="27" t="str">
        <f>CONCATENATE(IF($U10=$N$5,$M$5,IF($U10=$N$6,$M$6,IF($U10=$N$7,$M$7,IF($U10=$N$8,$M$8,IF($U10=$N$9,$M$9,IF($U10=$N$10,$M$10,IF($U10=$N$11,$M$11,IF($U10=$N$12,$M$12,IF($U10=$N$13,$M$13,IF($U10=$N$14,$M$14,IF($U10=$N$15,$M$15,IF($U10=$N$16,$M$16,IF($U10=$N$17,$M$17,"")))))))))))))&amp;" "&amp;(IF($U10=$N$5,"(A)",IF($U10=$N$6,"(B)",IF($U10=$N$7,"(C)",IF($U10=$N$8,"(D)",IF($U10=$N$9,"(E)",IF($U10=$N$10,"(F)",IF($U10=$N$11,"(G)",IF($U10=$N$12,"(H)",IF($U10=$N$13,"(I)",IF($U10=$N$14,"(J)",IF($U10=$N$15,"(K)",IF($U10=$N$16,"(L)",IF($U10=$N$17,"(L)","")))))))))))))))</f>
        <v xml:space="preserve"> </v>
      </c>
      <c r="AG10" s="178" t="str">
        <f t="shared" si="10"/>
        <v xml:space="preserve"> </v>
      </c>
      <c r="AH10" s="177" t="str">
        <f t="shared" si="11"/>
        <v xml:space="preserve"> </v>
      </c>
      <c r="AI10" s="177" t="str">
        <f t="shared" si="12"/>
        <v xml:space="preserve"> </v>
      </c>
      <c r="AJ10" s="180" t="str">
        <f t="shared" si="13"/>
        <v xml:space="preserve"> </v>
      </c>
      <c r="AK10" s="178" t="str">
        <f t="shared" si="14"/>
        <v xml:space="preserve"> </v>
      </c>
      <c r="AL10" s="177" t="str">
        <f t="shared" si="15"/>
        <v xml:space="preserve"> </v>
      </c>
      <c r="AM10" s="177" t="str">
        <f t="shared" si="16"/>
        <v>BT (A)</v>
      </c>
      <c r="AN10" s="179" t="str">
        <f t="shared" si="17"/>
        <v>BT (C)</v>
      </c>
    </row>
    <row r="11" spans="1:79" ht="18.75" customHeight="1" thickBot="1" x14ac:dyDescent="0.4">
      <c r="A11" s="374"/>
      <c r="B11" s="19" t="str">
        <f>Mon!B11</f>
        <v>MKG+ECOM</v>
      </c>
      <c r="C11" s="98" t="s">
        <v>69</v>
      </c>
      <c r="D11" s="76"/>
      <c r="E11" s="6" t="str">
        <f>IF(F11=$M$100,$N$100,IF(F11=$M$101,$N$101,IF(F11=$M$102,$N$102,IF(F11=$M$103,$N$103,IF(F11=$M$104,$N$104,IF(F11=$M$105,$N$105,IF(F11=$M$106,$N$106,IF(F11=$M$107,$N$107,"Training"))))))))</f>
        <v>IT</v>
      </c>
      <c r="F11" s="7" t="s">
        <v>52</v>
      </c>
      <c r="G11" s="6" t="str">
        <f>IF(H11=$M$100,$N$100,IF(H11=$M$101,$N$101,IF(H11=$M$102,$N$102,IF(H11=$M$103,$N$103,IF(H11=$M$104,$N$104,IF(H11=$M$105,$N$105,IF(H11=$M$106,$N$106,IF(H11=$M$107,$N$107,"Training"))))))))</f>
        <v>IB</v>
      </c>
      <c r="H11" s="7" t="s">
        <v>63</v>
      </c>
      <c r="I11" s="375"/>
      <c r="J11" s="375"/>
      <c r="K11" s="6" t="str">
        <f>IF(L11=$M$100,$N$100,IF(L11=$M$101,$N$101,IF(L11=$M$102,$N$102,IF(L11=$M$103,$N$103,IF(L11=$M$104,$N$104,IF(L11=$M$105,$N$105,IF(L11=$M$106,$N$106,IF(L11=$M$107,$N$107,"Training"))))))))</f>
        <v>RM</v>
      </c>
      <c r="L11" s="7" t="s">
        <v>73</v>
      </c>
      <c r="M11" s="6" t="str">
        <f>IF(N11=$M$100,$N$100,IF(N11=$M$101,$N$101,IF(N11=$M$102,$N$102,IF(N11=$M$103,$N$103,IF(N11=$M$104,$N$104,IF(N11=$M$105,$N$105,IF(N11=$M$106,$N$106,IF(N11=$M$107,$N$107,"Training"))))))))</f>
        <v>MA</v>
      </c>
      <c r="N11" s="11" t="s">
        <v>66</v>
      </c>
      <c r="O11" s="70" t="str">
        <f>IF(P11="",".",P11)</f>
        <v>.</v>
      </c>
      <c r="P11" s="12"/>
      <c r="Q11" s="331"/>
      <c r="R11" s="331"/>
      <c r="S11" s="331"/>
      <c r="U11" s="165" t="str">
        <f>Mon!U11</f>
        <v>(BB)</v>
      </c>
      <c r="V11" s="9">
        <f t="shared" si="5"/>
        <v>2</v>
      </c>
      <c r="W11" s="36">
        <f>SUM(Mon!V11,Tue!V11,Wed!V11,Thur!V11)</f>
        <v>12</v>
      </c>
      <c r="X11" s="165" t="str">
        <f>Mon!U11</f>
        <v>(BB)</v>
      </c>
      <c r="Y11" s="20">
        <f t="shared" si="0"/>
        <v>0</v>
      </c>
      <c r="Z11" s="21">
        <f t="shared" si="1"/>
        <v>0</v>
      </c>
      <c r="AA11" s="21">
        <f t="shared" si="2"/>
        <v>1</v>
      </c>
      <c r="AB11" s="22">
        <f t="shared" si="3"/>
        <v>1</v>
      </c>
      <c r="AC11" s="25" t="str">
        <f t="shared" ref="AC11:AC59" si="18">CONCATENATE(IF($U11=$F$5,$E$5,IF($U11=$F$6,$E$6,IF($U11=$F$7,$E$7,IF($U11=$F$8,$E$8,IF($U11=$F$9,$E$9,IF($U11=$F$10,$E$10,IF($U11=$F$11,$E$11,IF($U11=$F$12,$E$12,IF($U11=$F$13,$E$13,IF($U11=$F$14,$E$14,IF($U11=$F$15,$E$15,IF($U11=$F$16,$E$16,IF($U11=$F$17,$E$17,"")))))))))))))&amp;" "&amp;IF($U11=$F$5,"(A)",IF($U11=$F$6,"(B)",IF($U11=$F$7,"(C)",IF($U11=$F$8,"(D)",IF($U11=$F$9,"(E)",IF($U11=$F$10,"(F)",IF($U11=$F$11,"(G)",IF($U11=$F$12,"(H)",IF($U11=$F$13,"(I)",IF($U11=$F$14,"(J)",IF($U11=$F$15,"(K)",IF($U11=$F$16,"(L)",IF($U11=$F$17,"(L)",""))))))))))))))</f>
        <v xml:space="preserve"> </v>
      </c>
      <c r="AD11" s="26" t="str">
        <f t="shared" ref="AD11:AD59" si="19">CONCATENATE(IF($U11=$H$5,$G$5,IF($U11=$H$6,$G$6,IF($U11=$H$7,$G$7,IF($U11=$H$8,$G$8,IF($U11=$H$9,$G$9,IF($U11=$H$10,$G$10,IF($U11=$H$11,$G$11,IF($U11=$H$12,$G$12,IF($U11=$H$13,$G$13,IF($U11=$H$14,$G$14,IF($U11=$H$15,$G$15,IF($U11=$H$16,$G$16,IF($U11=$H$17,$G$17,"")))))))))))))&amp;" "&amp;IF($U11=$H$5,"(A)",IF($U11=$H$6,"(B)",IF($U11=$H$7,"(C)",IF($U11=$H$8,"(D)",IF($U11=$H$9,"(E)",IF($U11=$H$10,"(F)",IF($U11=$H$11,"(G)",IF($U11=$H$12,"(H)",IF($U11=$H$13,"(I)",IF($U11=$H$14,"(J)",IF($U11=$H$15,"(K)",IF($U11=$H$16,"(L)",IF($U11=$H$17,"(L)",""))))))))))))))</f>
        <v xml:space="preserve"> </v>
      </c>
      <c r="AE11" s="26" t="str">
        <f t="shared" ref="AE11:AE59" si="20">CONCATENATE(IF($U11=$L$5,$K$5,IF($U11=$L$6,$K$6,IF($U11=$L$7,$K$7,IF($U11=$L$8,$K$8,IF($U11=$L$9,$K$9,IF($U11=$L$10,$K$10,IF($U11=$L$11,$K$11,IF($U11=$L$12,$K$12,IF($U11=$L$13,$K$13,IF($U11=$L$14,$K$14,IF($U11=$L$15,$K$15,IF($U11=$L$16,$K$16,IF($U11=$L$17,$K$17,"")))))))))))))&amp;" "&amp;IF($U11=$L$5,"(A)",IF($U11=$L$6,"(B)",IF($U11=$L$7,"(C)",IF($U11=$L$8,"(D)",IF($U11=$L$9,"(E)",IF($U11=$L$10,"(F)",IF($U11=$L$11,"(G)",IF($U11=$L$12,"(H)",IF($U11=$L$13,"(I)",IF($U11=$L$14,"(J)",IF($U11=$L$15,"(K)",IF($U11=$L$16,"(L)",IF($U11=$L$17,"(L)",""))))))))))))))</f>
        <v xml:space="preserve"> </v>
      </c>
      <c r="AF11" s="27" t="str">
        <f t="shared" ref="AF11:AF59" si="21">CONCATENATE(IF($U11=$N$5,$M$5,IF($U11=$N$6,$M$6,IF($U11=$N$7,$M$7,IF($U11=$N$8,$M$8,IF($U11=$N$9,$M$9,IF($U11=$N$10,$M$10,IF($U11=$N$11,$M$11,IF($U11=$N$12,$M$12,IF($U11=$N$13,$M$13,IF($U11=$N$14,$M$14,IF($U11=$N$15,$M$15,IF($U11=$N$16,$M$16,IF($U11=$N$17,$M$17,"")))))))))))))&amp;" "&amp;(IF($U11=$N$5,"(A)",IF($U11=$N$6,"(B)",IF($U11=$N$7,"(C)",IF($U11=$N$8,"(D)",IF($U11=$N$9,"(E)",IF($U11=$N$10,"(F)",IF($U11=$N$11,"(G)",IF($U11=$N$12,"(H)",IF($U11=$N$13,"(I)",IF($U11=$N$14,"(J)",IF($U11=$N$15,"(K)",IF($U11=$N$16,"(L)",IF($U11=$N$17,"(L)","")))))))))))))))</f>
        <v>ECOM (L)</v>
      </c>
      <c r="AG11" s="178" t="str">
        <f t="shared" si="10"/>
        <v xml:space="preserve"> </v>
      </c>
      <c r="AH11" s="177" t="str">
        <f t="shared" si="11"/>
        <v xml:space="preserve"> </v>
      </c>
      <c r="AI11" s="177" t="str">
        <f t="shared" si="12"/>
        <v xml:space="preserve"> </v>
      </c>
      <c r="AJ11" s="180" t="str">
        <f t="shared" si="13"/>
        <v xml:space="preserve"> </v>
      </c>
      <c r="AK11" s="178" t="str">
        <f t="shared" si="14"/>
        <v xml:space="preserve"> </v>
      </c>
      <c r="AL11" s="177" t="str">
        <f t="shared" si="15"/>
        <v xml:space="preserve"> </v>
      </c>
      <c r="AM11" s="177" t="str">
        <f t="shared" si="16"/>
        <v>QT (G)</v>
      </c>
      <c r="AN11" s="179" t="str">
        <f t="shared" si="17"/>
        <v xml:space="preserve"> </v>
      </c>
    </row>
    <row r="12" spans="1:79" ht="18.75" customHeight="1" thickBot="1" x14ac:dyDescent="0.4">
      <c r="A12" s="374"/>
      <c r="B12" s="19" t="str">
        <f>Mon!B12</f>
        <v>MKG+ECOM</v>
      </c>
      <c r="C12" s="98" t="s">
        <v>72</v>
      </c>
      <c r="D12" s="76"/>
      <c r="E12" s="6" t="str">
        <f>IF(F12=$O$100,$P$100,IF(F12=$O$101,$P$101,IF(F12=$O$102,$P$102,IF(F12=$O$103,$P$103,IF(F12=$O$104,$P$104,IF(F12=$O$105,$P$105,IF(F12=$O$106,$P$106,IF(F12=$O$107,$P$107,"Training"))))))))</f>
        <v>MA</v>
      </c>
      <c r="F12" s="7" t="s">
        <v>42</v>
      </c>
      <c r="G12" s="6" t="str">
        <f>IF(H12=$O$100,$P$100,IF(H12=$O$101,$P$101,IF(H12=$O$102,$P$102,IF(H12=$O$103,$P$103,IF(H12=$O$104,$P$104,IF(H12=$O$105,$P$105,IF(H12=$O$106,$P$106,IF(H12=$O$107,$P$107,"Training"))))))))</f>
        <v>CB</v>
      </c>
      <c r="H12" s="7" t="s">
        <v>74</v>
      </c>
      <c r="I12" s="375"/>
      <c r="J12" s="375"/>
      <c r="K12" s="6" t="str">
        <f>IF(L12=$O$100,$P$100,IF(L12=$O$101,$P$101,IF(L12=$O$102,$P$102,IF(L12=$O$103,$P$103,IF(L12=$O$104,$P$104,IF(L12=$O$105,$P$105,IF(L12=$O$106,$P$106,IF(L12=$O$107,$P$107,"Training"))))))))</f>
        <v>IT</v>
      </c>
      <c r="L12" s="7" t="s">
        <v>50</v>
      </c>
      <c r="M12" s="6" t="str">
        <f>IF(N12=$O$100,$P$100,IF(N12=$O$101,$P$101,IF(N12=$O$102,$P$102,IF(N12=$O$103,$P$103,IF(N12=$O$104,$P$104,IF(N12=$O$105,$P$105,IF(N12=$O$106,$P$106,IF(N12=$O$107,$P$107,"Training"))))))))</f>
        <v>MIP</v>
      </c>
      <c r="N12" s="11" t="s">
        <v>73</v>
      </c>
      <c r="O12" s="71" t="str">
        <f t="shared" ref="O12:O18" si="22">IF(P12="",".",P12)</f>
        <v>.</v>
      </c>
      <c r="P12" s="13"/>
      <c r="Q12" s="331"/>
      <c r="R12" s="331"/>
      <c r="S12" s="331"/>
      <c r="U12" s="165" t="str">
        <f>Mon!U12</f>
        <v>(BD)</v>
      </c>
      <c r="V12" s="9">
        <f t="shared" si="5"/>
        <v>2</v>
      </c>
      <c r="W12" s="36">
        <f>SUM(Mon!V12,Tue!V12,Wed!V12,Thur!V12)</f>
        <v>12</v>
      </c>
      <c r="X12" s="165" t="str">
        <f>Mon!U12</f>
        <v>(BD)</v>
      </c>
      <c r="Y12" s="20">
        <f t="shared" si="0"/>
        <v>1</v>
      </c>
      <c r="Z12" s="21">
        <f t="shared" si="1"/>
        <v>0</v>
      </c>
      <c r="AA12" s="21">
        <f t="shared" si="2"/>
        <v>0</v>
      </c>
      <c r="AB12" s="22">
        <f t="shared" si="3"/>
        <v>1</v>
      </c>
      <c r="AC12" s="25" t="str">
        <f t="shared" si="18"/>
        <v xml:space="preserve"> </v>
      </c>
      <c r="AD12" s="26" t="str">
        <f t="shared" si="19"/>
        <v xml:space="preserve"> </v>
      </c>
      <c r="AE12" s="26" t="str">
        <f t="shared" si="20"/>
        <v xml:space="preserve"> </v>
      </c>
      <c r="AF12" s="27" t="str">
        <f t="shared" si="21"/>
        <v xml:space="preserve"> </v>
      </c>
      <c r="AG12" s="178" t="str">
        <f t="shared" si="10"/>
        <v>HR (B)</v>
      </c>
      <c r="AH12" s="177" t="str">
        <f t="shared" si="11"/>
        <v xml:space="preserve"> </v>
      </c>
      <c r="AI12" s="177" t="str">
        <f t="shared" si="12"/>
        <v xml:space="preserve"> </v>
      </c>
      <c r="AJ12" s="180" t="str">
        <f t="shared" si="13"/>
        <v xml:space="preserve"> </v>
      </c>
      <c r="AK12" s="178" t="str">
        <f t="shared" si="14"/>
        <v xml:space="preserve"> </v>
      </c>
      <c r="AL12" s="177" t="str">
        <f t="shared" si="15"/>
        <v xml:space="preserve"> </v>
      </c>
      <c r="AM12" s="177" t="str">
        <f t="shared" si="16"/>
        <v xml:space="preserve"> </v>
      </c>
      <c r="AN12" s="179" t="str">
        <f t="shared" si="17"/>
        <v>QT (K)</v>
      </c>
    </row>
    <row r="13" spans="1:79" ht="18.75" customHeight="1" thickBot="1" x14ac:dyDescent="0.4">
      <c r="A13" s="374"/>
      <c r="B13" s="19" t="str">
        <f>Mon!B13</f>
        <v>MKG+ECOM</v>
      </c>
      <c r="C13" s="98" t="s">
        <v>76</v>
      </c>
      <c r="D13" s="76"/>
      <c r="E13" s="6" t="str">
        <f>IF(F13=$Q$100,$R$100,IF(F13=$Q$101,$R$101,IF(F13=$Q$102,$R$102,IF(F13=$Q$103,$R$103,IF(F13=$Q$104,$R$104,IF(F13=$Q$105,$R$105,IF(F13=$Q$106,$R$106,IF(F13=$Q$107,$R$107,"Training"))))))))</f>
        <v>MA</v>
      </c>
      <c r="F13" s="7" t="s">
        <v>66</v>
      </c>
      <c r="G13" s="6" t="str">
        <f>IF(H13=$Q$100,$R$100,IF(H13=$Q$101,$R$101,IF(H13=$Q$102,$R$102,IF(H13=$Q$103,$R$103,IF(H13=$Q$104,$R$104,IF(H13=$Q$105,$R$105,IF(H13=$Q$106,$R$106,IF(H13=$Q$107,$R$107,"Training"))))))))</f>
        <v>IB</v>
      </c>
      <c r="H13" s="7" t="s">
        <v>46</v>
      </c>
      <c r="I13" s="375"/>
      <c r="J13" s="375"/>
      <c r="K13" s="6" t="str">
        <f>IF(L13=$Q$100,$R$100,IF(L13=$Q$101,$R$101,IF(L13=$Q$102,$R$102,IF(L13=$Q$103,$R$103,IF(L13=$Q$104,$R$104,IF(L13=$Q$105,$R$105,IF(L13=$Q$106,$R$106,IF(L13=$Q$107,$R$107,"Training"))))))))</f>
        <v>IT</v>
      </c>
      <c r="L13" s="7" t="s">
        <v>45</v>
      </c>
      <c r="M13" s="6" t="str">
        <f>IF(N13=$Q$100,$R$100,IF(N13=$Q$101,$R$101,IF(N13=$Q$102,$R$102,IF(N13=$Q$103,$R$103,IF(N13=$Q$104,$R$104,IF(N13=$Q$105,$R$105,IF(N13=$Q$106,$R$106,IF(N13=$Q$107,$R$107,"Training"))))))))</f>
        <v>ECOM</v>
      </c>
      <c r="N13" s="11" t="s">
        <v>62</v>
      </c>
      <c r="O13" s="71" t="str">
        <f t="shared" si="22"/>
        <v>.</v>
      </c>
      <c r="P13" s="13"/>
      <c r="Q13" s="331"/>
      <c r="R13" s="331"/>
      <c r="S13" s="331"/>
      <c r="U13" s="165" t="str">
        <f>Mon!U13</f>
        <v>(CG)</v>
      </c>
      <c r="V13" s="9">
        <f t="shared" si="5"/>
        <v>0</v>
      </c>
      <c r="W13" s="36">
        <f>SUM(Mon!V13,Tue!V13,Wed!V13,Thur!V13)</f>
        <v>10</v>
      </c>
      <c r="X13" s="165" t="str">
        <f>Mon!U13</f>
        <v>(CG)</v>
      </c>
      <c r="Y13" s="20">
        <f t="shared" si="0"/>
        <v>0</v>
      </c>
      <c r="Z13" s="21">
        <f t="shared" si="1"/>
        <v>0</v>
      </c>
      <c r="AA13" s="21">
        <f t="shared" si="2"/>
        <v>0</v>
      </c>
      <c r="AB13" s="22">
        <f t="shared" si="3"/>
        <v>0</v>
      </c>
      <c r="AC13" s="25" t="str">
        <f t="shared" si="18"/>
        <v xml:space="preserve"> </v>
      </c>
      <c r="AD13" s="26" t="str">
        <f t="shared" si="19"/>
        <v xml:space="preserve"> </v>
      </c>
      <c r="AE13" s="26" t="str">
        <f t="shared" si="20"/>
        <v xml:space="preserve"> </v>
      </c>
      <c r="AF13" s="27" t="str">
        <f t="shared" si="21"/>
        <v xml:space="preserve"> </v>
      </c>
      <c r="AG13" s="178" t="str">
        <f t="shared" si="10"/>
        <v xml:space="preserve"> </v>
      </c>
      <c r="AH13" s="177" t="str">
        <f t="shared" si="11"/>
        <v xml:space="preserve"> </v>
      </c>
      <c r="AI13" s="177" t="str">
        <f t="shared" si="12"/>
        <v xml:space="preserve"> </v>
      </c>
      <c r="AJ13" s="180" t="str">
        <f t="shared" si="13"/>
        <v xml:space="preserve"> </v>
      </c>
      <c r="AK13" s="178" t="str">
        <f t="shared" si="14"/>
        <v xml:space="preserve"> </v>
      </c>
      <c r="AL13" s="177" t="str">
        <f t="shared" si="15"/>
        <v xml:space="preserve"> </v>
      </c>
      <c r="AM13" s="177" t="str">
        <f t="shared" si="16"/>
        <v xml:space="preserve"> </v>
      </c>
      <c r="AN13" s="179" t="str">
        <f t="shared" si="17"/>
        <v xml:space="preserve"> </v>
      </c>
    </row>
    <row r="14" spans="1:79" ht="18.75" customHeight="1" thickBot="1" x14ac:dyDescent="0.4">
      <c r="A14" s="374"/>
      <c r="B14" s="19" t="str">
        <f>Mon!B14</f>
        <v>MKG+PR</v>
      </c>
      <c r="C14" s="98" t="s">
        <v>79</v>
      </c>
      <c r="D14" s="76"/>
      <c r="E14" s="6" t="str">
        <f>IF(F14=$S$100,$T$100,IF(F14=$S$101,$T$101,IF(F14=$S$102,$T$102,IF(F14=$S$103,$T$103,IF(F14=$S$104,$T$104,IF(F14=$S$105,$T$105,IF(F14=$S$106,$T$106,IF(F14=$S$107,$T$107,"Training"))))))))</f>
        <v>PR</v>
      </c>
      <c r="F14" s="7" t="s">
        <v>51</v>
      </c>
      <c r="G14" s="6" t="str">
        <f>IF(H14=$S$100,$T$100,IF(H14=$S$101,$T$101,IF(H14=$S$102,$T$102,IF(H14=$S$103,$T$103,IF(H14=$S$104,$T$104,IF(H14=$S$105,$T$105,IF(H14=$S$106,$T$106,IF(H14=$S$107,$T$107,"Training"))))))))</f>
        <v>MA</v>
      </c>
      <c r="H14" s="7" t="s">
        <v>60</v>
      </c>
      <c r="I14" s="375"/>
      <c r="J14" s="375"/>
      <c r="K14" s="6" t="str">
        <f>IF(L14=$S$100,$T$100,IF(L14=$S$101,$T$101,IF(L14=$S$102,$T$102,IF(L14=$S$103,$T$103,IF(L14=$S$104,$T$104,IF(L14=$S$105,$T$105,IF(L14=$S$106,$T$106,IF(L14=$S$107,$T$107,"Training"))))))))</f>
        <v>MIP</v>
      </c>
      <c r="L14" s="7" t="s">
        <v>46</v>
      </c>
      <c r="M14" s="6" t="str">
        <f>IF(N14=$S$100,$T$100,IF(N14=$S$101,$T$101,IF(N14=$S$102,$T$102,IF(N14=$S$103,$T$103,IF(N14=$S$104,$T$104,IF(N14=$S$105,$T$105,IF(N14=$S$106,$T$106,IF(N14=$S$107,$T$107,"Training"))))))))</f>
        <v>IT</v>
      </c>
      <c r="N14" s="11" t="s">
        <v>47</v>
      </c>
      <c r="O14" s="71" t="str">
        <f t="shared" si="22"/>
        <v>.</v>
      </c>
      <c r="P14" s="13"/>
      <c r="Q14" s="331"/>
      <c r="R14" s="331"/>
      <c r="S14" s="331"/>
      <c r="U14" s="165" t="str">
        <f>Mon!U14</f>
        <v>(DT)</v>
      </c>
      <c r="V14" s="9">
        <f t="shared" si="5"/>
        <v>3</v>
      </c>
      <c r="W14" s="36">
        <f>SUM(Mon!V14,Tue!V14,Wed!V14,Thur!V14)</f>
        <v>12</v>
      </c>
      <c r="X14" s="165" t="str">
        <f>Mon!U14</f>
        <v>(DT)</v>
      </c>
      <c r="Y14" s="20">
        <f t="shared" si="0"/>
        <v>1</v>
      </c>
      <c r="Z14" s="21">
        <f t="shared" si="1"/>
        <v>0</v>
      </c>
      <c r="AA14" s="21">
        <f t="shared" si="2"/>
        <v>1</v>
      </c>
      <c r="AB14" s="22">
        <f t="shared" si="3"/>
        <v>1</v>
      </c>
      <c r="AC14" s="25" t="str">
        <f t="shared" si="18"/>
        <v>ECOM (E)</v>
      </c>
      <c r="AD14" s="26" t="str">
        <f t="shared" si="19"/>
        <v xml:space="preserve"> </v>
      </c>
      <c r="AE14" s="26" t="str">
        <f t="shared" si="20"/>
        <v>EBO (L)</v>
      </c>
      <c r="AF14" s="27" t="str">
        <f t="shared" si="21"/>
        <v>ECOM (I)</v>
      </c>
      <c r="AG14" s="178" t="str">
        <f t="shared" si="10"/>
        <v xml:space="preserve"> </v>
      </c>
      <c r="AH14" s="177" t="str">
        <f t="shared" si="11"/>
        <v xml:space="preserve"> </v>
      </c>
      <c r="AI14" s="177" t="str">
        <f t="shared" si="12"/>
        <v xml:space="preserve"> </v>
      </c>
      <c r="AJ14" s="180" t="str">
        <f t="shared" si="13"/>
        <v xml:space="preserve"> </v>
      </c>
      <c r="AK14" s="178" t="str">
        <f t="shared" si="14"/>
        <v xml:space="preserve"> </v>
      </c>
      <c r="AL14" s="177" t="str">
        <f t="shared" si="15"/>
        <v xml:space="preserve"> </v>
      </c>
      <c r="AM14" s="177" t="str">
        <f t="shared" si="16"/>
        <v xml:space="preserve"> </v>
      </c>
      <c r="AN14" s="179" t="str">
        <f t="shared" si="17"/>
        <v xml:space="preserve"> </v>
      </c>
    </row>
    <row r="15" spans="1:79" ht="18.75" customHeight="1" thickBot="1" x14ac:dyDescent="0.4">
      <c r="A15" s="374"/>
      <c r="B15" s="99" t="str">
        <f>Mon!B15</f>
        <v>MKG+ECOM+PR</v>
      </c>
      <c r="C15" s="162" t="s">
        <v>81</v>
      </c>
      <c r="D15" s="76"/>
      <c r="E15" s="81" t="str">
        <f>IF(F15=$U$100,$V$100,IF(F15=$U$101,$V$101,IF(F15=$U$102,$V$102,IF(F15=$U$103,$V$103,IF(F15=$U$104,$V$104,IF(F15=$U$105,$V$105,IF(F15=$U$106,$V$106,IF(F15=$U$107,$V$107,"Training"))))))))</f>
        <v>RM</v>
      </c>
      <c r="F15" s="80" t="s">
        <v>73</v>
      </c>
      <c r="G15" s="81" t="str">
        <f>IF(H15=$U$100,$V$100,IF(H15=$U$101,$V$101,IF(H15=$U$102,$V$102,IF(H15=$U$103,$V$103,IF(H15=$U$104,$V$104,IF(H15=$U$105,$V$105,IF(H15=$U$106,$V$106,IF(H15=$U$107,$V$107,"Training"))))))))</f>
        <v>PR</v>
      </c>
      <c r="H15" s="80" t="s">
        <v>82</v>
      </c>
      <c r="I15" s="375"/>
      <c r="J15" s="375"/>
      <c r="K15" s="81" t="str">
        <f>IF(L15=$U$100,$V$100,IF(L15=$U$101,$V$101,IF(L15=$U$102,$V$102,IF(L15=$U$103,$V$103,IF(L15=$U$104,$V$104,IF(L15=$U$105,$V$105,IF(L15=$U$106,$V$106,IF(L15=$U$107,$V$107,"Training"))))))))</f>
        <v>IT</v>
      </c>
      <c r="L15" s="80" t="s">
        <v>47</v>
      </c>
      <c r="M15" s="81" t="str">
        <f>IF(N15=$U$100,$V$100,IF(N15=$U$101,$V$101,IF(N15=$U$102,$V$102,IF(N15=$U$103,$V$103,IF(N15=$U$104,$V$104,IF(N15=$U$105,$V$105,IF(N15=$U$106,$V$106,IF(N15=$U$107,$V$107,"Training"))))))))</f>
        <v>IB</v>
      </c>
      <c r="N15" s="86" t="s">
        <v>63</v>
      </c>
      <c r="O15" s="72" t="str">
        <f t="shared" si="22"/>
        <v>.</v>
      </c>
      <c r="P15" s="147"/>
      <c r="Q15" s="331"/>
      <c r="U15" s="165" t="str">
        <f>Mon!U15</f>
        <v>(EC)</v>
      </c>
      <c r="V15" s="9">
        <f t="shared" si="5"/>
        <v>3</v>
      </c>
      <c r="W15" s="36">
        <f>SUM(Mon!V15,Tue!V15,Wed!V15,Thur!V15)</f>
        <v>12</v>
      </c>
      <c r="X15" s="165" t="str">
        <f>Mon!U15</f>
        <v>(EC)</v>
      </c>
      <c r="Y15" s="20">
        <f t="shared" si="0"/>
        <v>0</v>
      </c>
      <c r="Z15" s="21">
        <f t="shared" si="1"/>
        <v>1</v>
      </c>
      <c r="AA15" s="21">
        <f t="shared" si="2"/>
        <v>1</v>
      </c>
      <c r="AB15" s="22">
        <f t="shared" si="3"/>
        <v>1</v>
      </c>
      <c r="AC15" s="25" t="str">
        <f t="shared" si="18"/>
        <v xml:space="preserve"> </v>
      </c>
      <c r="AD15" s="26" t="str">
        <f t="shared" si="19"/>
        <v>IB (G)</v>
      </c>
      <c r="AE15" s="26" t="str">
        <f t="shared" si="20"/>
        <v>HRD (L)</v>
      </c>
      <c r="AF15" s="27" t="str">
        <f t="shared" si="21"/>
        <v>IB (K)</v>
      </c>
      <c r="AG15" s="178" t="str">
        <f t="shared" si="10"/>
        <v xml:space="preserve"> </v>
      </c>
      <c r="AH15" s="177" t="str">
        <f t="shared" si="11"/>
        <v xml:space="preserve"> </v>
      </c>
      <c r="AI15" s="177" t="str">
        <f t="shared" si="12"/>
        <v xml:space="preserve"> </v>
      </c>
      <c r="AJ15" s="180" t="str">
        <f t="shared" si="13"/>
        <v xml:space="preserve"> </v>
      </c>
      <c r="AK15" s="178" t="str">
        <f t="shared" si="14"/>
        <v xml:space="preserve"> </v>
      </c>
      <c r="AL15" s="177" t="str">
        <f t="shared" si="15"/>
        <v xml:space="preserve"> </v>
      </c>
      <c r="AM15" s="177" t="str">
        <f t="shared" si="16"/>
        <v xml:space="preserve"> </v>
      </c>
      <c r="AN15" s="179" t="str">
        <f t="shared" si="17"/>
        <v xml:space="preserve"> </v>
      </c>
    </row>
    <row r="16" spans="1:79" ht="18.75" customHeight="1" thickBot="1" x14ac:dyDescent="0.4">
      <c r="A16" s="374"/>
      <c r="B16" s="367" t="str">
        <f>Mon!B16</f>
        <v>HR+ED+PR+ECOM</v>
      </c>
      <c r="C16" s="368" t="s">
        <v>84</v>
      </c>
      <c r="D16" s="82"/>
      <c r="E16" s="83" t="str">
        <f>IF(F16=$W$100,$X$100,IF(F16=$W$101,$X$101,IF(F16=$W$102,$X$102,IF(F16=$W$103,$X$103,IF(F16=$W$104,$X$104,IF(F16=$W$105,$X$105,IF(F16=$W$106,$X$106,IF(F16=$W$107,$X$107,"Training"))))))))</f>
        <v>IT</v>
      </c>
      <c r="F16" s="85" t="s">
        <v>47</v>
      </c>
      <c r="G16" s="83" t="str">
        <f>IF(H16=$W$100,$X$100,IF(H16=$W$101,$X$101,IF(H16=$W$102,$X$102,IF(H16=$W$103,$X$103,IF(H16=$W$104,$X$104,IF(H16=$W$105,$X$105,IF(H16=$W$106,$X$106,IF(H16=$W$107,$X$107,"Training"))))))))</f>
        <v>MA</v>
      </c>
      <c r="H16" s="84" t="s">
        <v>57</v>
      </c>
      <c r="I16" s="375"/>
      <c r="J16" s="375"/>
      <c r="K16" s="83" t="str">
        <f>IF(L16=$W$100,$X$100,IF(L16=$W$101,$X$101,IF(L16=$W$102,$X$102,IF(L16=$W$103,$X$103,IF(L16=$W$104,$X$104,IF(L16=$W$105,$X$105,IF(L16=$W$106,$X$106,IF(L16=$W$107,$X$107,"Training"))))))))</f>
        <v>HRD</v>
      </c>
      <c r="L16" s="85" t="s">
        <v>63</v>
      </c>
      <c r="M16" s="83" t="str">
        <f>IF(N16=$W$100,$X$100,IF(N16=$W$101,$X$101,IF(N16=$W$102,$X$102,IF(N16=$W$103,$X$103,IF(N16=$W$104,$X$104,IF(N16=$W$105,$X$105,IF(N16=$W$106,$X$106,IF(N16=$W$107,$X$107,"Training"))))))))</f>
        <v>ECOM</v>
      </c>
      <c r="N16" s="85" t="s">
        <v>71</v>
      </c>
      <c r="O16" s="72" t="str">
        <f t="shared" si="22"/>
        <v>.</v>
      </c>
      <c r="P16" s="151"/>
      <c r="Q16" s="331"/>
      <c r="U16" s="165" t="str">
        <f>Mon!U16</f>
        <v>(HEM)</v>
      </c>
      <c r="V16" s="9">
        <f t="shared" si="5"/>
        <v>0</v>
      </c>
      <c r="W16" s="36">
        <f>SUM(Mon!V16,Tue!V16,Wed!V16,Thur!V16)</f>
        <v>2</v>
      </c>
      <c r="X16" s="165" t="str">
        <f>Mon!U16</f>
        <v>(HEM)</v>
      </c>
      <c r="Y16" s="20">
        <f t="shared" si="0"/>
        <v>0</v>
      </c>
      <c r="Z16" s="21">
        <f t="shared" si="1"/>
        <v>0</v>
      </c>
      <c r="AA16" s="21">
        <f t="shared" si="2"/>
        <v>0</v>
      </c>
      <c r="AB16" s="22">
        <f t="shared" si="3"/>
        <v>0</v>
      </c>
      <c r="AC16" s="25" t="str">
        <f t="shared" si="18"/>
        <v xml:space="preserve"> </v>
      </c>
      <c r="AD16" s="26" t="str">
        <f t="shared" si="19"/>
        <v xml:space="preserve"> </v>
      </c>
      <c r="AE16" s="26" t="str">
        <f t="shared" si="20"/>
        <v xml:space="preserve"> </v>
      </c>
      <c r="AF16" s="27" t="str">
        <f t="shared" si="21"/>
        <v xml:space="preserve"> </v>
      </c>
      <c r="AG16" s="178" t="str">
        <f t="shared" si="10"/>
        <v xml:space="preserve"> </v>
      </c>
      <c r="AH16" s="177" t="str">
        <f t="shared" si="11"/>
        <v xml:space="preserve"> </v>
      </c>
      <c r="AI16" s="177" t="str">
        <f t="shared" si="12"/>
        <v xml:space="preserve"> </v>
      </c>
      <c r="AJ16" s="180" t="str">
        <f t="shared" si="13"/>
        <v xml:space="preserve"> </v>
      </c>
      <c r="AK16" s="178" t="str">
        <f t="shared" si="14"/>
        <v xml:space="preserve"> </v>
      </c>
      <c r="AL16" s="177" t="str">
        <f t="shared" si="15"/>
        <v xml:space="preserve"> </v>
      </c>
      <c r="AM16" s="177" t="str">
        <f t="shared" si="16"/>
        <v xml:space="preserve"> </v>
      </c>
      <c r="AN16" s="179" t="str">
        <f t="shared" si="17"/>
        <v xml:space="preserve"> </v>
      </c>
    </row>
    <row r="17" spans="1:40" ht="18.75" customHeight="1" thickBot="1" x14ac:dyDescent="0.4">
      <c r="A17" s="374"/>
      <c r="B17" s="367"/>
      <c r="C17" s="368"/>
      <c r="D17" s="82"/>
      <c r="E17" s="298" t="str">
        <f>IF(F17="(LK)","LE",IF(F17="(ND)","ES",IF(F17="(DT)","EBO",IF(F17="(SP)","PR",""))))</f>
        <v/>
      </c>
      <c r="F17" s="34" t="str">
        <f>IF(F16="(RT)","(LK)",IF(F16="(SR)","(ND)",IF(F16="(EC)","(DT)",IF(F16="(BB)","(SP)",""))))</f>
        <v/>
      </c>
      <c r="G17" s="298" t="str">
        <f>IF(H17="(LK)","LE",IF(H17="(ND)","ES",IF(H17="(DT)","EBO",IF(H17="(SP)","PR",""))))</f>
        <v/>
      </c>
      <c r="H17" s="34" t="str">
        <f>IF(H16="(RT)","(LK)",IF(H16="(SR)","(ND)",IF(H16="(EC)","(DT)",IF(H16="(BB)","(SP)",""))))</f>
        <v/>
      </c>
      <c r="I17" s="375"/>
      <c r="J17" s="375"/>
      <c r="K17" s="298" t="str">
        <f>IF(L17="(LK)","LE",IF(L17="(ND)","ES",IF(L17="(DT)","EBO",IF(L17="(SP)","PR",""))))</f>
        <v>EBO</v>
      </c>
      <c r="L17" s="34" t="str">
        <f>IF(L16="(RT)","(LK)",IF(L16="(SR)","(ND)",IF(L16="(EC)","(DT)",IF(L16="(BB)","(SP)",""))))</f>
        <v>(DT)</v>
      </c>
      <c r="M17" s="298" t="str">
        <f>IF(N17="(LK)","LE",IF(N17="(ND)","ES",IF(N17="(DT)","EBO",IF(N17="(SP)","PR",""))))</f>
        <v>PR</v>
      </c>
      <c r="N17" s="34" t="str">
        <f>IF(N16="(RT)","(LK)",IF(N16="(SR)","(ND)",IF(N16="(EC)","(DT)",IF(N16="(BB)","(SP)",""))))</f>
        <v>(SP)</v>
      </c>
      <c r="O17" s="72" t="str">
        <f t="shared" si="22"/>
        <v>.</v>
      </c>
      <c r="P17" s="151"/>
      <c r="Q17" s="331"/>
      <c r="U17" s="165" t="str">
        <f>Mon!U17</f>
        <v>(HK)</v>
      </c>
      <c r="V17" s="9">
        <f t="shared" si="5"/>
        <v>0</v>
      </c>
      <c r="W17" s="36">
        <f>SUM(Mon!V17,Tue!V17,Wed!V17,Thur!V17)</f>
        <v>0</v>
      </c>
      <c r="X17" s="165" t="str">
        <f>Mon!U17</f>
        <v>(HK)</v>
      </c>
      <c r="Y17" s="20">
        <f t="shared" si="0"/>
        <v>0</v>
      </c>
      <c r="Z17" s="21">
        <f t="shared" si="1"/>
        <v>0</v>
      </c>
      <c r="AA17" s="21">
        <f t="shared" si="2"/>
        <v>0</v>
      </c>
      <c r="AB17" s="22">
        <f t="shared" si="3"/>
        <v>0</v>
      </c>
      <c r="AC17" s="25" t="str">
        <f t="shared" si="18"/>
        <v xml:space="preserve"> </v>
      </c>
      <c r="AD17" s="26" t="str">
        <f t="shared" si="19"/>
        <v xml:space="preserve"> </v>
      </c>
      <c r="AE17" s="26" t="str">
        <f t="shared" si="20"/>
        <v xml:space="preserve"> </v>
      </c>
      <c r="AF17" s="27" t="str">
        <f t="shared" si="21"/>
        <v xml:space="preserve"> </v>
      </c>
      <c r="AG17" s="178" t="str">
        <f t="shared" si="10"/>
        <v xml:space="preserve"> </v>
      </c>
      <c r="AH17" s="177" t="str">
        <f t="shared" si="11"/>
        <v xml:space="preserve"> </v>
      </c>
      <c r="AI17" s="177" t="str">
        <f t="shared" si="12"/>
        <v xml:space="preserve"> </v>
      </c>
      <c r="AJ17" s="180" t="str">
        <f t="shared" si="13"/>
        <v xml:space="preserve"> </v>
      </c>
      <c r="AK17" s="178" t="str">
        <f t="shared" si="14"/>
        <v xml:space="preserve"> </v>
      </c>
      <c r="AL17" s="177" t="str">
        <f t="shared" si="15"/>
        <v xml:space="preserve"> </v>
      </c>
      <c r="AM17" s="177" t="str">
        <f t="shared" si="16"/>
        <v xml:space="preserve"> </v>
      </c>
      <c r="AN17" s="179" t="str">
        <f t="shared" si="17"/>
        <v xml:space="preserve"> </v>
      </c>
    </row>
    <row r="18" spans="1:40" ht="18.75" customHeight="1" thickBot="1" x14ac:dyDescent="0.4">
      <c r="A18" s="374"/>
      <c r="B18" s="100" t="s">
        <v>87</v>
      </c>
      <c r="C18" s="330" t="s">
        <v>41</v>
      </c>
      <c r="D18" s="82"/>
      <c r="E18" s="81" t="s">
        <v>224</v>
      </c>
      <c r="F18" s="80" t="s">
        <v>225</v>
      </c>
      <c r="G18" s="81" t="s">
        <v>96</v>
      </c>
      <c r="H18" s="80"/>
      <c r="I18" s="375"/>
      <c r="J18" s="375"/>
      <c r="K18" s="81" t="s">
        <v>203</v>
      </c>
      <c r="L18" s="80" t="s">
        <v>100</v>
      </c>
      <c r="M18" s="81" t="s">
        <v>226</v>
      </c>
      <c r="N18" s="80" t="s">
        <v>227</v>
      </c>
      <c r="O18" s="72" t="str">
        <f t="shared" si="22"/>
        <v>.</v>
      </c>
      <c r="P18" s="152"/>
      <c r="Q18" s="331"/>
      <c r="U18" s="165" t="str">
        <f>Mon!U18</f>
        <v>(JAY)</v>
      </c>
      <c r="V18" s="9">
        <f t="shared" si="5"/>
        <v>2</v>
      </c>
      <c r="W18" s="36">
        <f>SUM(Mon!V18,Tue!V18,Wed!V18,Thur!V18)</f>
        <v>12</v>
      </c>
      <c r="X18" s="165" t="str">
        <f>Mon!U18</f>
        <v>(JAY)</v>
      </c>
      <c r="Y18" s="20">
        <f t="shared" si="0"/>
        <v>0</v>
      </c>
      <c r="Z18" s="21">
        <f t="shared" si="1"/>
        <v>0</v>
      </c>
      <c r="AA18" s="21">
        <f t="shared" si="2"/>
        <v>1</v>
      </c>
      <c r="AB18" s="22">
        <f t="shared" si="3"/>
        <v>1</v>
      </c>
      <c r="AC18" s="25" t="str">
        <f t="shared" si="18"/>
        <v xml:space="preserve"> </v>
      </c>
      <c r="AD18" s="26" t="str">
        <f t="shared" si="19"/>
        <v xml:space="preserve"> </v>
      </c>
      <c r="AE18" s="26" t="str">
        <f t="shared" si="20"/>
        <v xml:space="preserve"> </v>
      </c>
      <c r="AF18" s="27" t="str">
        <f t="shared" si="21"/>
        <v xml:space="preserve"> </v>
      </c>
      <c r="AG18" s="178" t="str">
        <f t="shared" si="10"/>
        <v xml:space="preserve"> </v>
      </c>
      <c r="AH18" s="177" t="str">
        <f t="shared" si="11"/>
        <v xml:space="preserve"> </v>
      </c>
      <c r="AI18" s="177" t="str">
        <f t="shared" si="12"/>
        <v xml:space="preserve"> </v>
      </c>
      <c r="AJ18" s="180" t="str">
        <f t="shared" si="13"/>
        <v xml:space="preserve"> </v>
      </c>
      <c r="AK18" s="178" t="str">
        <f t="shared" si="14"/>
        <v xml:space="preserve"> </v>
      </c>
      <c r="AL18" s="177" t="str">
        <f t="shared" si="15"/>
        <v xml:space="preserve"> </v>
      </c>
      <c r="AM18" s="177" t="str">
        <f t="shared" si="16"/>
        <v>BM (C)</v>
      </c>
      <c r="AN18" s="179" t="str">
        <f t="shared" si="17"/>
        <v>BT (F)</v>
      </c>
    </row>
    <row r="19" spans="1:40" ht="18.75" customHeight="1" thickBot="1" x14ac:dyDescent="0.4">
      <c r="A19" s="374"/>
      <c r="B19" s="99" t="s">
        <v>87</v>
      </c>
      <c r="C19" s="18" t="s">
        <v>49</v>
      </c>
      <c r="D19" s="82"/>
      <c r="E19" s="83" t="s">
        <v>224</v>
      </c>
      <c r="F19" s="85" t="s">
        <v>225</v>
      </c>
      <c r="G19" s="81" t="s">
        <v>203</v>
      </c>
      <c r="H19" s="80" t="s">
        <v>100</v>
      </c>
      <c r="I19" s="375"/>
      <c r="J19" s="375"/>
      <c r="K19" s="81" t="s">
        <v>88</v>
      </c>
      <c r="L19" s="80" t="s">
        <v>89</v>
      </c>
      <c r="M19" s="81" t="s">
        <v>226</v>
      </c>
      <c r="N19" s="80" t="s">
        <v>227</v>
      </c>
      <c r="O19" s="124"/>
      <c r="Q19" s="331"/>
      <c r="U19" s="165" t="str">
        <f>Mon!U19</f>
        <v>(KM)</v>
      </c>
      <c r="V19" s="9">
        <f t="shared" si="5"/>
        <v>3</v>
      </c>
      <c r="W19" s="36">
        <f>SUM(Mon!V19,Tue!V19,Wed!V19,Thur!V19)</f>
        <v>13</v>
      </c>
      <c r="X19" s="165" t="str">
        <f>Mon!U19</f>
        <v>(KM)</v>
      </c>
      <c r="Y19" s="20">
        <f t="shared" si="0"/>
        <v>1</v>
      </c>
      <c r="Z19" s="21">
        <f t="shared" si="1"/>
        <v>1</v>
      </c>
      <c r="AA19" s="21">
        <f t="shared" si="2"/>
        <v>1</v>
      </c>
      <c r="AB19" s="22">
        <f t="shared" si="3"/>
        <v>0</v>
      </c>
      <c r="AC19" s="25" t="str">
        <f t="shared" si="18"/>
        <v xml:space="preserve"> </v>
      </c>
      <c r="AD19" s="26" t="str">
        <f t="shared" si="19"/>
        <v xml:space="preserve"> </v>
      </c>
      <c r="AE19" s="26" t="str">
        <f t="shared" si="20"/>
        <v>IB (B)</v>
      </c>
      <c r="AF19" s="27" t="str">
        <f t="shared" si="21"/>
        <v xml:space="preserve"> </v>
      </c>
      <c r="AG19" s="178" t="str">
        <f t="shared" si="10"/>
        <v>MM</v>
      </c>
      <c r="AH19" s="177" t="str">
        <f t="shared" si="11"/>
        <v>MM (N)</v>
      </c>
      <c r="AI19" s="177" t="str">
        <f t="shared" si="12"/>
        <v xml:space="preserve"> </v>
      </c>
      <c r="AJ19" s="180" t="str">
        <f t="shared" si="13"/>
        <v xml:space="preserve"> </v>
      </c>
      <c r="AK19" s="178" t="str">
        <f t="shared" si="14"/>
        <v xml:space="preserve"> </v>
      </c>
      <c r="AL19" s="177" t="str">
        <f t="shared" si="15"/>
        <v xml:space="preserve"> </v>
      </c>
      <c r="AM19" s="177" t="str">
        <f t="shared" si="16"/>
        <v xml:space="preserve"> </v>
      </c>
      <c r="AN19" s="179" t="str">
        <f t="shared" si="17"/>
        <v xml:space="preserve"> </v>
      </c>
    </row>
    <row r="20" spans="1:40" ht="18.75" customHeight="1" thickBot="1" x14ac:dyDescent="0.4">
      <c r="A20" s="173" t="s">
        <v>26</v>
      </c>
      <c r="B20" s="299"/>
      <c r="C20" s="94" t="s">
        <v>27</v>
      </c>
      <c r="D20" s="95" t="s">
        <v>136</v>
      </c>
      <c r="E20" s="352" t="s">
        <v>28</v>
      </c>
      <c r="F20" s="353"/>
      <c r="G20" s="354" t="s">
        <v>29</v>
      </c>
      <c r="H20" s="353"/>
      <c r="I20" s="354" t="s">
        <v>30</v>
      </c>
      <c r="J20" s="353"/>
      <c r="K20" s="354" t="s">
        <v>31</v>
      </c>
      <c r="L20" s="353"/>
      <c r="M20" s="354" t="s">
        <v>32</v>
      </c>
      <c r="N20" s="358"/>
      <c r="O20" s="124"/>
      <c r="Q20" s="331"/>
      <c r="U20" s="165" t="str">
        <f>Mon!U20</f>
        <v>(KR)</v>
      </c>
      <c r="V20" s="9">
        <f t="shared" si="5"/>
        <v>2</v>
      </c>
      <c r="W20" s="36">
        <f>SUM(Mon!V20,Tue!V20,Wed!V20,Thur!V20)</f>
        <v>10</v>
      </c>
      <c r="X20" s="165" t="str">
        <f>Mon!U20</f>
        <v>(KR)</v>
      </c>
      <c r="Y20" s="20">
        <f t="shared" si="0"/>
        <v>1</v>
      </c>
      <c r="Z20" s="21">
        <f t="shared" si="1"/>
        <v>0</v>
      </c>
      <c r="AA20" s="21">
        <f t="shared" si="2"/>
        <v>0</v>
      </c>
      <c r="AB20" s="22">
        <f t="shared" si="3"/>
        <v>1</v>
      </c>
      <c r="AC20" s="25" t="str">
        <f t="shared" si="18"/>
        <v>MA (H)</v>
      </c>
      <c r="AD20" s="26" t="str">
        <f t="shared" si="19"/>
        <v xml:space="preserve"> </v>
      </c>
      <c r="AE20" s="26" t="str">
        <f t="shared" si="20"/>
        <v xml:space="preserve"> </v>
      </c>
      <c r="AF20" s="27" t="str">
        <f t="shared" si="21"/>
        <v>MA (E)</v>
      </c>
      <c r="AG20" s="178" t="str">
        <f t="shared" si="10"/>
        <v xml:space="preserve"> </v>
      </c>
      <c r="AH20" s="177" t="str">
        <f t="shared" si="11"/>
        <v xml:space="preserve"> </v>
      </c>
      <c r="AI20" s="177" t="str">
        <f t="shared" si="12"/>
        <v xml:space="preserve"> </v>
      </c>
      <c r="AJ20" s="180" t="str">
        <f t="shared" si="13"/>
        <v xml:space="preserve"> </v>
      </c>
      <c r="AK20" s="178" t="str">
        <f t="shared" si="14"/>
        <v xml:space="preserve"> </v>
      </c>
      <c r="AL20" s="177" t="str">
        <f t="shared" si="15"/>
        <v xml:space="preserve"> </v>
      </c>
      <c r="AM20" s="177" t="str">
        <f t="shared" si="16"/>
        <v xml:space="preserve"> </v>
      </c>
      <c r="AN20" s="179" t="str">
        <f t="shared" si="17"/>
        <v xml:space="preserve"> </v>
      </c>
    </row>
    <row r="21" spans="1:40" ht="18.75" customHeight="1" thickBot="1" x14ac:dyDescent="0.4">
      <c r="A21" s="343">
        <v>3</v>
      </c>
      <c r="B21" s="100" t="str">
        <f>Mon!B21</f>
        <v>CM+OP</v>
      </c>
      <c r="C21" s="330" t="s">
        <v>41</v>
      </c>
      <c r="D21" s="98"/>
      <c r="E21" s="33" t="str">
        <f>_xlfn.XLOOKUP(F21, $A$88:$A$95, $B$88:$B$95, "Training")</f>
        <v>MM</v>
      </c>
      <c r="F21" s="34" t="s">
        <v>70</v>
      </c>
      <c r="G21" s="33" t="str">
        <f>IF(H21=$A$88,$B$88,IF(H21=$A$89,$B$89,IF(H21=$A$90,$B$90,IF(H21=$A$91,$B$91,IF(H21=$A$92,$B$92,IF(H21=$A$93,$B$93,IF(H21=$A$94,$B$94,IF(H21=$A$95,$B$95,"Training"))))))))</f>
        <v>HR</v>
      </c>
      <c r="H21" s="34" t="s">
        <v>118</v>
      </c>
      <c r="I21" s="346" t="s">
        <v>143</v>
      </c>
      <c r="J21" s="347"/>
      <c r="K21" s="33" t="str">
        <f>IF(L21=$A$88,$B$88,IF(L21=$A$89,$B$89,IF(L21=$A$90,$B$90,IF(L21=$A$91,$B$91,IF(L21=$A$92,$B$92,IF(L21=$A$93,$B$93,IF(L21=$A$94,$B$94,IF(L21=$A$95,$B$95,"Training"))))))))</f>
        <v>OP</v>
      </c>
      <c r="L21" s="34" t="s">
        <v>119</v>
      </c>
      <c r="M21" s="33" t="str">
        <f>IF(N21=$A$88,$B$88,IF(N21=$A$89,$B$89,IF(N21=$A$90,$B$90,IF(N21=$A$91,$B$91,IF(N21=$A$92,$B$92,IF(N21=$A$93,$B$93,IF(N21=$A$94,$B$94,IF(N21=$A$95,$B$95,"Training"))))))))</f>
        <v>CA</v>
      </c>
      <c r="N21" s="34" t="s">
        <v>57</v>
      </c>
      <c r="O21" s="124"/>
      <c r="Q21" s="331"/>
      <c r="U21" s="165" t="str">
        <f>Mon!U21</f>
        <v>(LK)</v>
      </c>
      <c r="V21" s="9">
        <f t="shared" si="5"/>
        <v>3</v>
      </c>
      <c r="W21" s="36">
        <f>SUM(Mon!V21,Tue!V21,Wed!V21,Thur!V21)</f>
        <v>13</v>
      </c>
      <c r="X21" s="165" t="str">
        <f>Mon!U21</f>
        <v>(LK)</v>
      </c>
      <c r="Y21" s="20">
        <f t="shared" si="0"/>
        <v>1</v>
      </c>
      <c r="Z21" s="21">
        <f t="shared" si="1"/>
        <v>0</v>
      </c>
      <c r="AA21" s="21">
        <f t="shared" si="2"/>
        <v>1</v>
      </c>
      <c r="AB21" s="22">
        <f t="shared" si="3"/>
        <v>1</v>
      </c>
      <c r="AC21" s="25" t="str">
        <f t="shared" si="18"/>
        <v>RM (K)</v>
      </c>
      <c r="AD21" s="26" t="str">
        <f t="shared" si="19"/>
        <v xml:space="preserve"> </v>
      </c>
      <c r="AE21" s="26" t="str">
        <f t="shared" si="20"/>
        <v>RM (G)</v>
      </c>
      <c r="AF21" s="27" t="str">
        <f t="shared" si="21"/>
        <v>MIP (H)</v>
      </c>
      <c r="AG21" s="178" t="str">
        <f t="shared" si="10"/>
        <v xml:space="preserve"> </v>
      </c>
      <c r="AH21" s="177" t="str">
        <f t="shared" si="11"/>
        <v xml:space="preserve"> </v>
      </c>
      <c r="AI21" s="177" t="str">
        <f t="shared" si="12"/>
        <v xml:space="preserve"> </v>
      </c>
      <c r="AJ21" s="180" t="str">
        <f t="shared" si="13"/>
        <v xml:space="preserve"> </v>
      </c>
      <c r="AK21" s="178" t="str">
        <f t="shared" si="14"/>
        <v xml:space="preserve"> </v>
      </c>
      <c r="AL21" s="177" t="str">
        <f t="shared" si="15"/>
        <v xml:space="preserve"> </v>
      </c>
      <c r="AM21" s="177" t="str">
        <f t="shared" si="16"/>
        <v xml:space="preserve"> </v>
      </c>
      <c r="AN21" s="179" t="str">
        <f t="shared" si="17"/>
        <v xml:space="preserve"> </v>
      </c>
    </row>
    <row r="22" spans="1:40" ht="18.75" customHeight="1" thickBot="1" x14ac:dyDescent="0.4">
      <c r="A22" s="344"/>
      <c r="B22" s="19" t="str">
        <f>Mon!B22</f>
        <v>CM+OP</v>
      </c>
      <c r="C22" s="98" t="s">
        <v>49</v>
      </c>
      <c r="D22" s="98"/>
      <c r="E22" s="6" t="str">
        <f>_xlfn.XLOOKUP(F22, $C$88:$C$95, $D$88:$D$95, "Training")</f>
        <v>HR</v>
      </c>
      <c r="F22" s="7" t="s">
        <v>75</v>
      </c>
      <c r="G22" s="6" t="str">
        <f>IF(H22=$C$88,$D$88,IF(H22=$C$89,$D$89,IF(H22=$C$90,$D$90,IF(H22=$C$91,$D$91,IF(H22=$C$92,$D$92,IF(H22=$C$93,$D$93,IF(H22=$C$94,$D$94,IF(H22=$C$95,$D$95,"Training"))))))))</f>
        <v>CA</v>
      </c>
      <c r="H22" s="7" t="s">
        <v>106</v>
      </c>
      <c r="I22" s="348"/>
      <c r="J22" s="349"/>
      <c r="K22" s="6" t="str">
        <f>IF(L22=$C$88,$D$88,IF(L22=$C$89,$D$89,IF(L22=$C$90,$D$90,IF(L22=$C$91,$D$91,IF(L22=$C$92,$D$92,IF(L22=$C$93,$D$93,IF(L22=$C$94,$D$94,IF(L22=$C$95,$D$95,"Training"))))))))</f>
        <v>ED</v>
      </c>
      <c r="L22" s="7" t="s">
        <v>108</v>
      </c>
      <c r="M22" s="6" t="str">
        <f>IF(N22=$C$88,$D$88,IF(N22=$C$89,$D$89,IF(N22=$C$90,$D$90,IF(N22=$C$91,$D$91,IF(N22=$C$92,$D$92,IF(N22=$C$93,$D$93,IF(N22=$C$94,$D$94,IF(N22=$C$95,$D$95,"Training"))))))))</f>
        <v>OP</v>
      </c>
      <c r="N22" s="7" t="s">
        <v>109</v>
      </c>
      <c r="O22" s="124"/>
      <c r="Q22" s="331"/>
      <c r="U22" s="165" t="str">
        <f>Mon!U22</f>
        <v>(LV)</v>
      </c>
      <c r="V22" s="9">
        <f t="shared" si="5"/>
        <v>3</v>
      </c>
      <c r="W22" s="36">
        <f>SUM(Mon!V22,Tue!V22,Wed!V22,Thur!V22)</f>
        <v>12</v>
      </c>
      <c r="X22" s="165" t="str">
        <f>Mon!U22</f>
        <v>(LV)</v>
      </c>
      <c r="Y22" s="20">
        <f t="shared" si="0"/>
        <v>1</v>
      </c>
      <c r="Z22" s="21">
        <f t="shared" si="1"/>
        <v>0</v>
      </c>
      <c r="AA22" s="21">
        <f t="shared" si="2"/>
        <v>1</v>
      </c>
      <c r="AB22" s="22">
        <f t="shared" si="3"/>
        <v>1</v>
      </c>
      <c r="AC22" s="25" t="str">
        <f t="shared" si="18"/>
        <v xml:space="preserve"> </v>
      </c>
      <c r="AD22" s="26" t="str">
        <f t="shared" si="19"/>
        <v xml:space="preserve"> </v>
      </c>
      <c r="AE22" s="26" t="str">
        <f t="shared" si="20"/>
        <v xml:space="preserve"> </v>
      </c>
      <c r="AF22" s="27" t="str">
        <f t="shared" si="21"/>
        <v xml:space="preserve"> </v>
      </c>
      <c r="AG22" s="178" t="str">
        <f t="shared" si="10"/>
        <v>ED (J)</v>
      </c>
      <c r="AH22" s="177" t="str">
        <f t="shared" si="11"/>
        <v xml:space="preserve"> </v>
      </c>
      <c r="AI22" s="177" t="str">
        <f t="shared" si="12"/>
        <v>ED (B)</v>
      </c>
      <c r="AJ22" s="180" t="str">
        <f t="shared" si="13"/>
        <v>ED (M)</v>
      </c>
      <c r="AK22" s="178" t="str">
        <f t="shared" si="14"/>
        <v xml:space="preserve"> </v>
      </c>
      <c r="AL22" s="177" t="str">
        <f t="shared" si="15"/>
        <v xml:space="preserve"> </v>
      </c>
      <c r="AM22" s="177" t="str">
        <f t="shared" si="16"/>
        <v xml:space="preserve"> </v>
      </c>
      <c r="AN22" s="179" t="str">
        <f t="shared" si="17"/>
        <v xml:space="preserve"> </v>
      </c>
    </row>
    <row r="23" spans="1:40" ht="18.75" customHeight="1" thickBot="1" x14ac:dyDescent="0.4">
      <c r="A23" s="344"/>
      <c r="B23" s="19" t="str">
        <f>Mon!B23</f>
        <v>CM+OP</v>
      </c>
      <c r="C23" s="98" t="s">
        <v>55</v>
      </c>
      <c r="D23" s="98"/>
      <c r="E23" s="6" t="str">
        <f>_xlfn.XLOOKUP(F23, $E$88:$E$95, $F$88:$F$95, "Training")</f>
        <v>HR</v>
      </c>
      <c r="F23" s="7" t="s">
        <v>61</v>
      </c>
      <c r="G23" s="6" t="str">
        <f>IF(H23=$E$88,$F$88,IF(H23=$E$89,$F$89,IF(H23=$E$90,$F$90,IF(H23=$E$91,$F$91,IF(H23=$E$92,$F$92,IF(H23=$E$93,$F$93,IF(H23=$E$94,$F$94,IF(H23=$E$95,$F$95,"Training"))))))))</f>
        <v>CA</v>
      </c>
      <c r="H23" s="7" t="s">
        <v>110</v>
      </c>
      <c r="I23" s="348"/>
      <c r="J23" s="349"/>
      <c r="K23" s="6" t="str">
        <f>IF(L23=$E$88,$F$88,IF(L23=$E$89,$F$89,IF(L23=$E$90,$F$90,IF(L23=$E$91,$F$91,IF(L23=$E$92,$F$92,IF(L23=$E$93,$F$93,IF(L23=$E$94,$F$94,IF(L23=$E$95,$F$95,"Training"))))))))</f>
        <v>ED</v>
      </c>
      <c r="L23" s="7" t="s">
        <v>53</v>
      </c>
      <c r="M23" s="6" t="str">
        <f>IF(N23=$E$88,$F$88,IF(N23=$E$89,$F$89,IF(N23=$E$90,$F$90,IF(N23=$E$91,$F$91,IF(N23=$E$92,$F$92,IF(N23=$E$93,$F$93,IF(N23=$E$94,$F$94,IF(N23=$E$95,$F$95,"Training"))))))))</f>
        <v>EVS</v>
      </c>
      <c r="N23" s="7" t="s">
        <v>54</v>
      </c>
      <c r="O23" s="124"/>
      <c r="Q23" s="331"/>
      <c r="U23" s="165" t="str">
        <f>Mon!U23</f>
        <v>(MB)</v>
      </c>
      <c r="V23" s="9">
        <f t="shared" si="5"/>
        <v>3</v>
      </c>
      <c r="W23" s="36">
        <f>SUM(Mon!V23,Tue!V23,Wed!V23,Thur!V23)</f>
        <v>12</v>
      </c>
      <c r="X23" s="165" t="str">
        <f>Mon!U23</f>
        <v>(MB)</v>
      </c>
      <c r="Y23" s="20">
        <f t="shared" si="0"/>
        <v>0</v>
      </c>
      <c r="Z23" s="21">
        <f t="shared" si="1"/>
        <v>1</v>
      </c>
      <c r="AA23" s="21">
        <f t="shared" si="2"/>
        <v>1</v>
      </c>
      <c r="AB23" s="22">
        <f t="shared" si="3"/>
        <v>1</v>
      </c>
      <c r="AC23" s="25" t="str">
        <f t="shared" si="18"/>
        <v xml:space="preserve"> </v>
      </c>
      <c r="AD23" s="26" t="str">
        <f t="shared" si="19"/>
        <v xml:space="preserve"> </v>
      </c>
      <c r="AE23" s="26" t="str">
        <f t="shared" si="20"/>
        <v xml:space="preserve"> </v>
      </c>
      <c r="AF23" s="27" t="str">
        <f t="shared" si="21"/>
        <v xml:space="preserve"> </v>
      </c>
      <c r="AG23" s="178" t="str">
        <f t="shared" si="10"/>
        <v xml:space="preserve"> </v>
      </c>
      <c r="AH23" s="177" t="str">
        <f t="shared" si="11"/>
        <v>EVS (G)</v>
      </c>
      <c r="AI23" s="177" t="str">
        <f t="shared" si="12"/>
        <v>CP (H)</v>
      </c>
      <c r="AJ23" s="180" t="str">
        <f t="shared" si="13"/>
        <v>EVS (N)</v>
      </c>
      <c r="AK23" s="178" t="str">
        <f t="shared" si="14"/>
        <v xml:space="preserve"> </v>
      </c>
      <c r="AL23" s="177" t="str">
        <f t="shared" si="15"/>
        <v xml:space="preserve"> </v>
      </c>
      <c r="AM23" s="177" t="str">
        <f t="shared" si="16"/>
        <v xml:space="preserve"> </v>
      </c>
      <c r="AN23" s="179" t="str">
        <f t="shared" si="17"/>
        <v xml:space="preserve"> </v>
      </c>
    </row>
    <row r="24" spans="1:40" ht="18.75" customHeight="1" thickBot="1" x14ac:dyDescent="0.4">
      <c r="A24" s="344"/>
      <c r="B24" s="19" t="str">
        <f>Mon!B24</f>
        <v>CM+OP</v>
      </c>
      <c r="C24" s="98" t="s">
        <v>37</v>
      </c>
      <c r="D24" s="98"/>
      <c r="E24" s="6" t="str">
        <f>_xlfn.XLOOKUP(F24, $G$88:$G$95, $H$88:$H$95, "Training")</f>
        <v>ED</v>
      </c>
      <c r="F24" s="5" t="s">
        <v>111</v>
      </c>
      <c r="G24" s="6" t="str">
        <f>IF(H24=$G$88,$H$88,IF(H24=$G$89,$H$89,IF(H24=$G$90,$H$90,IF(H24=$G$91,$H$91,IF(H24=$G$92,$H$92,IF(H24=$G$93,$H$93,IF(H24=$G$94,$H$94,IF(H24=$G$95,$H$95,"Training"))))))))</f>
        <v>HR</v>
      </c>
      <c r="H24" s="5" t="s">
        <v>104</v>
      </c>
      <c r="I24" s="348"/>
      <c r="J24" s="349"/>
      <c r="K24" s="6" t="str">
        <f>IF(L24=$G$88,$H$88,IF(L24=$G$89,$H$89,IF(L24=$G$90,$H$90,IF(L24=$G$91,$H$91,IF(L24=$G$92,$H$92,IF(L24=$G$93,$H$93,IF(L24=$G$94,$H$94,IF(L24=$G$95,$H$95,"Training"))))))))</f>
        <v>MM</v>
      </c>
      <c r="L24" s="5" t="s">
        <v>107</v>
      </c>
      <c r="M24" s="6" t="str">
        <f>IF(N24=$G$88,$H$88,IF(N24=$G$89,$H$89,IF(N24=$G$90,$H$90,IF(N24=$G$91,$H$91,IF(N24=$G$92,$H$92,IF(N24=$G$93,$H$93,IF(N24=$G$94,$H$94,IF(N24=$G$95,$H$95,"Training"))))))))</f>
        <v>EVS</v>
      </c>
      <c r="N24" s="5" t="s">
        <v>113</v>
      </c>
      <c r="O24" s="124"/>
      <c r="Q24" s="331"/>
      <c r="U24" s="165" t="str">
        <f>Mon!U24</f>
        <v>(MEG)</v>
      </c>
      <c r="V24" s="9">
        <f t="shared" si="5"/>
        <v>3</v>
      </c>
      <c r="W24" s="36">
        <f>SUM(Mon!V24,Tue!V24,Wed!V24,Thur!V24)</f>
        <v>11</v>
      </c>
      <c r="X24" s="165" t="str">
        <f>Mon!U24</f>
        <v>(MEG)</v>
      </c>
      <c r="Y24" s="20">
        <f t="shared" si="0"/>
        <v>0</v>
      </c>
      <c r="Z24" s="21">
        <f t="shared" si="1"/>
        <v>1</v>
      </c>
      <c r="AA24" s="21">
        <f t="shared" si="2"/>
        <v>1</v>
      </c>
      <c r="AB24" s="22">
        <f t="shared" si="3"/>
        <v>1</v>
      </c>
      <c r="AC24" s="25" t="str">
        <f t="shared" si="18"/>
        <v xml:space="preserve"> </v>
      </c>
      <c r="AD24" s="26" t="str">
        <f t="shared" si="19"/>
        <v>MA (J)</v>
      </c>
      <c r="AE24" s="26" t="str">
        <f t="shared" si="20"/>
        <v>MA (D)</v>
      </c>
      <c r="AF24" s="27" t="str">
        <f t="shared" si="21"/>
        <v xml:space="preserve"> </v>
      </c>
      <c r="AG24" s="178" t="str">
        <f t="shared" si="10"/>
        <v xml:space="preserve"> </v>
      </c>
      <c r="AH24" s="177" t="str">
        <f t="shared" si="11"/>
        <v xml:space="preserve"> </v>
      </c>
      <c r="AI24" s="177" t="str">
        <f t="shared" si="12"/>
        <v xml:space="preserve"> </v>
      </c>
      <c r="AJ24" s="180" t="str">
        <f t="shared" si="13"/>
        <v>CA (L)</v>
      </c>
      <c r="AK24" s="178" t="str">
        <f t="shared" si="14"/>
        <v xml:space="preserve"> </v>
      </c>
      <c r="AL24" s="177" t="str">
        <f t="shared" si="15"/>
        <v xml:space="preserve"> </v>
      </c>
      <c r="AM24" s="177" t="str">
        <f t="shared" si="16"/>
        <v xml:space="preserve"> </v>
      </c>
      <c r="AN24" s="179" t="str">
        <f t="shared" si="17"/>
        <v xml:space="preserve"> </v>
      </c>
    </row>
    <row r="25" spans="1:40" ht="18.75" customHeight="1" thickBot="1" x14ac:dyDescent="0.4">
      <c r="A25" s="344"/>
      <c r="B25" s="19" t="str">
        <f>Mon!B25</f>
        <v>CM+OP</v>
      </c>
      <c r="C25" s="98" t="s">
        <v>38</v>
      </c>
      <c r="D25" s="98"/>
      <c r="E25" s="6" t="str">
        <f>_xlfn.XLOOKUP(F25, $I$88:$I$95, $J$88:$J$95, "Training")</f>
        <v>HR</v>
      </c>
      <c r="F25" s="5" t="s">
        <v>104</v>
      </c>
      <c r="G25" s="6" t="str">
        <f>IF(H25=$I$88,$J$88,IF(H25=$I$89,$J$89,IF(H25=$I$90,$J$90,IF(H25=$I$91,$J$91,IF(H25=$I$92,$J$92,IF(H25=$I$93,$J$93,IF(H25=$I$94,$J$94,IF(H25=$I$95,$J$95,"Training"))))))))</f>
        <v>OP</v>
      </c>
      <c r="H25" s="5" t="s">
        <v>114</v>
      </c>
      <c r="I25" s="348"/>
      <c r="J25" s="349"/>
      <c r="K25" s="6" t="str">
        <f>IF(L25=$I$88,$J$88,IF(L25=$I$89,$J$89,IF(L25=$I$90,$J$90,IF(L25=$I$91,$J$91,IF(L25=$I$92,$J$92,IF(L25=$I$93,$J$93,IF(L25=$I$94,$J$94,IF(L25=$I$95,$J$95,"Training"))))))))</f>
        <v>CA</v>
      </c>
      <c r="L25" s="5" t="s">
        <v>112</v>
      </c>
      <c r="M25" s="6" t="str">
        <f>IF(N25=$I$88,$J$88,IF(N25=$I$89,$J$89,IF(N25=$I$90,$J$90,IF(N25=$I$91,$J$91,IF(N25=$I$92,$J$92,IF(N25=$I$93,$J$93,IF(N25=$I$94,$J$94,IF(N25=$I$95,$J$95,"Training"))))))))</f>
        <v>EVS</v>
      </c>
      <c r="N25" s="5" t="s">
        <v>111</v>
      </c>
      <c r="O25" s="124"/>
      <c r="Q25" s="331"/>
      <c r="U25" s="165" t="str">
        <f>Mon!U25</f>
        <v>(MH)</v>
      </c>
      <c r="V25" s="9">
        <f t="shared" si="5"/>
        <v>4</v>
      </c>
      <c r="W25" s="36">
        <f>SUM(Mon!V25,Tue!V25,Wed!V25,Thur!V25)</f>
        <v>13</v>
      </c>
      <c r="X25" s="165" t="str">
        <f>Mon!U25</f>
        <v>(MH)</v>
      </c>
      <c r="Y25" s="20">
        <f t="shared" si="0"/>
        <v>1</v>
      </c>
      <c r="Z25" s="21">
        <f t="shared" si="1"/>
        <v>1</v>
      </c>
      <c r="AA25" s="21">
        <f t="shared" si="2"/>
        <v>1</v>
      </c>
      <c r="AB25" s="22">
        <f t="shared" si="3"/>
        <v>1</v>
      </c>
      <c r="AC25" s="25" t="str">
        <f t="shared" si="18"/>
        <v xml:space="preserve"> </v>
      </c>
      <c r="AD25" s="26" t="str">
        <f t="shared" si="19"/>
        <v xml:space="preserve"> </v>
      </c>
      <c r="AE25" s="26" t="str">
        <f t="shared" si="20"/>
        <v xml:space="preserve"> </v>
      </c>
      <c r="AF25" s="27" t="str">
        <f t="shared" si="21"/>
        <v xml:space="preserve"> </v>
      </c>
      <c r="AG25" s="178" t="str">
        <f t="shared" si="10"/>
        <v>SP (F)</v>
      </c>
      <c r="AH25" s="177" t="str">
        <f t="shared" si="11"/>
        <v>SP (H)</v>
      </c>
      <c r="AI25" s="177" t="str">
        <f t="shared" si="12"/>
        <v>SP (N)</v>
      </c>
      <c r="AJ25" s="180" t="str">
        <f t="shared" si="13"/>
        <v>EVS (D)</v>
      </c>
      <c r="AK25" s="178" t="str">
        <f t="shared" si="14"/>
        <v xml:space="preserve"> </v>
      </c>
      <c r="AL25" s="177" t="str">
        <f t="shared" si="15"/>
        <v xml:space="preserve"> </v>
      </c>
      <c r="AM25" s="177" t="str">
        <f t="shared" si="16"/>
        <v xml:space="preserve"> </v>
      </c>
      <c r="AN25" s="179" t="str">
        <f t="shared" si="17"/>
        <v xml:space="preserve"> </v>
      </c>
    </row>
    <row r="26" spans="1:40" ht="18.75" customHeight="1" thickBot="1" x14ac:dyDescent="0.4">
      <c r="A26" s="344"/>
      <c r="B26" s="19" t="str">
        <f>Mon!B26</f>
        <v>CM+OP</v>
      </c>
      <c r="C26" s="98" t="s">
        <v>65</v>
      </c>
      <c r="D26" s="98"/>
      <c r="E26" s="6" t="str">
        <f>_xlfn.XLOOKUP(F26, $K$88:$K$95, $L$88:$L$95, "Training")</f>
        <v>SP</v>
      </c>
      <c r="F26" s="5" t="s">
        <v>113</v>
      </c>
      <c r="G26" s="6" t="str">
        <f>IF(H26=$K$88,$L$88,IF(H26=$K$89,$L$89,IF(H26=$K$90,$L$90,IF(H26=$K$91,$L$91,IF(H26=$K$92,$L$92,IF(H26=$K$93,$L$93,IF(H26=$K$94,$L$94,IF(H26=$K$95,$L$95,"Training"))))))))</f>
        <v>CM</v>
      </c>
      <c r="H26" s="5" t="s">
        <v>107</v>
      </c>
      <c r="I26" s="348"/>
      <c r="J26" s="349"/>
      <c r="K26" s="6" t="str">
        <f>IF(L26=$K$88,$L$88,IF(L26=$K$89,$L$89,IF(L26=$K$90,$L$90,IF(L26=$K$91,$L$91,IF(L26=$K$92,$L$92,IF(L26=$K$93,$L$93,IF(L26=$K$94,$L$94,IF(L26=$K$95,$L$95,"Training"))))))))</f>
        <v>CA</v>
      </c>
      <c r="L26" s="5" t="s">
        <v>110</v>
      </c>
      <c r="M26" s="6" t="str">
        <f>IF(N26=$K$88,$L$88,IF(N26=$K$89,$L$89,IF(N26=$K$90,$L$90,IF(N26=$K$91,$L$91,IF(N26=$K$92,$L$92,IF(N26=$K$93,$L$93,IF(N26=$K$94,$L$94,IF(N26=$K$95,$L$95,"Training"))))))))</f>
        <v>ED</v>
      </c>
      <c r="N26" s="5" t="s">
        <v>103</v>
      </c>
      <c r="O26" s="124"/>
      <c r="Q26" s="331"/>
      <c r="R26" s="29"/>
      <c r="U26" s="165" t="str">
        <f>Mon!U26</f>
        <v>(MK)</v>
      </c>
      <c r="V26" s="9">
        <f t="shared" si="5"/>
        <v>2</v>
      </c>
      <c r="W26" s="36">
        <f>SUM(Mon!V26,Tue!V26,Wed!V26,Thur!V26)</f>
        <v>13</v>
      </c>
      <c r="X26" s="165" t="str">
        <f>Mon!U26</f>
        <v>(MK)</v>
      </c>
      <c r="Y26" s="20">
        <f t="shared" si="0"/>
        <v>0</v>
      </c>
      <c r="Z26" s="21">
        <f t="shared" si="1"/>
        <v>0</v>
      </c>
      <c r="AA26" s="21">
        <f t="shared" si="2"/>
        <v>1</v>
      </c>
      <c r="AB26" s="22">
        <f t="shared" si="3"/>
        <v>1</v>
      </c>
      <c r="AC26" s="25" t="str">
        <f t="shared" si="18"/>
        <v xml:space="preserve"> </v>
      </c>
      <c r="AD26" s="26" t="str">
        <f t="shared" si="19"/>
        <v xml:space="preserve"> </v>
      </c>
      <c r="AE26" s="26" t="str">
        <f t="shared" si="20"/>
        <v xml:space="preserve"> </v>
      </c>
      <c r="AF26" s="27" t="str">
        <f t="shared" si="21"/>
        <v xml:space="preserve"> </v>
      </c>
      <c r="AG26" s="178" t="str">
        <f t="shared" si="10"/>
        <v xml:space="preserve"> </v>
      </c>
      <c r="AH26" s="177" t="str">
        <f t="shared" si="11"/>
        <v xml:space="preserve"> </v>
      </c>
      <c r="AI26" s="177" t="str">
        <f t="shared" si="12"/>
        <v xml:space="preserve"> </v>
      </c>
      <c r="AJ26" s="180" t="str">
        <f t="shared" si="13"/>
        <v xml:space="preserve"> </v>
      </c>
      <c r="AK26" s="178" t="str">
        <f t="shared" si="14"/>
        <v xml:space="preserve"> </v>
      </c>
      <c r="AL26" s="177" t="str">
        <f t="shared" si="15"/>
        <v xml:space="preserve"> </v>
      </c>
      <c r="AM26" s="177" t="str">
        <f t="shared" si="16"/>
        <v>FA (K)</v>
      </c>
      <c r="AN26" s="179" t="str">
        <f t="shared" si="17"/>
        <v>FA (N)</v>
      </c>
    </row>
    <row r="27" spans="1:40" ht="18.75" customHeight="1" thickBot="1" x14ac:dyDescent="0.4">
      <c r="A27" s="344"/>
      <c r="B27" s="19" t="str">
        <f>Mon!B27</f>
        <v>OP/CM/CP</v>
      </c>
      <c r="C27" s="98" t="s">
        <v>69</v>
      </c>
      <c r="D27" s="98"/>
      <c r="E27" s="6" t="str">
        <f>_xlfn.XLOOKUP(F27, $M$88:$M$95, $N$88:$N$95, "Training")</f>
        <v>OP</v>
      </c>
      <c r="F27" s="5" t="s">
        <v>109</v>
      </c>
      <c r="G27" s="6" t="str">
        <f>IF(H27=$M$88,$N$88,IF(H27=$M$89,$N$89,IF(H27=$M$90,$N$90,IF(H27=$M$91,$N$91,IF(H27=$M$92,$N$92,IF(H27=$M$93,$N$93,IF(H27=$M$94,$N$94,IF(H27=$M$95,$N$95,"Training"))))))))</f>
        <v>EVS</v>
      </c>
      <c r="H27" s="5" t="s">
        <v>105</v>
      </c>
      <c r="I27" s="348"/>
      <c r="J27" s="349"/>
      <c r="K27" s="6" t="str">
        <f>IF(L27=$M$88,$N$88,IF(L27=$M$89,$N$89,IF(L27=$M$90,$N$90,IF(L27=$M$91,$N$91,IF(L27=$M$92,$N$92,IF(L27=$M$93,$N$93,IF(L27=$M$94,$N$94,IF(L27=$M$95,$N$95,"Training"))))))))</f>
        <v>ED</v>
      </c>
      <c r="L27" s="5" t="s">
        <v>111</v>
      </c>
      <c r="M27" s="6" t="str">
        <f>IF(N27=$M$88,$N$88,IF(N27=$M$89,$N$89,IF(N27=$M$90,$N$90,IF(N27=$M$91,$N$91,IF(N27=$M$92,$N$92,IF(N27=$M$93,$N$93,IF(N27=$M$94,$N$94,IF(N27=$M$95,$N$95,"Training"))))))))</f>
        <v>HR</v>
      </c>
      <c r="N27" s="5" t="s">
        <v>61</v>
      </c>
      <c r="O27" s="124"/>
      <c r="Q27" s="331"/>
      <c r="U27" s="165" t="str">
        <f>Mon!U27</f>
        <v>(MS)</v>
      </c>
      <c r="V27" s="9">
        <f t="shared" si="5"/>
        <v>4</v>
      </c>
      <c r="W27" s="36">
        <f>SUM(Mon!V27,Tue!V27,Wed!V27,Thur!V27)</f>
        <v>12</v>
      </c>
      <c r="X27" s="165" t="str">
        <f>Mon!U27</f>
        <v>(MS)</v>
      </c>
      <c r="Y27" s="20">
        <f t="shared" si="0"/>
        <v>1</v>
      </c>
      <c r="Z27" s="21">
        <f t="shared" si="1"/>
        <v>1</v>
      </c>
      <c r="AA27" s="21">
        <f t="shared" si="2"/>
        <v>1</v>
      </c>
      <c r="AB27" s="22">
        <f t="shared" si="3"/>
        <v>1</v>
      </c>
      <c r="AC27" s="25" t="str">
        <f t="shared" si="18"/>
        <v>AA (F)</v>
      </c>
      <c r="AD27" s="26" t="str">
        <f t="shared" si="19"/>
        <v>AA (C)</v>
      </c>
      <c r="AE27" s="26" t="str">
        <f t="shared" si="20"/>
        <v xml:space="preserve"> </v>
      </c>
      <c r="AF27" s="27" t="str">
        <f t="shared" si="21"/>
        <v xml:space="preserve"> </v>
      </c>
      <c r="AG27" s="178" t="str">
        <f t="shared" si="10"/>
        <v xml:space="preserve"> </v>
      </c>
      <c r="AH27" s="177" t="str">
        <f t="shared" si="11"/>
        <v xml:space="preserve"> </v>
      </c>
      <c r="AI27" s="177" t="str">
        <f t="shared" si="12"/>
        <v>ED (C)</v>
      </c>
      <c r="AJ27" s="180" t="str">
        <f t="shared" si="13"/>
        <v>ED (I)</v>
      </c>
      <c r="AK27" s="178" t="str">
        <f t="shared" si="14"/>
        <v xml:space="preserve"> </v>
      </c>
      <c r="AL27" s="177" t="str">
        <f t="shared" si="15"/>
        <v xml:space="preserve"> </v>
      </c>
      <c r="AM27" s="177" t="str">
        <f t="shared" si="16"/>
        <v xml:space="preserve"> </v>
      </c>
      <c r="AN27" s="179" t="str">
        <f t="shared" si="17"/>
        <v xml:space="preserve"> </v>
      </c>
    </row>
    <row r="28" spans="1:40" ht="18.75" customHeight="1" thickBot="1" x14ac:dyDescent="0.4">
      <c r="A28" s="344"/>
      <c r="B28" s="19" t="str">
        <f>Mon!B28</f>
        <v>CP+OP</v>
      </c>
      <c r="C28" s="98" t="s">
        <v>72</v>
      </c>
      <c r="D28" s="98"/>
      <c r="E28" s="6" t="str">
        <f>_xlfn.XLOOKUP(F28, $O$88:$O$95, $P$88:$P$95, "Training")</f>
        <v>EVS</v>
      </c>
      <c r="F28" s="5" t="s">
        <v>160</v>
      </c>
      <c r="G28" s="6" t="str">
        <f>IF(H28=$O$88,$P$88,IF(H28=$O$89,$P$89,IF(H28=$O$90,$P$90,IF(H28=$O$91,$P$91,IF(H28=$O$92,$P$92,IF(H28=$O$93,$P$93,IF(H28=$O$94,$P$94,IF(H28=$O$95,$P$95,"Training"))))))))</f>
        <v>SP</v>
      </c>
      <c r="H28" s="5" t="s">
        <v>113</v>
      </c>
      <c r="I28" s="348"/>
      <c r="J28" s="349"/>
      <c r="K28" s="6" t="str">
        <f>IF(L28=$O$88,$P$88,IF(L28=$O$89,$P$89,IF(L28=$O$90,$P$90,IF(L28=$O$91,$P$91,IF(L28=$O$92,$P$92,IF(L28=$O$93,$P$93,IF(L28=$O$94,$P$94,IF(L28=$O$95,$P$95,"Training"))))))))</f>
        <v>CP</v>
      </c>
      <c r="L28" s="5" t="s">
        <v>105</v>
      </c>
      <c r="M28" s="6" t="str">
        <f>IF(N28=$O$88,$P$88,IF(N28=$O$89,$P$89,IF(N28=$O$90,$P$90,IF(N28=$O$91,$P$91,IF(N28=$O$92,$P$92,IF(N28=$O$93,$P$93,IF(N28=$O$94,$P$94,IF(N28=$O$95,$P$95,"Training"))))))))</f>
        <v>CA</v>
      </c>
      <c r="N28" s="5" t="s">
        <v>112</v>
      </c>
      <c r="O28" s="124"/>
      <c r="Q28" s="331"/>
      <c r="U28" s="165" t="str">
        <f>Mon!U28</f>
        <v>(ND)</v>
      </c>
      <c r="V28" s="9">
        <f t="shared" si="5"/>
        <v>3</v>
      </c>
      <c r="W28" s="36">
        <f>SUM(Mon!V28,Tue!V28,Wed!V28,Thur!V28)</f>
        <v>12</v>
      </c>
      <c r="X28" s="165" t="str">
        <f>Mon!U28</f>
        <v>(ND)</v>
      </c>
      <c r="Y28" s="20">
        <f t="shared" si="0"/>
        <v>0</v>
      </c>
      <c r="Z28" s="21">
        <f t="shared" si="1"/>
        <v>1</v>
      </c>
      <c r="AA28" s="21">
        <f t="shared" si="2"/>
        <v>1</v>
      </c>
      <c r="AB28" s="22">
        <f t="shared" si="3"/>
        <v>1</v>
      </c>
      <c r="AC28" s="25" t="str">
        <f t="shared" si="18"/>
        <v xml:space="preserve"> </v>
      </c>
      <c r="AD28" s="26" t="str">
        <f t="shared" si="19"/>
        <v xml:space="preserve"> </v>
      </c>
      <c r="AE28" s="26" t="str">
        <f t="shared" si="20"/>
        <v xml:space="preserve"> </v>
      </c>
      <c r="AF28" s="27" t="str">
        <f t="shared" si="21"/>
        <v xml:space="preserve"> </v>
      </c>
      <c r="AG28" s="178" t="str">
        <f t="shared" si="10"/>
        <v xml:space="preserve"> </v>
      </c>
      <c r="AH28" s="177" t="str">
        <f t="shared" si="11"/>
        <v>OP (K)</v>
      </c>
      <c r="AI28" s="177" t="str">
        <f t="shared" si="12"/>
        <v>OP (A)</v>
      </c>
      <c r="AJ28" s="180" t="str">
        <f t="shared" si="13"/>
        <v>OP (J)</v>
      </c>
      <c r="AK28" s="178" t="str">
        <f t="shared" si="14"/>
        <v xml:space="preserve"> </v>
      </c>
      <c r="AL28" s="177" t="str">
        <f t="shared" si="15"/>
        <v xml:space="preserve"> </v>
      </c>
      <c r="AM28" s="177" t="str">
        <f t="shared" si="16"/>
        <v xml:space="preserve"> </v>
      </c>
      <c r="AN28" s="179" t="str">
        <f t="shared" si="17"/>
        <v xml:space="preserve"> </v>
      </c>
    </row>
    <row r="29" spans="1:40" ht="18.75" customHeight="1" thickBot="1" x14ac:dyDescent="0.4">
      <c r="A29" s="344"/>
      <c r="B29" s="19" t="str">
        <f>Mon!B29</f>
        <v>CP+OP</v>
      </c>
      <c r="C29" s="98" t="s">
        <v>76</v>
      </c>
      <c r="D29" s="98"/>
      <c r="E29" s="6" t="str">
        <f>_xlfn.XLOOKUP(F29, $Q$88:$Q$95, $R$88:$R$95, "Training")</f>
        <v>MM</v>
      </c>
      <c r="F29" s="5" t="s">
        <v>107</v>
      </c>
      <c r="G29" s="6" t="str">
        <f>IF(H29=$Q$88,$R$88,IF(H29=$Q$89,$R$89,IF(H29=$Q$90,$R$90,IF(H29=$Q$91,$R$91,IF(H29=$Q$92,$R$92,IF(H29=$Q$93,$R$93,IF(H29=$Q$94,$R$94,IF(H29=$Q$95,$R$95,"Training"))))))))</f>
        <v>OP</v>
      </c>
      <c r="H29" s="5" t="s">
        <v>109</v>
      </c>
      <c r="I29" s="348"/>
      <c r="J29" s="349"/>
      <c r="K29" s="6" t="str">
        <f>IF(L29=$Q$88,$R$88,IF(L29=$Q$89,$R$89,IF(L29=$Q$90,$R$90,IF(L29=$Q$91,$R$91,IF(L29=$Q$92,$R$92,IF(L29=$Q$93,$R$93,IF(L29=$Q$94,$R$94,IF(L29=$Q$95,$R$95,"Training"))))))))</f>
        <v>EVS</v>
      </c>
      <c r="L29" s="5" t="s">
        <v>160</v>
      </c>
      <c r="M29" s="6" t="str">
        <f>IF(N29=$Q$88,$R$88,IF(N29=$Q$89,$R$89,IF(N29=$Q$90,$R$90,IF(N29=$Q$91,$R$91,IF(N29=$Q$92,$R$92,IF(N29=$Q$93,$R$93,IF(N29=$Q$94,$R$94,IF(N29=$Q$95,$R$95,"Training"))))))))</f>
        <v>ED</v>
      </c>
      <c r="N29" s="5" t="s">
        <v>53</v>
      </c>
      <c r="O29" s="124"/>
      <c r="Q29" s="331"/>
      <c r="U29" s="165" t="str">
        <f>Mon!U29</f>
        <v>(NG)</v>
      </c>
      <c r="V29" s="9">
        <f t="shared" si="5"/>
        <v>3</v>
      </c>
      <c r="W29" s="36">
        <f>SUM(Mon!V29,Tue!V29,Wed!V29,Thur!V29)</f>
        <v>13</v>
      </c>
      <c r="X29" s="165" t="str">
        <f>Mon!U29</f>
        <v>(NG)</v>
      </c>
      <c r="Y29" s="20">
        <f t="shared" si="0"/>
        <v>1</v>
      </c>
      <c r="Z29" s="21">
        <f t="shared" si="1"/>
        <v>0</v>
      </c>
      <c r="AA29" s="21">
        <f t="shared" si="2"/>
        <v>1</v>
      </c>
      <c r="AB29" s="22">
        <f t="shared" si="3"/>
        <v>1</v>
      </c>
      <c r="AC29" s="25" t="str">
        <f t="shared" si="18"/>
        <v>MA (I)</v>
      </c>
      <c r="AD29" s="26" t="str">
        <f t="shared" si="19"/>
        <v xml:space="preserve"> </v>
      </c>
      <c r="AE29" s="26" t="str">
        <f t="shared" si="20"/>
        <v>FMS (C)</v>
      </c>
      <c r="AF29" s="27" t="str">
        <f t="shared" si="21"/>
        <v>MA (G)</v>
      </c>
      <c r="AG29" s="178" t="str">
        <f t="shared" si="10"/>
        <v xml:space="preserve"> </v>
      </c>
      <c r="AH29" s="177" t="str">
        <f t="shared" si="11"/>
        <v xml:space="preserve"> </v>
      </c>
      <c r="AI29" s="177" t="str">
        <f t="shared" si="12"/>
        <v xml:space="preserve"> </v>
      </c>
      <c r="AJ29" s="180" t="str">
        <f t="shared" si="13"/>
        <v xml:space="preserve"> </v>
      </c>
      <c r="AK29" s="178" t="str">
        <f t="shared" si="14"/>
        <v xml:space="preserve"> </v>
      </c>
      <c r="AL29" s="177" t="str">
        <f t="shared" si="15"/>
        <v xml:space="preserve"> </v>
      </c>
      <c r="AM29" s="177" t="str">
        <f t="shared" si="16"/>
        <v xml:space="preserve"> </v>
      </c>
      <c r="AN29" s="179" t="str">
        <f t="shared" si="17"/>
        <v xml:space="preserve"> </v>
      </c>
    </row>
    <row r="30" spans="1:40" ht="18.75" customHeight="1" thickBot="1" x14ac:dyDescent="0.4">
      <c r="A30" s="344"/>
      <c r="B30" s="19" t="str">
        <f>Mon!B30</f>
        <v>CP+OP</v>
      </c>
      <c r="C30" s="98" t="s">
        <v>79</v>
      </c>
      <c r="D30" s="98"/>
      <c r="E30" s="6" t="str">
        <f>_xlfn.XLOOKUP(F30, $S$88:$S$95, $T$88:$T$95, "Training")</f>
        <v>ED</v>
      </c>
      <c r="F30" s="5" t="s">
        <v>108</v>
      </c>
      <c r="G30" s="6" t="str">
        <f>IF(H30=$S$88,$T$88,IF(H30=$S$89,$T$89,IF(H30=$S$90,$T$90,IF(H30=$S$91,$T$91,IF(H30=$S$92,$T$92,IF(H30=$S$93,$T$93,IF(H30=$S$94,$T$94,IF(H30=$S$95,$T$95,"Training"))))))))</f>
        <v>EVS</v>
      </c>
      <c r="H30" s="5" t="s">
        <v>54</v>
      </c>
      <c r="I30" s="348"/>
      <c r="J30" s="349"/>
      <c r="K30" s="6" t="str">
        <f>IF(L30=$S$88,$T$88,IF(L30=$S$89,$T$89,IF(L30=$S$90,$T$90,IF(L30=$S$91,$T$91,IF(L30=$S$92,$T$92,IF(L30=$S$93,$T$93,IF(L30=$S$94,$T$94,IF(L30=$S$95,$T$95,"Training"))))))))</f>
        <v>MM</v>
      </c>
      <c r="L30" s="5" t="s">
        <v>74</v>
      </c>
      <c r="M30" s="6" t="str">
        <f>IF(N30=$S$88,$T$88,IF(N30=$S$89,$T$89,IF(N30=$S$90,$T$90,IF(N30=$S$91,$T$91,IF(N30=$S$92,$T$92,IF(N30=$S$93,$T$93,IF(N30=$S$94,$T$94,IF(N30=$S$95,$T$95,"Training"))))))))</f>
        <v>OP</v>
      </c>
      <c r="N30" s="5" t="s">
        <v>119</v>
      </c>
      <c r="O30" s="124"/>
      <c r="Q30" s="331"/>
      <c r="U30" s="165" t="str">
        <f>Mon!U30</f>
        <v>(PM)</v>
      </c>
      <c r="V30" s="9">
        <f t="shared" si="5"/>
        <v>3</v>
      </c>
      <c r="W30" s="36">
        <f>SUM(Mon!V30,Tue!V30,Wed!V30,Thur!V30)</f>
        <v>12</v>
      </c>
      <c r="X30" s="165" t="str">
        <f>Mon!U30</f>
        <v>(PM)</v>
      </c>
      <c r="Y30" s="20">
        <f t="shared" si="0"/>
        <v>0</v>
      </c>
      <c r="Z30" s="21">
        <f t="shared" si="1"/>
        <v>1</v>
      </c>
      <c r="AA30" s="21">
        <f t="shared" si="2"/>
        <v>1</v>
      </c>
      <c r="AB30" s="22">
        <f t="shared" si="3"/>
        <v>1</v>
      </c>
      <c r="AC30" s="25" t="str">
        <f t="shared" si="18"/>
        <v xml:space="preserve"> </v>
      </c>
      <c r="AD30" s="26" t="str">
        <f t="shared" si="19"/>
        <v>MA (F)</v>
      </c>
      <c r="AE30" s="26" t="str">
        <f t="shared" si="20"/>
        <v xml:space="preserve"> </v>
      </c>
      <c r="AF30" s="27" t="str">
        <f t="shared" si="21"/>
        <v xml:space="preserve"> </v>
      </c>
      <c r="AG30" s="178" t="str">
        <f t="shared" si="10"/>
        <v xml:space="preserve"> </v>
      </c>
      <c r="AH30" s="177" t="str">
        <f t="shared" si="11"/>
        <v xml:space="preserve"> </v>
      </c>
      <c r="AI30" s="177" t="str">
        <f t="shared" si="12"/>
        <v xml:space="preserve"> </v>
      </c>
      <c r="AJ30" s="180" t="str">
        <f t="shared" si="13"/>
        <v xml:space="preserve"> </v>
      </c>
      <c r="AK30" s="178" t="str">
        <f t="shared" si="14"/>
        <v xml:space="preserve"> </v>
      </c>
      <c r="AL30" s="177" t="str">
        <f t="shared" si="15"/>
        <v xml:space="preserve"> </v>
      </c>
      <c r="AM30" s="177" t="str">
        <f t="shared" si="16"/>
        <v>QT (M)</v>
      </c>
      <c r="AN30" s="179" t="str">
        <f t="shared" si="17"/>
        <v>QT (E)</v>
      </c>
    </row>
    <row r="31" spans="1:40" ht="18.75" customHeight="1" thickBot="1" x14ac:dyDescent="0.4">
      <c r="A31" s="344"/>
      <c r="B31" s="19" t="str">
        <f>Mon!B31</f>
        <v>CM+SP</v>
      </c>
      <c r="C31" s="98" t="s">
        <v>81</v>
      </c>
      <c r="D31" s="98"/>
      <c r="E31" s="6" t="str">
        <f>_xlfn.XLOOKUP(F31, $U$88:$U$95, $V$88:$V$95, "Training")</f>
        <v>CM</v>
      </c>
      <c r="F31" s="5" t="s">
        <v>46</v>
      </c>
      <c r="G31" s="6" t="str">
        <f>IF(H31=$U$88,$V$88,IF(H31=$U$89,$V$89,IF(H31=$U$90,$V$90,IF(H31=$U$91,$V$91,IF(H31=$U$92,$V$92,IF(H31=$U$93,$V$93,IF(H31=$U$94,$V$94,IF(H31=$U$95,$V$95,"Training"))))))))</f>
        <v>OP</v>
      </c>
      <c r="H31" s="5" t="s">
        <v>119</v>
      </c>
      <c r="I31" s="348"/>
      <c r="J31" s="349"/>
      <c r="K31" s="6" t="str">
        <f>IF(L31=$U$88,$V$88,IF(L31=$U$89,$V$89,IF(L31=$U$90,$V$90,IF(L31=$U$91,$V$91,IF(L31=$U$92,$V$92,IF(L31=$U$93,$V$93,IF(L31=$U$94,$V$94,IF(L31=$U$95,$V$95,"Training"))))))))</f>
        <v>CA</v>
      </c>
      <c r="L31" s="5" t="s">
        <v>106</v>
      </c>
      <c r="M31" s="6" t="str">
        <f>IF(N31=$U$88,$V$88,IF(N31=$U$89,$V$89,IF(N31=$U$90,$V$90,IF(N31=$U$91,$V$91,IF(N31=$U$92,$V$92,IF(N31=$U$93,$V$93,IF(N31=$U$94,$V$94,IF(N31=$U$95,$V$95,"Training"))))))))</f>
        <v>MM</v>
      </c>
      <c r="N31" s="5" t="s">
        <v>107</v>
      </c>
      <c r="O31" s="124"/>
      <c r="Q31" s="331"/>
      <c r="U31" s="165" t="str">
        <f>Mon!U31</f>
        <v>(PR)</v>
      </c>
      <c r="V31" s="9">
        <f t="shared" si="5"/>
        <v>1</v>
      </c>
      <c r="W31" s="36">
        <f>SUM(Mon!V31,Tue!V31,Wed!V31,Thur!V31)</f>
        <v>11</v>
      </c>
      <c r="X31" s="165" t="str">
        <f>Mon!U31</f>
        <v>(PR)</v>
      </c>
      <c r="Y31" s="20">
        <f t="shared" si="0"/>
        <v>0</v>
      </c>
      <c r="Z31" s="21">
        <f t="shared" si="1"/>
        <v>0</v>
      </c>
      <c r="AA31" s="21">
        <f t="shared" si="2"/>
        <v>0</v>
      </c>
      <c r="AB31" s="22">
        <f t="shared" si="3"/>
        <v>1</v>
      </c>
      <c r="AC31" s="25" t="str">
        <f t="shared" si="18"/>
        <v xml:space="preserve"> </v>
      </c>
      <c r="AD31" s="26" t="str">
        <f t="shared" si="19"/>
        <v xml:space="preserve"> </v>
      </c>
      <c r="AE31" s="26" t="str">
        <f t="shared" si="20"/>
        <v xml:space="preserve"> </v>
      </c>
      <c r="AF31" s="27" t="str">
        <f t="shared" si="21"/>
        <v xml:space="preserve"> </v>
      </c>
      <c r="AG31" s="178" t="str">
        <f t="shared" si="10"/>
        <v xml:space="preserve"> </v>
      </c>
      <c r="AH31" s="177" t="str">
        <f t="shared" si="11"/>
        <v xml:space="preserve"> </v>
      </c>
      <c r="AI31" s="177" t="str">
        <f t="shared" si="12"/>
        <v xml:space="preserve"> </v>
      </c>
      <c r="AJ31" s="180" t="str">
        <f t="shared" si="13"/>
        <v xml:space="preserve"> </v>
      </c>
      <c r="AK31" s="178" t="str">
        <f t="shared" si="14"/>
        <v xml:space="preserve"> </v>
      </c>
      <c r="AL31" s="177" t="str">
        <f t="shared" si="15"/>
        <v xml:space="preserve"> </v>
      </c>
      <c r="AM31" s="177" t="str">
        <f t="shared" si="16"/>
        <v xml:space="preserve"> </v>
      </c>
      <c r="AN31" s="179" t="str">
        <f t="shared" si="17"/>
        <v>GE (L)</v>
      </c>
    </row>
    <row r="32" spans="1:40" ht="18.75" customHeight="1" thickBot="1" x14ac:dyDescent="0.4">
      <c r="A32" s="344"/>
      <c r="B32" s="19" t="str">
        <f>Mon!B32</f>
        <v>CM+SP+CP</v>
      </c>
      <c r="C32" s="98" t="s">
        <v>84</v>
      </c>
      <c r="D32" s="98"/>
      <c r="E32" s="6" t="str">
        <f>_xlfn.XLOOKUP(F32, $W$88:$W$95, $X$88:$X$95, "Training")</f>
        <v>MM</v>
      </c>
      <c r="F32" s="5" t="s">
        <v>74</v>
      </c>
      <c r="G32" s="6" t="str">
        <f>IF(H32=$W$88,$X$88,IF(H32=$W$89,$X$89,IF(H32=$W$90,$X$90,IF(H32=$W$91,$X$91,IF(H32=$W$92,$X$92,IF(H32=$W$93,$X$93,IF(H32=$W$94,$X$94,IF(H32=$W$95,$X$95,"Training"))))))))</f>
        <v>HR</v>
      </c>
      <c r="H32" s="5" t="s">
        <v>61</v>
      </c>
      <c r="I32" s="348"/>
      <c r="J32" s="349"/>
      <c r="K32" s="6" t="str">
        <f>IF(L32=$W$88,$X$88,IF(L32=$W$89,$X$89,IF(L32=$W$90,$X$90,IF(L32=$W$91,$X$91,IF(L32=$W$92,$X$92,IF(L32=$W$93,$X$93,IF(L32=$W$94,$X$94,IF(L32=$W$95,$X$95,"Training"))))))))</f>
        <v>CP</v>
      </c>
      <c r="L32" s="5" t="s">
        <v>82</v>
      </c>
      <c r="M32" s="6" t="str">
        <f>IF(N32=$W$88,$X$88,IF(N32=$W$89,$X$89,IF(N32=$W$90,$X$90,IF(N32=$W$91,$X$91,IF(N32=$W$92,$X$92,IF(N32=$W$93,$X$93,IF(N32=$W$94,$X$94,IF(N32=$W$95,$X$95,"Training"))))))))</f>
        <v>CA</v>
      </c>
      <c r="N32" s="5" t="s">
        <v>60</v>
      </c>
      <c r="O32" s="124"/>
      <c r="Q32" s="331"/>
      <c r="U32" s="165" t="str">
        <f>Mon!U32</f>
        <v>(RG)</v>
      </c>
      <c r="V32" s="9">
        <f t="shared" si="5"/>
        <v>2</v>
      </c>
      <c r="W32" s="36">
        <f>SUM(Mon!V32,Tue!V32,Wed!V32,Thur!V32)</f>
        <v>9</v>
      </c>
      <c r="X32" s="165" t="str">
        <f>Mon!U32</f>
        <v>(RG)</v>
      </c>
      <c r="Y32" s="20">
        <f t="shared" si="0"/>
        <v>0</v>
      </c>
      <c r="Z32" s="21">
        <f t="shared" si="1"/>
        <v>1</v>
      </c>
      <c r="AA32" s="21">
        <f t="shared" si="2"/>
        <v>0</v>
      </c>
      <c r="AB32" s="22">
        <f t="shared" si="3"/>
        <v>1</v>
      </c>
      <c r="AC32" s="25" t="str">
        <f t="shared" si="18"/>
        <v xml:space="preserve"> </v>
      </c>
      <c r="AD32" s="26" t="str">
        <f t="shared" si="19"/>
        <v>MA (L)</v>
      </c>
      <c r="AE32" s="26" t="str">
        <f t="shared" si="20"/>
        <v xml:space="preserve"> </v>
      </c>
      <c r="AF32" s="27" t="str">
        <f t="shared" si="21"/>
        <v xml:space="preserve"> </v>
      </c>
      <c r="AG32" s="178" t="str">
        <f t="shared" si="10"/>
        <v xml:space="preserve"> </v>
      </c>
      <c r="AH32" s="177" t="str">
        <f t="shared" si="11"/>
        <v xml:space="preserve"> </v>
      </c>
      <c r="AI32" s="177" t="str">
        <f t="shared" si="12"/>
        <v xml:space="preserve"> </v>
      </c>
      <c r="AJ32" s="180" t="str">
        <f t="shared" si="13"/>
        <v>CA (A)</v>
      </c>
      <c r="AK32" s="178" t="str">
        <f t="shared" si="14"/>
        <v xml:space="preserve"> </v>
      </c>
      <c r="AL32" s="177" t="str">
        <f t="shared" si="15"/>
        <v xml:space="preserve"> </v>
      </c>
      <c r="AM32" s="177" t="str">
        <f t="shared" si="16"/>
        <v xml:space="preserve"> </v>
      </c>
      <c r="AN32" s="179" t="str">
        <f t="shared" si="17"/>
        <v xml:space="preserve"> </v>
      </c>
    </row>
    <row r="33" spans="1:40" ht="18.75" customHeight="1" thickBot="1" x14ac:dyDescent="0.4">
      <c r="A33" s="344"/>
      <c r="B33" s="19" t="str">
        <f>Mon!B33</f>
        <v>CP+SP</v>
      </c>
      <c r="C33" s="98" t="s">
        <v>126</v>
      </c>
      <c r="D33" s="98"/>
      <c r="E33" s="6" t="str">
        <f>_xlfn.XLOOKUP(F33, $Y$88:$Y$95, $Z$88:$Z$95, "Training")</f>
        <v>EVS</v>
      </c>
      <c r="F33" s="5" t="s">
        <v>54</v>
      </c>
      <c r="G33" s="6" t="str">
        <f>IF(H33=$Y$88,$Z$88,IF(H33=$Y$89,$Z$89,IF(H33=$Y$90,$Z$90,IF(H33=$Y$91,$Z$91,IF(H33=$Y$92,$Z$92,IF(H33=$Y$93,$Z$93,IF(H33=$Y$94,$Z$94,IF(H33=$Y$95,$Z$95,"Training"))))))))</f>
        <v>CA</v>
      </c>
      <c r="H33" s="5" t="s">
        <v>112</v>
      </c>
      <c r="I33" s="348"/>
      <c r="J33" s="349"/>
      <c r="K33" s="6" t="str">
        <f>IF(L33=$Y$88,$Z$88,IF(L33=$Y$89,$Z$89,IF(L33=$Y$90,$Z$90,IF(L33=$Y$91,$Z$91,IF(L33=$Y$92,$Z$92,IF(L33=$Y$93,$Z$93,IF(L33=$Y$94,$Z$94,IF(L33=$Y$95,$Z$95,"Training"))))))))</f>
        <v>HR</v>
      </c>
      <c r="L33" s="5" t="s">
        <v>118</v>
      </c>
      <c r="M33" s="6" t="str">
        <f>IF(N33=$Y$88,$Z$88,IF(N33=$Y$89,$Z$89,IF(N33=$Y$90,$Z$90,IF(N33=$Y$91,$Z$91,IF(N33=$Y$92,$Z$92,IF(N33=$Y$93,$Z$93,IF(N33=$Y$94,$Z$94,IF(N33=$Y$95,$Z$95,"Training"))))))))</f>
        <v>ED</v>
      </c>
      <c r="N33" s="5" t="s">
        <v>108</v>
      </c>
      <c r="O33" s="125"/>
      <c r="Q33" s="331"/>
      <c r="U33" s="165" t="str">
        <f>Mon!U33</f>
        <v>(RP)</v>
      </c>
      <c r="V33" s="9">
        <f t="shared" si="5"/>
        <v>0</v>
      </c>
      <c r="W33" s="36">
        <f>SUM(Mon!V33,Tue!V33,Wed!V33,Thur!V33)</f>
        <v>3</v>
      </c>
      <c r="X33" s="165" t="str">
        <f>Mon!U33</f>
        <v>(RP)</v>
      </c>
      <c r="Y33" s="20">
        <f t="shared" si="0"/>
        <v>0</v>
      </c>
      <c r="Z33" s="21">
        <f t="shared" si="1"/>
        <v>0</v>
      </c>
      <c r="AA33" s="21">
        <f t="shared" si="2"/>
        <v>0</v>
      </c>
      <c r="AB33" s="22">
        <f t="shared" si="3"/>
        <v>0</v>
      </c>
      <c r="AC33" s="25" t="str">
        <f t="shared" si="18"/>
        <v xml:space="preserve"> </v>
      </c>
      <c r="AD33" s="26" t="str">
        <f t="shared" si="19"/>
        <v xml:space="preserve"> </v>
      </c>
      <c r="AE33" s="26" t="str">
        <f t="shared" si="20"/>
        <v xml:space="preserve"> </v>
      </c>
      <c r="AF33" s="27" t="str">
        <f t="shared" si="21"/>
        <v xml:space="preserve"> </v>
      </c>
      <c r="AG33" s="178" t="str">
        <f t="shared" si="10"/>
        <v xml:space="preserve"> </v>
      </c>
      <c r="AH33" s="177" t="str">
        <f t="shared" si="11"/>
        <v xml:space="preserve"> </v>
      </c>
      <c r="AI33" s="177" t="str">
        <f t="shared" si="12"/>
        <v xml:space="preserve"> </v>
      </c>
      <c r="AJ33" s="180" t="str">
        <f t="shared" si="13"/>
        <v xml:space="preserve"> </v>
      </c>
      <c r="AK33" s="178" t="str">
        <f t="shared" si="14"/>
        <v xml:space="preserve"> </v>
      </c>
      <c r="AL33" s="177" t="str">
        <f t="shared" si="15"/>
        <v xml:space="preserve"> </v>
      </c>
      <c r="AM33" s="177" t="str">
        <f t="shared" si="16"/>
        <v xml:space="preserve"> </v>
      </c>
      <c r="AN33" s="179" t="str">
        <f t="shared" si="17"/>
        <v xml:space="preserve"> </v>
      </c>
    </row>
    <row r="34" spans="1:40" ht="18.75" customHeight="1" thickBot="1" x14ac:dyDescent="0.4">
      <c r="A34" s="344"/>
      <c r="B34" s="19" t="str">
        <f>Mon!B34</f>
        <v>CP+SP</v>
      </c>
      <c r="C34" s="98" t="s">
        <v>128</v>
      </c>
      <c r="D34" s="98"/>
      <c r="E34" s="6" t="str">
        <f>_xlfn.XLOOKUP(F34, $AA$88:$AA$95, $AB$88:$AB$95, "Training")</f>
        <v>CP</v>
      </c>
      <c r="F34" s="5" t="s">
        <v>82</v>
      </c>
      <c r="G34" s="6" t="str">
        <f>IF(H34=$AA$88,$AB$88,IF(H34=$AA$89,$AB$89,IF(H34=$AA$90,$AB$90,IF(H34=$AA$91,$AB$91,IF(H34=$AA$92,$AB$92,IF(H34=$AA$93,$AB$93,IF(H34=$AA$94,$AB$94,IF(H34=$AA$95,$AB$95,"Training"))))))))</f>
        <v>MM</v>
      </c>
      <c r="H34" s="5" t="s">
        <v>70</v>
      </c>
      <c r="I34" s="348"/>
      <c r="J34" s="349"/>
      <c r="K34" s="6" t="str">
        <f>IF(L34=$AA$88,$AB$88,IF(L34=$AA$89,$AB$89,IF(L34=$AA$90,$AB$90,IF(L34=$AA$91,$AB$91,IF(L34=$AA$92,$AB$92,IF(L34=$AA$93,$AB$93,IF(L34=$AA$94,$AB$94,IF(L34=$AA$95,$AB$95,"Training"))))))))</f>
        <v>SP</v>
      </c>
      <c r="L34" s="5" t="s">
        <v>113</v>
      </c>
      <c r="M34" s="6" t="str">
        <f>IF(N34=$AA$88,$AB$88,IF(N34=$AA$89,$AB$89,IF(N34=$AA$90,$AB$90,IF(N34=$AA$91,$AB$91,IF(N34=$AA$92,$AB$92,IF(N34=$AA$93,$AB$93,IF(N34=$AA$94,$AB$94,IF(N34=$AA$95,$AB$95,"Training"))))))))</f>
        <v>EVS</v>
      </c>
      <c r="N34" s="5" t="s">
        <v>105</v>
      </c>
      <c r="O34" s="122"/>
      <c r="Q34" s="331"/>
      <c r="U34" s="165" t="str">
        <f>Mon!U34</f>
        <v>(RT)</v>
      </c>
      <c r="V34" s="9">
        <f t="shared" si="5"/>
        <v>2</v>
      </c>
      <c r="W34" s="36">
        <f>SUM(Mon!V34,Tue!V34,Wed!V34,Thur!V34)</f>
        <v>9</v>
      </c>
      <c r="X34" s="165" t="str">
        <f>Mon!U34</f>
        <v>(RT)</v>
      </c>
      <c r="Y34" s="20">
        <f t="shared" si="0"/>
        <v>0</v>
      </c>
      <c r="Z34" s="21">
        <f t="shared" si="1"/>
        <v>1</v>
      </c>
      <c r="AA34" s="21">
        <f t="shared" si="2"/>
        <v>1</v>
      </c>
      <c r="AB34" s="22">
        <f t="shared" si="3"/>
        <v>0</v>
      </c>
      <c r="AC34" s="25" t="str">
        <f t="shared" si="18"/>
        <v xml:space="preserve"> </v>
      </c>
      <c r="AD34" s="26" t="str">
        <f t="shared" si="19"/>
        <v xml:space="preserve"> </v>
      </c>
      <c r="AE34" s="26" t="str">
        <f t="shared" si="20"/>
        <v xml:space="preserve"> </v>
      </c>
      <c r="AF34" s="27" t="str">
        <f t="shared" si="21"/>
        <v xml:space="preserve"> </v>
      </c>
      <c r="AG34" s="178" t="str">
        <f t="shared" si="10"/>
        <v xml:space="preserve"> </v>
      </c>
      <c r="AH34" s="177" t="str">
        <f t="shared" si="11"/>
        <v>HR (A)</v>
      </c>
      <c r="AI34" s="177" t="str">
        <f t="shared" si="12"/>
        <v>HR (M)</v>
      </c>
      <c r="AJ34" s="180" t="str">
        <f t="shared" si="13"/>
        <v xml:space="preserve"> </v>
      </c>
      <c r="AK34" s="178" t="str">
        <f t="shared" si="14"/>
        <v xml:space="preserve"> </v>
      </c>
      <c r="AL34" s="177" t="str">
        <f t="shared" si="15"/>
        <v xml:space="preserve"> </v>
      </c>
      <c r="AM34" s="177" t="str">
        <f t="shared" si="16"/>
        <v xml:space="preserve"> </v>
      </c>
      <c r="AN34" s="179" t="str">
        <f t="shared" si="17"/>
        <v xml:space="preserve"> </v>
      </c>
    </row>
    <row r="35" spans="1:40" ht="18.75" customHeight="1" thickBot="1" x14ac:dyDescent="0.4">
      <c r="A35" s="344"/>
      <c r="B35" s="99" t="str">
        <f>Mon!B35</f>
        <v>BAJ</v>
      </c>
      <c r="C35" s="162" t="s">
        <v>41</v>
      </c>
      <c r="D35" s="162"/>
      <c r="E35" s="6" t="s">
        <v>132</v>
      </c>
      <c r="F35" s="5" t="s">
        <v>228</v>
      </c>
      <c r="G35" s="6" t="s">
        <v>188</v>
      </c>
      <c r="H35" s="5" t="s">
        <v>91</v>
      </c>
      <c r="I35" s="348"/>
      <c r="J35" s="349"/>
      <c r="K35" s="6" t="s">
        <v>135</v>
      </c>
      <c r="L35" s="5" t="s">
        <v>98</v>
      </c>
      <c r="M35" s="6" t="s">
        <v>130</v>
      </c>
      <c r="N35" s="5" t="s">
        <v>131</v>
      </c>
      <c r="O35" s="66"/>
      <c r="Q35" s="331"/>
      <c r="U35" s="165" t="str">
        <f>Mon!U35</f>
        <v>(SA)</v>
      </c>
      <c r="V35" s="9">
        <f t="shared" si="5"/>
        <v>2</v>
      </c>
      <c r="W35" s="36">
        <f>SUM(Mon!V35,Tue!V35,Wed!V35,Thur!V35)</f>
        <v>12</v>
      </c>
      <c r="X35" s="165" t="str">
        <f>Mon!U35</f>
        <v>(SA)</v>
      </c>
      <c r="Y35" s="20">
        <f t="shared" si="0"/>
        <v>0</v>
      </c>
      <c r="Z35" s="21">
        <f t="shared" si="1"/>
        <v>0</v>
      </c>
      <c r="AA35" s="21">
        <f t="shared" si="2"/>
        <v>1</v>
      </c>
      <c r="AB35" s="22">
        <f t="shared" si="3"/>
        <v>1</v>
      </c>
      <c r="AC35" s="25" t="str">
        <f t="shared" si="18"/>
        <v xml:space="preserve"> </v>
      </c>
      <c r="AD35" s="26" t="str">
        <f t="shared" si="19"/>
        <v xml:space="preserve"> </v>
      </c>
      <c r="AE35" s="26" t="str">
        <f t="shared" si="20"/>
        <v xml:space="preserve"> </v>
      </c>
      <c r="AF35" s="27" t="str">
        <f t="shared" si="21"/>
        <v xml:space="preserve"> </v>
      </c>
      <c r="AG35" s="178" t="str">
        <f t="shared" si="10"/>
        <v xml:space="preserve"> </v>
      </c>
      <c r="AH35" s="177" t="str">
        <f t="shared" si="11"/>
        <v xml:space="preserve"> </v>
      </c>
      <c r="AI35" s="177" t="str">
        <f t="shared" si="12"/>
        <v xml:space="preserve"> </v>
      </c>
      <c r="AJ35" s="180" t="str">
        <f t="shared" si="13"/>
        <v xml:space="preserve"> </v>
      </c>
      <c r="AK35" s="178" t="str">
        <f t="shared" si="14"/>
        <v xml:space="preserve"> </v>
      </c>
      <c r="AL35" s="177" t="str">
        <f t="shared" si="15"/>
        <v xml:space="preserve"> </v>
      </c>
      <c r="AM35" s="177" t="str">
        <f t="shared" si="16"/>
        <v>GE (N)</v>
      </c>
      <c r="AN35" s="179" t="str">
        <f t="shared" si="17"/>
        <v>AE (B)</v>
      </c>
    </row>
    <row r="36" spans="1:40" ht="18.75" customHeight="1" thickBot="1" x14ac:dyDescent="0.4">
      <c r="A36" s="345"/>
      <c r="B36" s="99" t="str">
        <f>Mon!B36</f>
        <v>BAJ</v>
      </c>
      <c r="C36" s="162" t="s">
        <v>49</v>
      </c>
      <c r="D36" s="162"/>
      <c r="E36" s="6" t="s">
        <v>132</v>
      </c>
      <c r="F36" s="5" t="s">
        <v>130</v>
      </c>
      <c r="G36" s="6" t="s">
        <v>197</v>
      </c>
      <c r="H36" s="5" t="s">
        <v>229</v>
      </c>
      <c r="I36" s="350"/>
      <c r="J36" s="351"/>
      <c r="K36" s="6" t="s">
        <v>129</v>
      </c>
      <c r="L36" s="5" t="s">
        <v>94</v>
      </c>
      <c r="M36" s="6" t="s">
        <v>134</v>
      </c>
      <c r="N36" s="5" t="s">
        <v>89</v>
      </c>
      <c r="O36" s="67"/>
      <c r="Q36" s="331"/>
      <c r="U36" s="165" t="str">
        <f>Mon!U36</f>
        <v>(SAK)</v>
      </c>
      <c r="V36" s="9">
        <f t="shared" si="5"/>
        <v>4</v>
      </c>
      <c r="W36" s="36">
        <f>SUM(Mon!V36,Tue!V36,Wed!V36,Thur!V36)</f>
        <v>13</v>
      </c>
      <c r="X36" s="165" t="str">
        <f>Mon!U36</f>
        <v>(SAK)</v>
      </c>
      <c r="Y36" s="20">
        <f t="shared" si="0"/>
        <v>1</v>
      </c>
      <c r="Z36" s="21">
        <f t="shared" si="1"/>
        <v>1</v>
      </c>
      <c r="AA36" s="21">
        <f t="shared" si="2"/>
        <v>1</v>
      </c>
      <c r="AB36" s="22">
        <f t="shared" si="3"/>
        <v>1</v>
      </c>
      <c r="AC36" s="25" t="str">
        <f t="shared" si="18"/>
        <v xml:space="preserve"> </v>
      </c>
      <c r="AD36" s="26" t="str">
        <f t="shared" si="19"/>
        <v xml:space="preserve"> </v>
      </c>
      <c r="AE36" s="26" t="str">
        <f t="shared" si="20"/>
        <v xml:space="preserve"> </v>
      </c>
      <c r="AF36" s="27" t="str">
        <f t="shared" si="21"/>
        <v xml:space="preserve"> </v>
      </c>
      <c r="AG36" s="178" t="str">
        <f t="shared" si="10"/>
        <v>MM (I)</v>
      </c>
      <c r="AH36" s="177" t="str">
        <f t="shared" si="11"/>
        <v>CM (F)</v>
      </c>
      <c r="AI36" s="177" t="str">
        <f t="shared" si="12"/>
        <v>MM (D)</v>
      </c>
      <c r="AJ36" s="180" t="str">
        <f t="shared" si="13"/>
        <v>MM (K)</v>
      </c>
      <c r="AK36" s="178" t="str">
        <f t="shared" si="14"/>
        <v xml:space="preserve"> </v>
      </c>
      <c r="AL36" s="177" t="str">
        <f t="shared" si="15"/>
        <v xml:space="preserve"> </v>
      </c>
      <c r="AM36" s="177" t="str">
        <f t="shared" si="16"/>
        <v xml:space="preserve"> </v>
      </c>
      <c r="AN36" s="179" t="str">
        <f t="shared" si="17"/>
        <v xml:space="preserve"> </v>
      </c>
    </row>
    <row r="37" spans="1:40" ht="18.75" customHeight="1" thickBot="1" x14ac:dyDescent="0.4">
      <c r="A37" s="192" t="s">
        <v>26</v>
      </c>
      <c r="B37" s="299"/>
      <c r="C37" s="94" t="s">
        <v>27</v>
      </c>
      <c r="D37" s="95" t="s">
        <v>136</v>
      </c>
      <c r="E37" s="352" t="s">
        <v>137</v>
      </c>
      <c r="F37" s="353"/>
      <c r="G37" s="354" t="s">
        <v>138</v>
      </c>
      <c r="H37" s="353"/>
      <c r="I37" s="354" t="s">
        <v>139</v>
      </c>
      <c r="J37" s="353"/>
      <c r="K37" s="354" t="s">
        <v>140</v>
      </c>
      <c r="L37" s="353"/>
      <c r="M37" s="354" t="s">
        <v>141</v>
      </c>
      <c r="N37" s="358"/>
      <c r="O37" s="66"/>
      <c r="Q37" s="331"/>
      <c r="U37" s="165" t="str">
        <f>Mon!U37</f>
        <v>(SB)</v>
      </c>
      <c r="V37" s="9">
        <f t="shared" si="5"/>
        <v>3</v>
      </c>
      <c r="W37" s="36">
        <f>SUM(Mon!V37,Tue!V37,Wed!V37,Thur!V37)</f>
        <v>12</v>
      </c>
      <c r="X37" s="165" t="str">
        <f>Mon!U37</f>
        <v>(SB)</v>
      </c>
      <c r="Y37" s="20">
        <f t="shared" si="0"/>
        <v>1</v>
      </c>
      <c r="Z37" s="21">
        <f t="shared" si="1"/>
        <v>1</v>
      </c>
      <c r="AA37" s="21">
        <f t="shared" si="2"/>
        <v>0</v>
      </c>
      <c r="AB37" s="22">
        <f t="shared" si="3"/>
        <v>1</v>
      </c>
      <c r="AC37" s="25" t="str">
        <f t="shared" si="18"/>
        <v xml:space="preserve"> </v>
      </c>
      <c r="AD37" s="26" t="str">
        <f t="shared" si="19"/>
        <v xml:space="preserve"> </v>
      </c>
      <c r="AE37" s="26" t="str">
        <f t="shared" si="20"/>
        <v xml:space="preserve"> </v>
      </c>
      <c r="AF37" s="27" t="str">
        <f t="shared" si="21"/>
        <v xml:space="preserve"> </v>
      </c>
      <c r="AG37" s="178" t="str">
        <f t="shared" si="10"/>
        <v>OP (G)</v>
      </c>
      <c r="AH37" s="177" t="str">
        <f t="shared" si="11"/>
        <v>OP (I)</v>
      </c>
      <c r="AI37" s="177" t="str">
        <f t="shared" si="12"/>
        <v xml:space="preserve"> </v>
      </c>
      <c r="AJ37" s="180" t="str">
        <f t="shared" si="13"/>
        <v>OP (B)</v>
      </c>
      <c r="AK37" s="178" t="str">
        <f t="shared" si="14"/>
        <v xml:space="preserve"> </v>
      </c>
      <c r="AL37" s="177" t="str">
        <f t="shared" si="15"/>
        <v xml:space="preserve"> </v>
      </c>
      <c r="AM37" s="177" t="str">
        <f t="shared" si="16"/>
        <v xml:space="preserve"> </v>
      </c>
      <c r="AN37" s="179" t="str">
        <f t="shared" si="17"/>
        <v xml:space="preserve"> </v>
      </c>
    </row>
    <row r="38" spans="1:40" ht="18.75" customHeight="1" thickBot="1" x14ac:dyDescent="0.4">
      <c r="A38" s="332">
        <v>1</v>
      </c>
      <c r="B38" s="100" t="str">
        <f>Mon!B38</f>
        <v>AE</v>
      </c>
      <c r="C38" s="100" t="s">
        <v>41</v>
      </c>
      <c r="D38" s="91">
        <v>308</v>
      </c>
      <c r="E38" s="191">
        <f>_xlfn.XLOOKUP(F38, $A$74:$A$83, $B$74:$B$83, "Training")</f>
        <v>0</v>
      </c>
      <c r="F38" s="96"/>
      <c r="G38" s="191">
        <f>_xlfn.XLOOKUP(H38, $A$74:$A$83, $B$74:$B$83, "Training")</f>
        <v>0</v>
      </c>
      <c r="H38" s="51"/>
      <c r="I38" s="335" t="s">
        <v>143</v>
      </c>
      <c r="J38" s="336"/>
      <c r="K38" s="191" t="str">
        <f>_xlfn.XLOOKUP(L38, $A$74:$A$83, $B$74:$B$83, "Training")</f>
        <v>BT</v>
      </c>
      <c r="L38" s="96" t="s">
        <v>56</v>
      </c>
      <c r="M38" s="191" t="str">
        <f>_xlfn.XLOOKUP(N38, $A$74:$A$83, $B$74:$B$83, "Training")</f>
        <v>QT</v>
      </c>
      <c r="N38" s="96" t="s">
        <v>148</v>
      </c>
      <c r="O38" s="66"/>
      <c r="Q38" s="331"/>
      <c r="U38" s="165" t="str">
        <f>Mon!U38</f>
        <v>(SC)</v>
      </c>
      <c r="V38" s="9">
        <f t="shared" si="5"/>
        <v>2</v>
      </c>
      <c r="W38" s="36">
        <f>SUM(Mon!V38,Tue!V38,Wed!V38,Thur!V38)</f>
        <v>10</v>
      </c>
      <c r="X38" s="165" t="str">
        <f>Mon!U38</f>
        <v>(SC)</v>
      </c>
      <c r="Y38" s="20">
        <f t="shared" si="0"/>
        <v>0</v>
      </c>
      <c r="Z38" s="21">
        <f t="shared" si="1"/>
        <v>0</v>
      </c>
      <c r="AA38" s="21">
        <f t="shared" si="2"/>
        <v>1</v>
      </c>
      <c r="AB38" s="22">
        <f t="shared" si="3"/>
        <v>1</v>
      </c>
      <c r="AC38" s="25" t="str">
        <f t="shared" si="18"/>
        <v xml:space="preserve"> </v>
      </c>
      <c r="AD38" s="26" t="str">
        <f t="shared" si="19"/>
        <v xml:space="preserve"> </v>
      </c>
      <c r="AE38" s="26" t="str">
        <f t="shared" si="20"/>
        <v xml:space="preserve"> </v>
      </c>
      <c r="AF38" s="27" t="str">
        <f t="shared" si="21"/>
        <v xml:space="preserve"> </v>
      </c>
      <c r="AG38" s="178" t="str">
        <f t="shared" si="10"/>
        <v xml:space="preserve"> </v>
      </c>
      <c r="AH38" s="177" t="str">
        <f t="shared" si="11"/>
        <v xml:space="preserve"> </v>
      </c>
      <c r="AI38" s="177" t="str">
        <f t="shared" si="12"/>
        <v xml:space="preserve"> </v>
      </c>
      <c r="AJ38" s="180" t="str">
        <f t="shared" si="13"/>
        <v xml:space="preserve"> </v>
      </c>
      <c r="AK38" s="178" t="str">
        <f t="shared" si="14"/>
        <v xml:space="preserve"> </v>
      </c>
      <c r="AL38" s="177" t="str">
        <f t="shared" si="15"/>
        <v xml:space="preserve"> </v>
      </c>
      <c r="AM38" s="177" t="str">
        <f t="shared" si="16"/>
        <v>AE (F)</v>
      </c>
      <c r="AN38" s="179" t="str">
        <f t="shared" si="17"/>
        <v>GE (D)</v>
      </c>
    </row>
    <row r="39" spans="1:40" ht="18.75" customHeight="1" thickBot="1" x14ac:dyDescent="0.4">
      <c r="A39" s="333"/>
      <c r="B39" s="19" t="str">
        <f>Mon!B39</f>
        <v>AE</v>
      </c>
      <c r="C39" s="19" t="s">
        <v>49</v>
      </c>
      <c r="D39" s="76">
        <v>304</v>
      </c>
      <c r="E39" s="49">
        <f>_xlfn.XLOOKUP(F39, $C$74:$C$83, $D$74:$D$83, "Training")</f>
        <v>0</v>
      </c>
      <c r="F39" s="50"/>
      <c r="G39" s="49">
        <f>_xlfn.XLOOKUP(H39, $C$74:$C$83, $D$74:$D$83, "Training")</f>
        <v>0</v>
      </c>
      <c r="H39" s="50"/>
      <c r="I39" s="337"/>
      <c r="J39" s="338"/>
      <c r="K39" s="49" t="str">
        <f>_xlfn.XLOOKUP(L39, $C$74:$C$83, $D$74:$D$83, "Training")</f>
        <v>BT</v>
      </c>
      <c r="L39" s="50" t="s">
        <v>103</v>
      </c>
      <c r="M39" s="49" t="str">
        <f>_xlfn.XLOOKUP(N39, $C$74:$C$83, $D$74:$D$83, "Training")</f>
        <v>AE</v>
      </c>
      <c r="N39" s="50" t="s">
        <v>133</v>
      </c>
      <c r="O39" s="66"/>
      <c r="Q39" s="331"/>
      <c r="U39" s="165" t="str">
        <f>Mon!U39</f>
        <v>(SE)</v>
      </c>
      <c r="V39" s="9">
        <f t="shared" si="5"/>
        <v>2</v>
      </c>
      <c r="W39" s="36">
        <f>SUM(Mon!V39,Tue!V39,Wed!V39,Thur!V39)</f>
        <v>13</v>
      </c>
      <c r="X39" s="165" t="str">
        <f>Mon!U39</f>
        <v>(SE)</v>
      </c>
      <c r="Y39" s="20">
        <f t="shared" si="0"/>
        <v>0</v>
      </c>
      <c r="Z39" s="21">
        <f t="shared" si="1"/>
        <v>0</v>
      </c>
      <c r="AA39" s="21">
        <f t="shared" si="2"/>
        <v>1</v>
      </c>
      <c r="AB39" s="22">
        <f t="shared" si="3"/>
        <v>1</v>
      </c>
      <c r="AC39" s="25" t="str">
        <f t="shared" si="18"/>
        <v xml:space="preserve"> </v>
      </c>
      <c r="AD39" s="26" t="str">
        <f t="shared" si="19"/>
        <v xml:space="preserve"> </v>
      </c>
      <c r="AE39" s="26" t="str">
        <f t="shared" si="20"/>
        <v xml:space="preserve"> </v>
      </c>
      <c r="AF39" s="27" t="str">
        <f t="shared" si="21"/>
        <v xml:space="preserve"> </v>
      </c>
      <c r="AG39" s="178" t="str">
        <f t="shared" si="10"/>
        <v xml:space="preserve"> </v>
      </c>
      <c r="AH39" s="177" t="str">
        <f t="shared" si="11"/>
        <v xml:space="preserve"> </v>
      </c>
      <c r="AI39" s="177" t="str">
        <f t="shared" si="12"/>
        <v xml:space="preserve"> </v>
      </c>
      <c r="AJ39" s="180" t="str">
        <f t="shared" si="13"/>
        <v xml:space="preserve"> </v>
      </c>
      <c r="AK39" s="178" t="str">
        <f t="shared" si="14"/>
        <v xml:space="preserve"> </v>
      </c>
      <c r="AL39" s="177" t="str">
        <f t="shared" si="15"/>
        <v xml:space="preserve"> </v>
      </c>
      <c r="AM39" s="177" t="str">
        <f t="shared" si="16"/>
        <v>BM (E)</v>
      </c>
      <c r="AN39" s="179" t="str">
        <f t="shared" si="17"/>
        <v>BM (J)</v>
      </c>
    </row>
    <row r="40" spans="1:40" ht="18" customHeight="1" thickBot="1" x14ac:dyDescent="0.4">
      <c r="A40" s="333"/>
      <c r="B40" s="19" t="str">
        <f>Mon!B40</f>
        <v>AE</v>
      </c>
      <c r="C40" s="19" t="s">
        <v>55</v>
      </c>
      <c r="D40" s="76">
        <v>204</v>
      </c>
      <c r="E40" s="48">
        <f>_xlfn.XLOOKUP(F40, $E$74:$E$83, $F$74:$F$83, "Training")</f>
        <v>0</v>
      </c>
      <c r="F40" s="51"/>
      <c r="G40" s="48">
        <f>_xlfn.XLOOKUP(H40, $E$74:$E$83, $F$74:$F$83, "Training")</f>
        <v>0</v>
      </c>
      <c r="H40" s="51"/>
      <c r="I40" s="337"/>
      <c r="J40" s="338"/>
      <c r="K40" s="48" t="str">
        <f>_xlfn.XLOOKUP(L40, $E$74:$E$83, $F$74:$F$83, "Training")</f>
        <v>BM</v>
      </c>
      <c r="L40" s="51" t="s">
        <v>95</v>
      </c>
      <c r="M40" s="48" t="str">
        <f>_xlfn.XLOOKUP(N40, $E$74:$E$83, $F$74:$F$83, "Training")</f>
        <v>BT</v>
      </c>
      <c r="N40" s="51" t="s">
        <v>56</v>
      </c>
      <c r="O40" s="66"/>
      <c r="Q40" s="331"/>
      <c r="U40" s="165" t="str">
        <f>Mon!U40</f>
        <v>(SN)</v>
      </c>
      <c r="V40" s="9">
        <f t="shared" si="5"/>
        <v>1</v>
      </c>
      <c r="W40" s="36">
        <f>SUM(Mon!V40,Tue!V40,Wed!V40,Thur!V40)</f>
        <v>10</v>
      </c>
      <c r="X40" s="165" t="str">
        <f>Mon!U40</f>
        <v>(SN)</v>
      </c>
      <c r="Y40" s="20">
        <f t="shared" si="0"/>
        <v>0</v>
      </c>
      <c r="Z40" s="21">
        <f t="shared" si="1"/>
        <v>0</v>
      </c>
      <c r="AA40" s="21">
        <f t="shared" si="2"/>
        <v>1</v>
      </c>
      <c r="AB40" s="22">
        <f t="shared" si="3"/>
        <v>0</v>
      </c>
      <c r="AC40" s="25" t="str">
        <f t="shared" si="18"/>
        <v xml:space="preserve"> </v>
      </c>
      <c r="AD40" s="26" t="str">
        <f t="shared" si="19"/>
        <v xml:space="preserve"> </v>
      </c>
      <c r="AE40" s="26" t="str">
        <f t="shared" si="20"/>
        <v xml:space="preserve"> </v>
      </c>
      <c r="AF40" s="27" t="str">
        <f t="shared" si="21"/>
        <v xml:space="preserve"> </v>
      </c>
      <c r="AG40" s="178" t="str">
        <f t="shared" si="10"/>
        <v xml:space="preserve"> </v>
      </c>
      <c r="AH40" s="177" t="str">
        <f t="shared" si="11"/>
        <v xml:space="preserve"> </v>
      </c>
      <c r="AI40" s="177" t="str">
        <f t="shared" si="12"/>
        <v xml:space="preserve"> </v>
      </c>
      <c r="AJ40" s="180" t="str">
        <f t="shared" si="13"/>
        <v xml:space="preserve"> </v>
      </c>
      <c r="AK40" s="178" t="str">
        <f t="shared" si="14"/>
        <v xml:space="preserve"> </v>
      </c>
      <c r="AL40" s="177" t="str">
        <f t="shared" si="15"/>
        <v xml:space="preserve"> </v>
      </c>
      <c r="AM40" s="177" t="str">
        <f t="shared" si="16"/>
        <v>AE (H)</v>
      </c>
      <c r="AN40" s="179" t="str">
        <f t="shared" si="17"/>
        <v xml:space="preserve"> </v>
      </c>
    </row>
    <row r="41" spans="1:40" ht="18" customHeight="1" thickBot="1" x14ac:dyDescent="0.4">
      <c r="A41" s="333"/>
      <c r="B41" s="19" t="str">
        <f>Mon!B41</f>
        <v>AE</v>
      </c>
      <c r="C41" s="19" t="s">
        <v>37</v>
      </c>
      <c r="D41" s="76">
        <v>306</v>
      </c>
      <c r="E41" s="49">
        <f>_xlfn.XLOOKUP(F41, $G$74:$G$83, $H$74:$H$83, "Training")</f>
        <v>0</v>
      </c>
      <c r="F41" s="50"/>
      <c r="G41" s="49">
        <f>_xlfn.XLOOKUP(H41, $G$74:$G$83, $H$74:$H$83, "Training")</f>
        <v>0</v>
      </c>
      <c r="H41" s="50"/>
      <c r="I41" s="337"/>
      <c r="J41" s="338"/>
      <c r="K41" s="49" t="str">
        <f>_xlfn.XLOOKUP(L41, $G$74:$G$83, $H$74:$H$83, "Training")</f>
        <v>QT</v>
      </c>
      <c r="L41" s="50" t="s">
        <v>148</v>
      </c>
      <c r="M41" s="49" t="str">
        <f>_xlfn.XLOOKUP(N41, $G$74:$G$83, $H$74:$H$83, "Training")</f>
        <v>GE</v>
      </c>
      <c r="N41" s="50" t="s">
        <v>144</v>
      </c>
      <c r="O41" s="66"/>
      <c r="Q41" s="331"/>
      <c r="U41" s="165" t="str">
        <f>Mon!U41</f>
        <v>(SP)</v>
      </c>
      <c r="V41" s="9">
        <f t="shared" si="5"/>
        <v>4</v>
      </c>
      <c r="W41" s="36">
        <f>SUM(Mon!V41,Tue!V41,Wed!V41,Thur!V41)</f>
        <v>14</v>
      </c>
      <c r="X41" s="165" t="str">
        <f>Mon!U41</f>
        <v>(SP)</v>
      </c>
      <c r="Y41" s="20">
        <f t="shared" si="0"/>
        <v>1</v>
      </c>
      <c r="Z41" s="21">
        <f t="shared" si="1"/>
        <v>1</v>
      </c>
      <c r="AA41" s="21">
        <f t="shared" si="2"/>
        <v>1</v>
      </c>
      <c r="AB41" s="22">
        <f t="shared" si="3"/>
        <v>1</v>
      </c>
      <c r="AC41" s="25" t="str">
        <f t="shared" si="18"/>
        <v xml:space="preserve"> </v>
      </c>
      <c r="AD41" s="26" t="str">
        <f t="shared" si="19"/>
        <v>PR (K)</v>
      </c>
      <c r="AE41" s="26" t="str">
        <f t="shared" si="20"/>
        <v xml:space="preserve"> </v>
      </c>
      <c r="AF41" s="27" t="str">
        <f t="shared" si="21"/>
        <v>PR (L)</v>
      </c>
      <c r="AG41" s="178" t="str">
        <f t="shared" si="10"/>
        <v>CP (N)</v>
      </c>
      <c r="AH41" s="177" t="str">
        <f t="shared" si="11"/>
        <v xml:space="preserve"> </v>
      </c>
      <c r="AI41" s="177" t="str">
        <f t="shared" si="12"/>
        <v>CP (L)</v>
      </c>
      <c r="AJ41" s="180" t="str">
        <f t="shared" si="13"/>
        <v xml:space="preserve"> </v>
      </c>
      <c r="AK41" s="178" t="str">
        <f t="shared" si="14"/>
        <v xml:space="preserve"> </v>
      </c>
      <c r="AL41" s="177" t="str">
        <f t="shared" si="15"/>
        <v xml:space="preserve"> </v>
      </c>
      <c r="AM41" s="177" t="str">
        <f t="shared" si="16"/>
        <v xml:space="preserve"> </v>
      </c>
      <c r="AN41" s="179" t="str">
        <f t="shared" si="17"/>
        <v xml:space="preserve"> </v>
      </c>
    </row>
    <row r="42" spans="1:40" ht="18" customHeight="1" thickBot="1" x14ac:dyDescent="0.4">
      <c r="A42" s="333"/>
      <c r="B42" s="19" t="str">
        <f>Mon!B42</f>
        <v>AE</v>
      </c>
      <c r="C42" s="19" t="s">
        <v>38</v>
      </c>
      <c r="D42" s="76">
        <v>206</v>
      </c>
      <c r="E42" s="48">
        <f>_xlfn.XLOOKUP(F42, $I$74:$I$83, $J$74:$J$83, "Training")</f>
        <v>0</v>
      </c>
      <c r="F42" s="51"/>
      <c r="G42" s="48">
        <f>_xlfn.XLOOKUP(H42, $I$74:$I$83, $J$74:$J$83, "Training")</f>
        <v>0</v>
      </c>
      <c r="H42" s="51"/>
      <c r="I42" s="337"/>
      <c r="J42" s="338"/>
      <c r="K42" s="48" t="str">
        <f>_xlfn.XLOOKUP(L42, $I$74:$I$83, $J$74:$J$83, "Training")</f>
        <v>BM</v>
      </c>
      <c r="L42" s="51" t="s">
        <v>146</v>
      </c>
      <c r="M42" s="48" t="str">
        <f>_xlfn.XLOOKUP(N42, $I$74:$I$83, $J$74:$J$83, "Training")</f>
        <v>QT</v>
      </c>
      <c r="N42" s="51" t="s">
        <v>120</v>
      </c>
      <c r="O42" s="66"/>
      <c r="Q42" s="331"/>
      <c r="U42" s="165" t="str">
        <f>Mon!U42</f>
        <v>(SR)</v>
      </c>
      <c r="V42" s="9">
        <f t="shared" si="5"/>
        <v>3</v>
      </c>
      <c r="W42" s="36">
        <f>SUM(Mon!V42,Tue!V42,Wed!V42,Thur!V42)</f>
        <v>12</v>
      </c>
      <c r="X42" s="165" t="str">
        <f>Mon!U42</f>
        <v>(SR)</v>
      </c>
      <c r="Y42" s="20">
        <f t="shared" si="0"/>
        <v>1</v>
      </c>
      <c r="Z42" s="21">
        <f t="shared" si="1"/>
        <v>1</v>
      </c>
      <c r="AA42" s="21">
        <f t="shared" si="2"/>
        <v>0</v>
      </c>
      <c r="AB42" s="22">
        <f t="shared" si="3"/>
        <v>1</v>
      </c>
      <c r="AC42" s="25" t="str">
        <f t="shared" si="18"/>
        <v>PR (J)</v>
      </c>
      <c r="AD42" s="26" t="str">
        <f t="shared" si="19"/>
        <v>ECOM (B)</v>
      </c>
      <c r="AE42" s="26" t="str">
        <f t="shared" si="20"/>
        <v xml:space="preserve"> </v>
      </c>
      <c r="AF42" s="27" t="str">
        <f t="shared" si="21"/>
        <v>ECOM (D)</v>
      </c>
      <c r="AG42" s="178" t="str">
        <f t="shared" si="10"/>
        <v xml:space="preserve"> </v>
      </c>
      <c r="AH42" s="177" t="str">
        <f t="shared" si="11"/>
        <v xml:space="preserve"> </v>
      </c>
      <c r="AI42" s="177" t="str">
        <f t="shared" si="12"/>
        <v xml:space="preserve"> </v>
      </c>
      <c r="AJ42" s="180" t="str">
        <f t="shared" si="13"/>
        <v xml:space="preserve"> </v>
      </c>
      <c r="AK42" s="178" t="str">
        <f t="shared" si="14"/>
        <v xml:space="preserve"> </v>
      </c>
      <c r="AL42" s="177" t="str">
        <f t="shared" si="15"/>
        <v xml:space="preserve"> </v>
      </c>
      <c r="AM42" s="177" t="str">
        <f t="shared" si="16"/>
        <v xml:space="preserve"> </v>
      </c>
      <c r="AN42" s="179" t="str">
        <f t="shared" si="17"/>
        <v xml:space="preserve"> </v>
      </c>
    </row>
    <row r="43" spans="1:40" ht="18" customHeight="1" thickBot="1" x14ac:dyDescent="0.4">
      <c r="A43" s="333"/>
      <c r="B43" s="19" t="str">
        <f>Mon!B43</f>
        <v>AE</v>
      </c>
      <c r="C43" s="19" t="s">
        <v>65</v>
      </c>
      <c r="D43" s="76">
        <v>207</v>
      </c>
      <c r="E43" s="48">
        <f>_xlfn.XLOOKUP(F43, $K$74:$K$83, $L$74:$L$83, "Training")</f>
        <v>0</v>
      </c>
      <c r="F43" s="51"/>
      <c r="G43" s="48">
        <f>_xlfn.XLOOKUP(H43, $K$74:$K$83, $L$74:$L$83, "Training")</f>
        <v>0</v>
      </c>
      <c r="H43" s="51"/>
      <c r="I43" s="337"/>
      <c r="J43" s="338"/>
      <c r="K43" s="48" t="str">
        <f>_xlfn.XLOOKUP(L43, $K$74:$K$83, $L$74:$L$83, "Training")</f>
        <v>AE</v>
      </c>
      <c r="L43" s="51" t="s">
        <v>144</v>
      </c>
      <c r="M43" s="48" t="str">
        <f>_xlfn.XLOOKUP(N43, $K$74:$K$83, $L$74:$L$83, "Training")</f>
        <v>BT</v>
      </c>
      <c r="N43" s="51" t="s">
        <v>95</v>
      </c>
      <c r="O43" s="66"/>
      <c r="U43" s="165" t="str">
        <f>Mon!U43</f>
        <v>(SRN)</v>
      </c>
      <c r="V43" s="9">
        <f t="shared" si="5"/>
        <v>3</v>
      </c>
      <c r="W43" s="36">
        <f>SUM(Mon!V43,Tue!V43,Wed!V43,Thur!V43)</f>
        <v>13</v>
      </c>
      <c r="X43" s="165" t="str">
        <f>Mon!U43</f>
        <v>(SRN)</v>
      </c>
      <c r="Y43" s="20">
        <f t="shared" si="0"/>
        <v>1</v>
      </c>
      <c r="Z43" s="21">
        <f t="shared" si="1"/>
        <v>1</v>
      </c>
      <c r="AA43" s="21">
        <f t="shared" si="2"/>
        <v>1</v>
      </c>
      <c r="AB43" s="22">
        <f t="shared" si="3"/>
        <v>0</v>
      </c>
      <c r="AC43" s="25" t="str">
        <f t="shared" si="18"/>
        <v>IT (A)</v>
      </c>
      <c r="AD43" s="26" t="str">
        <f t="shared" si="19"/>
        <v>IF (E)</v>
      </c>
      <c r="AE43" s="26" t="str">
        <f t="shared" si="20"/>
        <v>IT (H)</v>
      </c>
      <c r="AF43" s="27" t="str">
        <f t="shared" si="21"/>
        <v xml:space="preserve"> </v>
      </c>
      <c r="AG43" s="178" t="str">
        <f t="shared" si="10"/>
        <v xml:space="preserve"> </v>
      </c>
      <c r="AH43" s="177" t="str">
        <f t="shared" si="11"/>
        <v xml:space="preserve"> </v>
      </c>
      <c r="AI43" s="177" t="str">
        <f t="shared" si="12"/>
        <v xml:space="preserve"> </v>
      </c>
      <c r="AJ43" s="180" t="str">
        <f t="shared" si="13"/>
        <v xml:space="preserve"> </v>
      </c>
      <c r="AK43" s="178" t="str">
        <f t="shared" si="14"/>
        <v xml:space="preserve"> </v>
      </c>
      <c r="AL43" s="177" t="str">
        <f t="shared" si="15"/>
        <v xml:space="preserve"> </v>
      </c>
      <c r="AM43" s="177" t="str">
        <f t="shared" si="16"/>
        <v xml:space="preserve"> </v>
      </c>
      <c r="AN43" s="179" t="str">
        <f t="shared" si="17"/>
        <v xml:space="preserve"> </v>
      </c>
    </row>
    <row r="44" spans="1:40" ht="18" customHeight="1" thickBot="1" x14ac:dyDescent="0.4">
      <c r="A44" s="333"/>
      <c r="B44" s="19" t="str">
        <f>Mon!B44</f>
        <v>AE</v>
      </c>
      <c r="C44" s="19" t="s">
        <v>69</v>
      </c>
      <c r="D44" s="76">
        <v>202</v>
      </c>
      <c r="E44" s="48">
        <f>_xlfn.XLOOKUP(F44, $M$74:$M$83, $N$74:$N$83, "Training")</f>
        <v>0</v>
      </c>
      <c r="F44" s="51"/>
      <c r="G44" s="48">
        <f>_xlfn.XLOOKUP(H44, $M$74:$M$83, $N$74:$N$83, "Training")</f>
        <v>0</v>
      </c>
      <c r="H44" s="51"/>
      <c r="I44" s="337"/>
      <c r="J44" s="338"/>
      <c r="K44" s="48" t="str">
        <f>_xlfn.XLOOKUP(L44, $M$74:$M$83, $N$74:$N$83, "Training")</f>
        <v>QT</v>
      </c>
      <c r="L44" s="51" t="s">
        <v>71</v>
      </c>
      <c r="M44" s="48" t="str">
        <f>_xlfn.XLOOKUP(N44, $M$74:$M$83, $N$74:$N$83, "Training")</f>
        <v>BT</v>
      </c>
      <c r="N44" s="51" t="s">
        <v>34</v>
      </c>
      <c r="O44" s="66"/>
      <c r="U44" s="165" t="str">
        <f>Mon!U44</f>
        <v>(SRS)</v>
      </c>
      <c r="V44" s="9">
        <f t="shared" si="5"/>
        <v>3</v>
      </c>
      <c r="W44" s="36">
        <f>SUM(Mon!V44,Tue!V44,Wed!V44,Thur!V44)</f>
        <v>13</v>
      </c>
      <c r="X44" s="165" t="str">
        <f>Mon!U44</f>
        <v>(SRS)</v>
      </c>
      <c r="Y44" s="20">
        <f t="shared" si="0"/>
        <v>1</v>
      </c>
      <c r="Z44" s="21">
        <f t="shared" si="1"/>
        <v>1</v>
      </c>
      <c r="AA44" s="21">
        <f t="shared" si="2"/>
        <v>1</v>
      </c>
      <c r="AB44" s="22">
        <f t="shared" si="3"/>
        <v>0</v>
      </c>
      <c r="AC44" s="25" t="str">
        <f t="shared" si="18"/>
        <v xml:space="preserve"> </v>
      </c>
      <c r="AD44" s="26" t="str">
        <f t="shared" si="19"/>
        <v>CB (H)</v>
      </c>
      <c r="AE44" s="26" t="str">
        <f t="shared" si="20"/>
        <v xml:space="preserve"> </v>
      </c>
      <c r="AF44" s="27" t="str">
        <f t="shared" si="21"/>
        <v xml:space="preserve"> </v>
      </c>
      <c r="AG44" s="178" t="str">
        <f t="shared" si="10"/>
        <v>MM (L)</v>
      </c>
      <c r="AH44" s="177" t="str">
        <f t="shared" si="11"/>
        <v xml:space="preserve"> </v>
      </c>
      <c r="AI44" s="177" t="str">
        <f t="shared" si="12"/>
        <v>MM (J)</v>
      </c>
      <c r="AJ44" s="180" t="str">
        <f t="shared" si="13"/>
        <v xml:space="preserve"> </v>
      </c>
      <c r="AK44" s="178" t="str">
        <f t="shared" si="14"/>
        <v xml:space="preserve"> </v>
      </c>
      <c r="AL44" s="177" t="str">
        <f t="shared" si="15"/>
        <v xml:space="preserve"> </v>
      </c>
      <c r="AM44" s="177" t="str">
        <f t="shared" si="16"/>
        <v xml:space="preserve"> </v>
      </c>
      <c r="AN44" s="179" t="str">
        <f t="shared" si="17"/>
        <v xml:space="preserve"> </v>
      </c>
    </row>
    <row r="45" spans="1:40" ht="18" customHeight="1" thickBot="1" x14ac:dyDescent="0.4">
      <c r="A45" s="333"/>
      <c r="B45" s="19" t="str">
        <f>Mon!B45</f>
        <v>AE</v>
      </c>
      <c r="C45" s="19" t="s">
        <v>72</v>
      </c>
      <c r="D45" s="76">
        <v>205</v>
      </c>
      <c r="E45" s="48">
        <f>_xlfn.XLOOKUP(F45, $O$74:$O$83, $P$74:$P$83, "Training")</f>
        <v>0</v>
      </c>
      <c r="F45" s="51"/>
      <c r="G45" s="48">
        <f>_xlfn.XLOOKUP(H45, $O$74:$O$83, $P$74:$P$83, "Training")</f>
        <v>0</v>
      </c>
      <c r="H45" s="51"/>
      <c r="I45" s="337"/>
      <c r="J45" s="338"/>
      <c r="K45" s="48" t="str">
        <f>_xlfn.XLOOKUP(L45, $O$74:$O$83, $P$74:$P$83, "Training")</f>
        <v>AE</v>
      </c>
      <c r="L45" s="51" t="s">
        <v>147</v>
      </c>
      <c r="M45" s="48" t="str">
        <f>_xlfn.XLOOKUP(N45, $O$74:$O$83, $P$74:$P$83, "Training")</f>
        <v>BM</v>
      </c>
      <c r="N45" s="51" t="s">
        <v>149</v>
      </c>
      <c r="O45" s="66"/>
      <c r="U45" s="165" t="str">
        <f>Mon!U45</f>
        <v>(SUH)</v>
      </c>
      <c r="V45" s="9">
        <f t="shared" si="5"/>
        <v>2</v>
      </c>
      <c r="W45" s="36">
        <f>SUM(Mon!V45,Tue!V45,Wed!V45,Thur!V45)</f>
        <v>12</v>
      </c>
      <c r="X45" s="165" t="str">
        <f>Mon!U45</f>
        <v>(SUH)</v>
      </c>
      <c r="Y45" s="20">
        <f t="shared" si="0"/>
        <v>1</v>
      </c>
      <c r="Z45" s="21">
        <f t="shared" si="1"/>
        <v>1</v>
      </c>
      <c r="AA45" s="21">
        <f t="shared" si="2"/>
        <v>0</v>
      </c>
      <c r="AB45" s="22">
        <f t="shared" si="3"/>
        <v>0</v>
      </c>
      <c r="AC45" s="25" t="str">
        <f t="shared" si="18"/>
        <v xml:space="preserve"> </v>
      </c>
      <c r="AD45" s="26" t="str">
        <f t="shared" si="19"/>
        <v xml:space="preserve"> </v>
      </c>
      <c r="AE45" s="26" t="str">
        <f t="shared" si="20"/>
        <v xml:space="preserve"> </v>
      </c>
      <c r="AF45" s="27" t="str">
        <f t="shared" si="21"/>
        <v xml:space="preserve"> </v>
      </c>
      <c r="AG45" s="178" t="str">
        <f t="shared" si="10"/>
        <v>HR (E)</v>
      </c>
      <c r="AH45" s="177" t="str">
        <f t="shared" si="11"/>
        <v>HR (D)</v>
      </c>
      <c r="AI45" s="177" t="str">
        <f t="shared" si="12"/>
        <v xml:space="preserve"> </v>
      </c>
      <c r="AJ45" s="180" t="str">
        <f t="shared" si="13"/>
        <v xml:space="preserve"> </v>
      </c>
      <c r="AK45" s="178" t="str">
        <f t="shared" si="14"/>
        <v xml:space="preserve"> </v>
      </c>
      <c r="AL45" s="177" t="str">
        <f t="shared" si="15"/>
        <v xml:space="preserve"> </v>
      </c>
      <c r="AM45" s="177" t="str">
        <f t="shared" si="16"/>
        <v xml:space="preserve"> </v>
      </c>
      <c r="AN45" s="179" t="str">
        <f t="shared" si="17"/>
        <v xml:space="preserve"> </v>
      </c>
    </row>
    <row r="46" spans="1:40" ht="18" customHeight="1" thickBot="1" x14ac:dyDescent="0.4">
      <c r="A46" s="333"/>
      <c r="B46" s="19" t="str">
        <f>Mon!B46</f>
        <v>HIN</v>
      </c>
      <c r="C46" s="19" t="s">
        <v>76</v>
      </c>
      <c r="D46" s="76">
        <v>203</v>
      </c>
      <c r="E46" s="48">
        <f>_xlfn.XLOOKUP(F46, $Q$74:$Q$83, $R$74:$R$83, "Training")</f>
        <v>0</v>
      </c>
      <c r="F46" s="51"/>
      <c r="G46" s="48">
        <f>_xlfn.XLOOKUP(H46, $Q$74:$Q$83, $R$74:$R$83, "Training")</f>
        <v>0</v>
      </c>
      <c r="H46" s="51"/>
      <c r="I46" s="337"/>
      <c r="J46" s="338"/>
      <c r="K46" s="48" t="str">
        <f>_xlfn.XLOOKUP(L46, $Q$74:$Q$83, $R$74:$R$83, "Training")</f>
        <v>FA</v>
      </c>
      <c r="L46" s="51" t="s">
        <v>145</v>
      </c>
      <c r="M46" s="48" t="str">
        <f>_xlfn.XLOOKUP(N46, $Q$74:$Q$83, $R$74:$R$83, "Training")</f>
        <v>HIN</v>
      </c>
      <c r="N46" s="51" t="s">
        <v>153</v>
      </c>
      <c r="O46" s="66"/>
      <c r="U46" s="165" t="str">
        <f>Mon!U46</f>
        <v>(SUN)</v>
      </c>
      <c r="V46" s="9">
        <f t="shared" si="5"/>
        <v>3</v>
      </c>
      <c r="W46" s="36">
        <f>SUM(Mon!V46,Tue!V46,Wed!V46,Thur!V46)</f>
        <v>10</v>
      </c>
      <c r="X46" s="165" t="str">
        <f>Mon!U46</f>
        <v>(SUN)</v>
      </c>
      <c r="Y46" s="20">
        <f t="shared" si="0"/>
        <v>1</v>
      </c>
      <c r="Z46" s="21">
        <f t="shared" si="1"/>
        <v>0</v>
      </c>
      <c r="AA46" s="21">
        <f t="shared" si="2"/>
        <v>1</v>
      </c>
      <c r="AB46" s="22">
        <f t="shared" si="3"/>
        <v>1</v>
      </c>
      <c r="AC46" s="25" t="str">
        <f t="shared" si="18"/>
        <v>IB (C)</v>
      </c>
      <c r="AD46" s="26" t="str">
        <f t="shared" si="19"/>
        <v xml:space="preserve"> </v>
      </c>
      <c r="AE46" s="26" t="str">
        <f t="shared" si="20"/>
        <v>FMS (E)</v>
      </c>
      <c r="AF46" s="27" t="str">
        <f t="shared" si="21"/>
        <v>FMS (A)</v>
      </c>
      <c r="AG46" s="178" t="str">
        <f t="shared" si="10"/>
        <v xml:space="preserve"> </v>
      </c>
      <c r="AH46" s="177" t="str">
        <f t="shared" si="11"/>
        <v xml:space="preserve"> </v>
      </c>
      <c r="AI46" s="177" t="str">
        <f t="shared" si="12"/>
        <v xml:space="preserve"> </v>
      </c>
      <c r="AJ46" s="180" t="str">
        <f t="shared" si="13"/>
        <v xml:space="preserve"> </v>
      </c>
      <c r="AK46" s="178" t="str">
        <f t="shared" si="14"/>
        <v xml:space="preserve"> </v>
      </c>
      <c r="AL46" s="177" t="str">
        <f t="shared" si="15"/>
        <v xml:space="preserve"> </v>
      </c>
      <c r="AM46" s="177" t="str">
        <f t="shared" si="16"/>
        <v xml:space="preserve"> </v>
      </c>
      <c r="AN46" s="179" t="str">
        <f t="shared" si="17"/>
        <v xml:space="preserve"> </v>
      </c>
    </row>
    <row r="47" spans="1:40" ht="18" customHeight="1" thickBot="1" x14ac:dyDescent="0.4">
      <c r="A47" s="333"/>
      <c r="B47" s="19" t="str">
        <f>Mon!B47</f>
        <v>HIN</v>
      </c>
      <c r="C47" s="19" t="s">
        <v>79</v>
      </c>
      <c r="D47" s="76">
        <v>201</v>
      </c>
      <c r="E47" s="48">
        <f>_xlfn.XLOOKUP(F47, $S$74:$S$83, $T$74:$T$83, "Training")</f>
        <v>0</v>
      </c>
      <c r="F47" s="51"/>
      <c r="G47" s="48">
        <f>_xlfn.XLOOKUP(H47, $S$74:$S$83, $T$74:$T$83, "Training")</f>
        <v>0</v>
      </c>
      <c r="H47" s="51"/>
      <c r="I47" s="337"/>
      <c r="J47" s="338"/>
      <c r="K47" s="48" t="str">
        <f>_xlfn.XLOOKUP(L47, $S$74:$S$83, $T$74:$T$83, "Training")</f>
        <v>FA</v>
      </c>
      <c r="L47" s="51" t="s">
        <v>110</v>
      </c>
      <c r="M47" s="48" t="str">
        <f>_xlfn.XLOOKUP(N47, $S$74:$S$83, $T$74:$T$83, "Training")</f>
        <v>BM</v>
      </c>
      <c r="N47" s="51" t="s">
        <v>146</v>
      </c>
      <c r="O47" s="66"/>
      <c r="U47" s="165" t="str">
        <f>Mon!U47</f>
        <v>(SUP)</v>
      </c>
      <c r="V47" s="9">
        <f t="shared" si="5"/>
        <v>2</v>
      </c>
      <c r="W47" s="36">
        <f>SUM(Mon!V47,Tue!V47,Wed!V47,Thur!V47)</f>
        <v>11</v>
      </c>
      <c r="X47" s="165" t="str">
        <f>Mon!U47</f>
        <v>(SUP)</v>
      </c>
      <c r="Y47" s="20">
        <f t="shared" si="0"/>
        <v>0</v>
      </c>
      <c r="Z47" s="21">
        <f t="shared" si="1"/>
        <v>1</v>
      </c>
      <c r="AA47" s="21">
        <f t="shared" si="2"/>
        <v>1</v>
      </c>
      <c r="AB47" s="22">
        <f t="shared" si="3"/>
        <v>0</v>
      </c>
      <c r="AC47" s="25" t="str">
        <f t="shared" si="18"/>
        <v xml:space="preserve"> </v>
      </c>
      <c r="AD47" s="26" t="str">
        <f t="shared" si="19"/>
        <v>AA (A)</v>
      </c>
      <c r="AE47" s="26" t="str">
        <f t="shared" si="20"/>
        <v>IT (I)</v>
      </c>
      <c r="AF47" s="27" t="str">
        <f t="shared" si="21"/>
        <v xml:space="preserve"> </v>
      </c>
      <c r="AG47" s="178" t="str">
        <f t="shared" si="10"/>
        <v xml:space="preserve"> </v>
      </c>
      <c r="AH47" s="177" t="str">
        <f t="shared" si="11"/>
        <v xml:space="preserve"> </v>
      </c>
      <c r="AI47" s="177" t="str">
        <f t="shared" si="12"/>
        <v xml:space="preserve"> </v>
      </c>
      <c r="AJ47" s="180" t="str">
        <f t="shared" si="13"/>
        <v xml:space="preserve"> </v>
      </c>
      <c r="AK47" s="178" t="str">
        <f t="shared" si="14"/>
        <v xml:space="preserve"> </v>
      </c>
      <c r="AL47" s="177" t="str">
        <f t="shared" si="15"/>
        <v xml:space="preserve"> </v>
      </c>
      <c r="AM47" s="177" t="str">
        <f t="shared" si="16"/>
        <v xml:space="preserve"> </v>
      </c>
      <c r="AN47" s="179" t="str">
        <f t="shared" si="17"/>
        <v xml:space="preserve"> </v>
      </c>
    </row>
    <row r="48" spans="1:40" ht="18" customHeight="1" thickBot="1" x14ac:dyDescent="0.4">
      <c r="A48" s="333"/>
      <c r="B48" s="19" t="str">
        <f>Mon!B48</f>
        <v>HIN</v>
      </c>
      <c r="C48" s="19" t="s">
        <v>81</v>
      </c>
      <c r="D48" s="76">
        <v>301</v>
      </c>
      <c r="E48" s="48">
        <f>_xlfn.XLOOKUP(F48, $U$74:$U$83, $V$74:$V$83, "Training")</f>
        <v>0</v>
      </c>
      <c r="F48" s="51"/>
      <c r="G48" s="48">
        <f>_xlfn.XLOOKUP(H48, $U$74:$U$83, $V$74:$V$83, "Training")</f>
        <v>0</v>
      </c>
      <c r="H48" s="51"/>
      <c r="I48" s="337"/>
      <c r="J48" s="338"/>
      <c r="K48" s="48" t="str">
        <f>_xlfn.XLOOKUP(L48, $U$74:$U$83, $V$74:$V$83, "Training")</f>
        <v>FA</v>
      </c>
      <c r="L48" s="51" t="s">
        <v>115</v>
      </c>
      <c r="M48" s="48" t="str">
        <f>_xlfn.XLOOKUP(N48, $U$74:$U$83, $V$74:$V$83, "Training")</f>
        <v>QT</v>
      </c>
      <c r="N48" s="51" t="s">
        <v>75</v>
      </c>
      <c r="O48" s="66"/>
      <c r="U48" s="165" t="str">
        <f>Mon!U48</f>
        <v>(SV)</v>
      </c>
      <c r="V48" s="9">
        <f t="shared" si="5"/>
        <v>1</v>
      </c>
      <c r="W48" s="36">
        <f>SUM(Mon!V48,Tue!V48,Wed!V48,Thur!V48)</f>
        <v>8</v>
      </c>
      <c r="X48" s="165" t="str">
        <f>Mon!U48</f>
        <v>(SV)</v>
      </c>
      <c r="Y48" s="20">
        <f t="shared" si="0"/>
        <v>0</v>
      </c>
      <c r="Z48" s="21">
        <f t="shared" si="1"/>
        <v>0</v>
      </c>
      <c r="AA48" s="21">
        <f t="shared" si="2"/>
        <v>0</v>
      </c>
      <c r="AB48" s="22">
        <f t="shared" si="3"/>
        <v>1</v>
      </c>
      <c r="AC48" s="25" t="str">
        <f t="shared" si="18"/>
        <v xml:space="preserve"> </v>
      </c>
      <c r="AD48" s="26" t="str">
        <f t="shared" si="19"/>
        <v xml:space="preserve"> </v>
      </c>
      <c r="AE48" s="26" t="str">
        <f t="shared" si="20"/>
        <v xml:space="preserve"> </v>
      </c>
      <c r="AF48" s="27" t="str">
        <f t="shared" si="21"/>
        <v xml:space="preserve"> </v>
      </c>
      <c r="AG48" s="178" t="str">
        <f t="shared" si="10"/>
        <v xml:space="preserve"> </v>
      </c>
      <c r="AH48" s="177" t="str">
        <f t="shared" si="11"/>
        <v xml:space="preserve"> </v>
      </c>
      <c r="AI48" s="177" t="str">
        <f t="shared" si="12"/>
        <v xml:space="preserve"> </v>
      </c>
      <c r="AJ48" s="180" t="str">
        <f t="shared" si="13"/>
        <v xml:space="preserve"> </v>
      </c>
      <c r="AK48" s="178" t="str">
        <f t="shared" si="14"/>
        <v xml:space="preserve"> </v>
      </c>
      <c r="AL48" s="177" t="str">
        <f t="shared" si="15"/>
        <v xml:space="preserve"> </v>
      </c>
      <c r="AM48" s="177" t="str">
        <f t="shared" si="16"/>
        <v xml:space="preserve"> </v>
      </c>
      <c r="AN48" s="179" t="str">
        <f t="shared" si="17"/>
        <v>HIN (I)</v>
      </c>
    </row>
    <row r="49" spans="1:40" ht="15.75" customHeight="1" thickBot="1" x14ac:dyDescent="0.4">
      <c r="A49" s="333"/>
      <c r="B49" s="19" t="s">
        <v>152</v>
      </c>
      <c r="C49" s="19" t="s">
        <v>84</v>
      </c>
      <c r="D49" s="91">
        <v>307</v>
      </c>
      <c r="E49" s="48">
        <f>_xlfn.XLOOKUP(F49, $W$74:$W$83, $X$74:$X$83, "Training")</f>
        <v>0</v>
      </c>
      <c r="F49" s="51"/>
      <c r="G49" s="48">
        <f>_xlfn.XLOOKUP(H49, $W$74:$W$83, $X$74:$X$83, "Training")</f>
        <v>0</v>
      </c>
      <c r="H49" s="51"/>
      <c r="I49" s="337"/>
      <c r="J49" s="338"/>
      <c r="K49" s="48" t="str">
        <f>_xlfn.XLOOKUP(L49, $W$74:$W$83, $X$74:$X$83, "Training")</f>
        <v>FA</v>
      </c>
      <c r="L49" s="51" t="s">
        <v>182</v>
      </c>
      <c r="M49" s="48" t="str">
        <f>_xlfn.XLOOKUP(N49, $W$74:$W$83, $X$74:$X$83, "Training")</f>
        <v>GE</v>
      </c>
      <c r="N49" s="51" t="s">
        <v>123</v>
      </c>
      <c r="O49" s="66"/>
      <c r="U49" s="165" t="str">
        <f>Mon!U49</f>
        <v>(SW)</v>
      </c>
      <c r="V49" s="9">
        <f t="shared" si="5"/>
        <v>3</v>
      </c>
      <c r="W49" s="36">
        <f>SUM(Mon!V49,Tue!V49,Wed!V49,Thur!V49)</f>
        <v>13</v>
      </c>
      <c r="X49" s="165" t="str">
        <f>Mon!U49</f>
        <v>(SW)</v>
      </c>
      <c r="Y49" s="20">
        <f t="shared" si="0"/>
        <v>0</v>
      </c>
      <c r="Z49" s="21">
        <f t="shared" si="1"/>
        <v>1</v>
      </c>
      <c r="AA49" s="21">
        <f t="shared" si="2"/>
        <v>1</v>
      </c>
      <c r="AB49" s="22">
        <f t="shared" si="3"/>
        <v>1</v>
      </c>
      <c r="AC49" s="25" t="str">
        <f t="shared" si="18"/>
        <v xml:space="preserve"> </v>
      </c>
      <c r="AD49" s="26" t="str">
        <f t="shared" si="19"/>
        <v xml:space="preserve"> </v>
      </c>
      <c r="AE49" s="26" t="str">
        <f t="shared" si="20"/>
        <v xml:space="preserve"> </v>
      </c>
      <c r="AF49" s="27" t="str">
        <f t="shared" si="21"/>
        <v xml:space="preserve"> </v>
      </c>
      <c r="AG49" s="178" t="str">
        <f t="shared" si="10"/>
        <v xml:space="preserve"> </v>
      </c>
      <c r="AH49" s="177" t="str">
        <f t="shared" si="11"/>
        <v>CA (M)</v>
      </c>
      <c r="AI49" s="177" t="str">
        <f t="shared" si="12"/>
        <v>CA (E)</v>
      </c>
      <c r="AJ49" s="180" t="str">
        <f t="shared" si="13"/>
        <v>CA (H)</v>
      </c>
      <c r="AK49" s="178" t="str">
        <f t="shared" si="14"/>
        <v xml:space="preserve"> </v>
      </c>
      <c r="AL49" s="177" t="str">
        <f t="shared" si="15"/>
        <v xml:space="preserve"> </v>
      </c>
      <c r="AM49" s="177" t="str">
        <f t="shared" si="16"/>
        <v xml:space="preserve"> </v>
      </c>
      <c r="AN49" s="179" t="str">
        <f t="shared" si="17"/>
        <v xml:space="preserve"> </v>
      </c>
    </row>
    <row r="50" spans="1:40" ht="15.75" customHeight="1" thickBot="1" x14ac:dyDescent="0.4">
      <c r="A50" s="333"/>
      <c r="B50" s="19" t="s">
        <v>154</v>
      </c>
      <c r="C50" s="19" t="s">
        <v>126</v>
      </c>
      <c r="D50" s="91"/>
      <c r="E50" s="83">
        <f>_xlfn.XLOOKUP(F50, $Y$74:$Y$83, $Z$74:$Z$83, "Training")</f>
        <v>0</v>
      </c>
      <c r="F50" s="187"/>
      <c r="G50" s="83">
        <f>_xlfn.XLOOKUP(H50, $Y$74:$Y$83, $Z$74:$Z$83, "Training")</f>
        <v>0</v>
      </c>
      <c r="H50" s="188"/>
      <c r="I50" s="337"/>
      <c r="J50" s="338"/>
      <c r="K50" s="83" t="str">
        <f>_xlfn.XLOOKUP(L50, $Y$74:$Y$83, $Z$74:$Z$83, "Training")</f>
        <v>QT</v>
      </c>
      <c r="L50" s="187" t="s">
        <v>120</v>
      </c>
      <c r="M50" s="83" t="str">
        <f>_xlfn.XLOOKUP(N50, $Y$74:$Y$83, $Z$74:$Z$83, "Training")</f>
        <v>FA</v>
      </c>
      <c r="N50" s="187" t="s">
        <v>145</v>
      </c>
      <c r="O50" s="66"/>
      <c r="U50" s="165" t="str">
        <f>Mon!U50</f>
        <v>(TK)</v>
      </c>
      <c r="V50" s="9">
        <f t="shared" si="5"/>
        <v>3</v>
      </c>
      <c r="W50" s="36">
        <f>SUM(Mon!V50,Tue!V50,Wed!V50,Thur!V50)</f>
        <v>11</v>
      </c>
      <c r="X50" s="165" t="str">
        <f>Mon!U50</f>
        <v>(TK)</v>
      </c>
      <c r="Y50" s="20">
        <f t="shared" si="0"/>
        <v>0</v>
      </c>
      <c r="Z50" s="21">
        <f t="shared" si="1"/>
        <v>1</v>
      </c>
      <c r="AA50" s="21">
        <f t="shared" si="2"/>
        <v>1</v>
      </c>
      <c r="AB50" s="22">
        <f t="shared" si="3"/>
        <v>1</v>
      </c>
      <c r="AC50" s="25" t="str">
        <f t="shared" si="18"/>
        <v xml:space="preserve"> </v>
      </c>
      <c r="AD50" s="26" t="str">
        <f t="shared" si="19"/>
        <v xml:space="preserve"> </v>
      </c>
      <c r="AE50" s="26" t="str">
        <f t="shared" si="20"/>
        <v xml:space="preserve"> </v>
      </c>
      <c r="AF50" s="27" t="str">
        <f t="shared" si="21"/>
        <v>MA (B)</v>
      </c>
      <c r="AG50" s="178" t="str">
        <f t="shared" si="10"/>
        <v xml:space="preserve"> </v>
      </c>
      <c r="AH50" s="177" t="str">
        <f t="shared" si="11"/>
        <v>CA (B)</v>
      </c>
      <c r="AI50" s="177" t="str">
        <f t="shared" si="12"/>
        <v>CA (K)</v>
      </c>
      <c r="AJ50" s="180" t="str">
        <f t="shared" si="13"/>
        <v xml:space="preserve"> </v>
      </c>
      <c r="AK50" s="178" t="str">
        <f t="shared" si="14"/>
        <v xml:space="preserve"> </v>
      </c>
      <c r="AL50" s="177" t="str">
        <f t="shared" si="15"/>
        <v xml:space="preserve"> </v>
      </c>
      <c r="AM50" s="177" t="str">
        <f t="shared" si="16"/>
        <v xml:space="preserve"> </v>
      </c>
      <c r="AN50" s="179" t="str">
        <f t="shared" si="17"/>
        <v xml:space="preserve"> </v>
      </c>
    </row>
    <row r="51" spans="1:40" ht="15.75" customHeight="1" thickBot="1" x14ac:dyDescent="0.4">
      <c r="A51" s="333"/>
      <c r="B51" s="161" t="s">
        <v>155</v>
      </c>
      <c r="C51" s="98" t="s">
        <v>128</v>
      </c>
      <c r="D51" s="201"/>
      <c r="E51" s="49">
        <f>_xlfn.XLOOKUP(F51, $AA$74:$AA$83, $AB$74:$AB$83, "Training")</f>
        <v>0</v>
      </c>
      <c r="F51" s="203"/>
      <c r="G51" s="49">
        <f>_xlfn.XLOOKUP(H51, $AA$74:$AA$83, $AB$74:$AB$83, "Training")</f>
        <v>0</v>
      </c>
      <c r="H51" s="50"/>
      <c r="I51" s="337"/>
      <c r="J51" s="338"/>
      <c r="K51" s="49" t="str">
        <f>_xlfn.XLOOKUP(L51, $AA$74:$AA$83, $AB$74:$AB$83, "Training")</f>
        <v>GE</v>
      </c>
      <c r="L51" s="203" t="s">
        <v>133</v>
      </c>
      <c r="M51" s="49" t="str">
        <f>_xlfn.XLOOKUP(N51, $AA$74:$AA$83, $AB$74:$AB$83, "Training")</f>
        <v>FA</v>
      </c>
      <c r="N51" s="203" t="s">
        <v>115</v>
      </c>
      <c r="O51" s="66"/>
      <c r="U51" s="165" t="str">
        <f>Mon!U51</f>
        <v>(UK)</v>
      </c>
      <c r="V51" s="9">
        <f t="shared" si="5"/>
        <v>2</v>
      </c>
      <c r="W51" s="36">
        <f>SUM(Mon!V51,Tue!V51,Wed!V51,Thur!V51)</f>
        <v>8</v>
      </c>
      <c r="X51" s="165" t="str">
        <f>Mon!U51</f>
        <v>(UK)</v>
      </c>
      <c r="Y51" s="20">
        <f t="shared" si="0"/>
        <v>1</v>
      </c>
      <c r="Z51" s="21">
        <f t="shared" si="1"/>
        <v>0</v>
      </c>
      <c r="AA51" s="21">
        <f t="shared" si="2"/>
        <v>0</v>
      </c>
      <c r="AB51" s="22">
        <f t="shared" si="3"/>
        <v>1</v>
      </c>
      <c r="AC51" s="25" t="str">
        <f t="shared" si="18"/>
        <v>IT (G)</v>
      </c>
      <c r="AD51" s="26" t="str">
        <f t="shared" si="19"/>
        <v xml:space="preserve"> </v>
      </c>
      <c r="AE51" s="26" t="str">
        <f t="shared" si="20"/>
        <v xml:space="preserve"> </v>
      </c>
      <c r="AF51" s="27" t="str">
        <f t="shared" si="21"/>
        <v>IT (F)</v>
      </c>
      <c r="AG51" s="178" t="str">
        <f t="shared" si="10"/>
        <v xml:space="preserve"> </v>
      </c>
      <c r="AH51" s="177" t="str">
        <f t="shared" si="11"/>
        <v xml:space="preserve"> </v>
      </c>
      <c r="AI51" s="177" t="str">
        <f t="shared" si="12"/>
        <v xml:space="preserve"> </v>
      </c>
      <c r="AJ51" s="180" t="str">
        <f t="shared" si="13"/>
        <v xml:space="preserve"> </v>
      </c>
      <c r="AK51" s="178" t="str">
        <f t="shared" si="14"/>
        <v xml:space="preserve"> </v>
      </c>
      <c r="AL51" s="177" t="str">
        <f t="shared" si="15"/>
        <v xml:space="preserve"> </v>
      </c>
      <c r="AM51" s="177" t="str">
        <f t="shared" si="16"/>
        <v xml:space="preserve"> </v>
      </c>
      <c r="AN51" s="179" t="str">
        <f t="shared" si="17"/>
        <v xml:space="preserve"> </v>
      </c>
    </row>
    <row r="52" spans="1:40" ht="15.75" customHeight="1" thickBot="1" x14ac:dyDescent="0.4">
      <c r="A52" s="333"/>
      <c r="B52" s="19" t="s">
        <v>87</v>
      </c>
      <c r="C52" s="98" t="s">
        <v>41</v>
      </c>
      <c r="D52" s="201">
        <v>401</v>
      </c>
      <c r="E52" s="189" t="s">
        <v>230</v>
      </c>
      <c r="F52" s="186"/>
      <c r="G52" s="189" t="s">
        <v>230</v>
      </c>
      <c r="H52" s="190"/>
      <c r="I52" s="337"/>
      <c r="J52" s="338"/>
      <c r="K52" s="48" t="s">
        <v>159</v>
      </c>
      <c r="L52" s="51" t="s">
        <v>131</v>
      </c>
      <c r="M52" s="48" t="s">
        <v>157</v>
      </c>
      <c r="N52" s="51" t="s">
        <v>98</v>
      </c>
      <c r="O52" s="66"/>
      <c r="U52" s="165" t="str">
        <f>Mon!U52</f>
        <v>(VA)</v>
      </c>
      <c r="V52" s="9">
        <f t="shared" si="5"/>
        <v>3</v>
      </c>
      <c r="W52" s="36">
        <f>SUM(Mon!V52,Tue!V52,Wed!V52,Thur!V52)</f>
        <v>12</v>
      </c>
      <c r="X52" s="165" t="str">
        <f>Mon!U52</f>
        <v>(VA)</v>
      </c>
      <c r="Y52" s="20">
        <f t="shared" si="0"/>
        <v>0</v>
      </c>
      <c r="Z52" s="23">
        <f t="shared" si="1"/>
        <v>1</v>
      </c>
      <c r="AA52" s="23">
        <f t="shared" si="2"/>
        <v>2</v>
      </c>
      <c r="AB52" s="24">
        <f t="shared" si="3"/>
        <v>0</v>
      </c>
      <c r="AC52" s="25" t="str">
        <f t="shared" si="18"/>
        <v xml:space="preserve"> </v>
      </c>
      <c r="AD52" s="26" t="str">
        <f t="shared" si="19"/>
        <v xml:space="preserve"> </v>
      </c>
      <c r="AE52" s="26" t="str">
        <f t="shared" si="20"/>
        <v xml:space="preserve"> </v>
      </c>
      <c r="AF52" s="27" t="str">
        <f t="shared" si="21"/>
        <v xml:space="preserve"> </v>
      </c>
      <c r="AG52" s="178" t="str">
        <f t="shared" si="10"/>
        <v xml:space="preserve"> </v>
      </c>
      <c r="AH52" s="177" t="str">
        <f t="shared" si="11"/>
        <v>CA (C)</v>
      </c>
      <c r="AI52" s="177" t="str">
        <f t="shared" si="12"/>
        <v>CA (F)</v>
      </c>
      <c r="AJ52" s="180" t="str">
        <f t="shared" si="13"/>
        <v xml:space="preserve"> </v>
      </c>
      <c r="AK52" s="178" t="str">
        <f t="shared" si="14"/>
        <v xml:space="preserve"> </v>
      </c>
      <c r="AL52" s="177" t="str">
        <f t="shared" si="15"/>
        <v xml:space="preserve"> </v>
      </c>
      <c r="AM52" s="177" t="str">
        <f t="shared" si="16"/>
        <v>FA (J)</v>
      </c>
      <c r="AN52" s="179" t="str">
        <f t="shared" si="17"/>
        <v xml:space="preserve"> </v>
      </c>
    </row>
    <row r="53" spans="1:40" ht="15.75" customHeight="1" thickBot="1" x14ac:dyDescent="0.4">
      <c r="A53" s="334"/>
      <c r="B53" s="19" t="s">
        <v>87</v>
      </c>
      <c r="C53" s="98" t="s">
        <v>49</v>
      </c>
      <c r="D53" s="201">
        <v>402</v>
      </c>
      <c r="E53" s="189" t="s">
        <v>230</v>
      </c>
      <c r="F53" s="186"/>
      <c r="G53" s="189" t="s">
        <v>230</v>
      </c>
      <c r="H53" s="190"/>
      <c r="I53" s="339"/>
      <c r="J53" s="340"/>
      <c r="K53" s="48" t="s">
        <v>177</v>
      </c>
      <c r="L53" s="51" t="s">
        <v>94</v>
      </c>
      <c r="M53" s="48" t="s">
        <v>179</v>
      </c>
      <c r="N53" s="51" t="s">
        <v>131</v>
      </c>
      <c r="O53" s="66"/>
      <c r="U53" s="165" t="str">
        <f>Mon!U53</f>
        <v>(VAR)</v>
      </c>
      <c r="V53" s="9">
        <f t="shared" si="5"/>
        <v>3</v>
      </c>
      <c r="W53" s="36">
        <f>SUM(Mon!V53,Tue!V53,Wed!V53,Thur!V53)</f>
        <v>12</v>
      </c>
      <c r="X53" s="165" t="str">
        <f>Mon!U53</f>
        <v>(VAR)</v>
      </c>
      <c r="Y53" s="20"/>
      <c r="Z53" s="21"/>
      <c r="AA53" s="21"/>
      <c r="AB53" s="22"/>
      <c r="AC53" s="25" t="str">
        <f t="shared" si="18"/>
        <v>AA (B)</v>
      </c>
      <c r="AD53" s="26" t="str">
        <f t="shared" si="19"/>
        <v>IF (D)</v>
      </c>
      <c r="AE53" s="26" t="str">
        <f t="shared" si="20"/>
        <v xml:space="preserve"> </v>
      </c>
      <c r="AF53" s="27" t="str">
        <f t="shared" si="21"/>
        <v>IF (C)</v>
      </c>
      <c r="AG53" s="178" t="str">
        <f t="shared" si="10"/>
        <v xml:space="preserve"> </v>
      </c>
      <c r="AH53" s="177" t="str">
        <f t="shared" si="11"/>
        <v xml:space="preserve"> </v>
      </c>
      <c r="AI53" s="177" t="str">
        <f t="shared" si="12"/>
        <v xml:space="preserve"> </v>
      </c>
      <c r="AJ53" s="180" t="str">
        <f t="shared" si="13"/>
        <v xml:space="preserve"> </v>
      </c>
      <c r="AK53" s="178" t="str">
        <f t="shared" si="14"/>
        <v xml:space="preserve"> </v>
      </c>
      <c r="AL53" s="177" t="str">
        <f t="shared" si="15"/>
        <v xml:space="preserve"> </v>
      </c>
      <c r="AM53" s="177" t="str">
        <f t="shared" si="16"/>
        <v xml:space="preserve"> </v>
      </c>
      <c r="AN53" s="179" t="str">
        <f t="shared" si="17"/>
        <v xml:space="preserve"> </v>
      </c>
    </row>
    <row r="54" spans="1:40" ht="15" thickBot="1" x14ac:dyDescent="0.4">
      <c r="U54" s="165" t="str">
        <f>Mon!U54</f>
        <v>(VIN)</v>
      </c>
      <c r="V54" s="9">
        <f t="shared" si="5"/>
        <v>2</v>
      </c>
      <c r="W54" s="36">
        <f>SUM(Mon!V54,Tue!V54,Wed!V54,Thur!V54)</f>
        <v>12</v>
      </c>
      <c r="X54" s="165" t="str">
        <f>Mon!U54</f>
        <v>(VIN)</v>
      </c>
      <c r="Y54" s="20"/>
      <c r="Z54" s="21"/>
      <c r="AA54" s="21"/>
      <c r="AB54" s="22"/>
      <c r="AC54" s="25" t="str">
        <f t="shared" si="18"/>
        <v xml:space="preserve"> </v>
      </c>
      <c r="AD54" s="26" t="str">
        <f t="shared" si="19"/>
        <v xml:space="preserve"> </v>
      </c>
      <c r="AE54" s="26" t="str">
        <f t="shared" si="20"/>
        <v xml:space="preserve"> </v>
      </c>
      <c r="AF54" s="27" t="str">
        <f t="shared" si="21"/>
        <v xml:space="preserve"> </v>
      </c>
      <c r="AG54" s="178" t="str">
        <f t="shared" si="10"/>
        <v xml:space="preserve"> </v>
      </c>
      <c r="AH54" s="177" t="str">
        <f t="shared" si="11"/>
        <v xml:space="preserve"> </v>
      </c>
      <c r="AI54" s="177" t="str">
        <f t="shared" si="12"/>
        <v xml:space="preserve"> </v>
      </c>
      <c r="AJ54" s="180" t="str">
        <f t="shared" si="13"/>
        <v xml:space="preserve"> </v>
      </c>
      <c r="AK54" s="178" t="str">
        <f t="shared" si="14"/>
        <v xml:space="preserve"> </v>
      </c>
      <c r="AL54" s="177" t="str">
        <f t="shared" si="15"/>
        <v xml:space="preserve"> </v>
      </c>
      <c r="AM54" s="177" t="str">
        <f t="shared" si="16"/>
        <v>FA (I)</v>
      </c>
      <c r="AN54" s="179" t="str">
        <f t="shared" si="17"/>
        <v>FA (M)</v>
      </c>
    </row>
    <row r="55" spans="1:40" ht="15" thickBot="1" x14ac:dyDescent="0.4">
      <c r="E55" s="191" t="s">
        <v>41</v>
      </c>
      <c r="F55" s="50"/>
      <c r="U55" s="165" t="str">
        <f>Mon!U55</f>
        <v>(VRL)</v>
      </c>
      <c r="V55" s="9">
        <f t="shared" si="5"/>
        <v>2</v>
      </c>
      <c r="W55" s="36">
        <f>SUM(Mon!V55,Tue!V55,Wed!V55,Thur!V55)</f>
        <v>12</v>
      </c>
      <c r="X55" s="165" t="str">
        <f>Mon!U55</f>
        <v>(VRL)</v>
      </c>
      <c r="Y55" s="20"/>
      <c r="Z55" s="21"/>
      <c r="AA55" s="21"/>
      <c r="AB55" s="22"/>
      <c r="AC55" s="25" t="str">
        <f t="shared" si="18"/>
        <v xml:space="preserve"> </v>
      </c>
      <c r="AD55" s="26" t="str">
        <f t="shared" si="19"/>
        <v xml:space="preserve"> </v>
      </c>
      <c r="AE55" s="26" t="str">
        <f t="shared" si="20"/>
        <v xml:space="preserve"> </v>
      </c>
      <c r="AF55" s="27" t="str">
        <f t="shared" si="21"/>
        <v xml:space="preserve"> </v>
      </c>
      <c r="AG55" s="178" t="str">
        <f t="shared" si="10"/>
        <v xml:space="preserve"> </v>
      </c>
      <c r="AH55" s="177" t="str">
        <f t="shared" si="11"/>
        <v xml:space="preserve"> </v>
      </c>
      <c r="AI55" s="177" t="str">
        <f t="shared" si="12"/>
        <v xml:space="preserve"> </v>
      </c>
      <c r="AJ55" s="180" t="str">
        <f t="shared" si="13"/>
        <v xml:space="preserve"> </v>
      </c>
      <c r="AK55" s="178" t="str">
        <f t="shared" si="14"/>
        <v xml:space="preserve"> </v>
      </c>
      <c r="AL55" s="177" t="str">
        <f t="shared" si="15"/>
        <v xml:space="preserve"> </v>
      </c>
      <c r="AM55" s="177" t="str">
        <f t="shared" si="16"/>
        <v>QT (D)</v>
      </c>
      <c r="AN55" s="179" t="str">
        <f t="shared" si="17"/>
        <v>QT (A)</v>
      </c>
    </row>
    <row r="56" spans="1:40" ht="15" thickBot="1" x14ac:dyDescent="0.4">
      <c r="E56" s="49" t="s">
        <v>49</v>
      </c>
      <c r="F56" s="50"/>
      <c r="U56" s="165" t="str">
        <f>Mon!U56</f>
        <v>(YL)</v>
      </c>
      <c r="V56" s="9">
        <f t="shared" si="5"/>
        <v>4</v>
      </c>
      <c r="W56" s="36">
        <f>SUM(Mon!V56,Tue!V56,Wed!V56,Thur!V56)</f>
        <v>13</v>
      </c>
      <c r="X56" s="165" t="str">
        <f>Mon!U56</f>
        <v>(YL)</v>
      </c>
      <c r="Y56" s="20"/>
      <c r="Z56" s="21"/>
      <c r="AA56" s="21"/>
      <c r="AB56" s="22"/>
      <c r="AC56" s="25" t="str">
        <f t="shared" si="18"/>
        <v>IB (D)</v>
      </c>
      <c r="AD56" s="26" t="str">
        <f t="shared" si="19"/>
        <v xml:space="preserve"> </v>
      </c>
      <c r="AE56" s="26" t="str">
        <f t="shared" si="20"/>
        <v>IB (F)</v>
      </c>
      <c r="AF56" s="27" t="str">
        <f t="shared" si="21"/>
        <v xml:space="preserve"> </v>
      </c>
      <c r="AG56" s="178" t="str">
        <f t="shared" si="10"/>
        <v xml:space="preserve"> </v>
      </c>
      <c r="AH56" s="177" t="str">
        <f t="shared" si="11"/>
        <v xml:space="preserve"> </v>
      </c>
      <c r="AI56" s="177" t="str">
        <f t="shared" si="12"/>
        <v xml:space="preserve"> </v>
      </c>
      <c r="AJ56" s="180" t="str">
        <f t="shared" si="13"/>
        <v>ED (F)</v>
      </c>
      <c r="AK56" s="178" t="str">
        <f t="shared" si="14"/>
        <v xml:space="preserve"> </v>
      </c>
      <c r="AL56" s="177" t="str">
        <f t="shared" si="15"/>
        <v xml:space="preserve"> </v>
      </c>
      <c r="AM56" s="177" t="str">
        <f t="shared" si="16"/>
        <v>BT (B)</v>
      </c>
      <c r="AN56" s="179" t="str">
        <f t="shared" si="17"/>
        <v xml:space="preserve"> </v>
      </c>
    </row>
    <row r="57" spans="1:40" ht="15" thickBot="1" x14ac:dyDescent="0.4">
      <c r="E57" s="48" t="s">
        <v>55</v>
      </c>
      <c r="F57" s="51"/>
      <c r="U57" s="165" t="str">
        <f>Mon!U57</f>
        <v>(RR)</v>
      </c>
      <c r="V57" s="9">
        <f t="shared" si="5"/>
        <v>3</v>
      </c>
      <c r="W57" s="36">
        <f>SUM(Mon!V57,Tue!V57,Wed!V57,Thur!V57)</f>
        <v>12</v>
      </c>
      <c r="X57" s="165" t="str">
        <f>Mon!U57</f>
        <v>(RR)</v>
      </c>
      <c r="Y57" s="171"/>
      <c r="Z57" s="23"/>
      <c r="AA57" s="23"/>
      <c r="AB57" s="24"/>
      <c r="AC57" s="25" t="str">
        <f t="shared" si="18"/>
        <v xml:space="preserve"> </v>
      </c>
      <c r="AD57" s="26" t="str">
        <f t="shared" si="19"/>
        <v xml:space="preserve"> </v>
      </c>
      <c r="AE57" s="26" t="str">
        <f t="shared" si="20"/>
        <v xml:space="preserve"> </v>
      </c>
      <c r="AF57" s="27" t="str">
        <f t="shared" si="21"/>
        <v xml:space="preserve"> </v>
      </c>
      <c r="AG57" s="178" t="str">
        <f t="shared" si="10"/>
        <v>ED (D)</v>
      </c>
      <c r="AH57" s="177" t="str">
        <f t="shared" si="11"/>
        <v xml:space="preserve"> </v>
      </c>
      <c r="AI57" s="177" t="str">
        <f t="shared" si="12"/>
        <v>ED (G)</v>
      </c>
      <c r="AJ57" s="180" t="str">
        <f t="shared" si="13"/>
        <v>EVS (E)</v>
      </c>
      <c r="AK57" s="178" t="str">
        <f t="shared" si="14"/>
        <v xml:space="preserve"> </v>
      </c>
      <c r="AL57" s="177" t="str">
        <f t="shared" si="15"/>
        <v xml:space="preserve"> </v>
      </c>
      <c r="AM57" s="177" t="str">
        <f t="shared" si="16"/>
        <v xml:space="preserve"> </v>
      </c>
      <c r="AN57" s="179" t="str">
        <f t="shared" si="17"/>
        <v xml:space="preserve"> </v>
      </c>
    </row>
    <row r="58" spans="1:40" ht="15" thickBot="1" x14ac:dyDescent="0.4">
      <c r="E58" s="49" t="s">
        <v>37</v>
      </c>
      <c r="F58" s="50"/>
      <c r="U58" s="165" t="str">
        <f>Mon!U58</f>
        <v>(DRP)</v>
      </c>
      <c r="V58" s="9">
        <f t="shared" si="5"/>
        <v>1</v>
      </c>
      <c r="W58" s="36">
        <f>SUM(Mon!V58,Tue!V58,Wed!V58,Thur!V58)</f>
        <v>11</v>
      </c>
      <c r="X58" s="165" t="str">
        <f>Mon!U58</f>
        <v>(DRP)</v>
      </c>
      <c r="Y58" s="171">
        <f>SUM((COUNTIF($E$5:$F$55,$U58)),IF($T58&lt;&gt;0,(COUNTIF($E$5:$F$55,$T58))),IF($S58&lt;&gt;0,(COUNTIF($E$5:$F$55,$S58))))</f>
        <v>0</v>
      </c>
      <c r="Z58" s="23">
        <f>SUM(COUNTIF($G$5:$J$55,$U58),IF($T58&lt;&gt;0,(COUNTIF($G$5:$J$55,$T58))),IF($S58&lt;&gt;0,(COUNTIF($G$5:$J$55,$S58))))</f>
        <v>0</v>
      </c>
      <c r="AA58" s="23">
        <f>SUM(COUNTIF($K$5:$L$55,$U58),IF($T58&lt;&gt;0,(COUNTIF($K$5:$L$55,$T58))),IF($S58&lt;&gt;0,(COUNTIF($K$5:$L$55,$S58))))</f>
        <v>0</v>
      </c>
      <c r="AB58" s="24">
        <f>SUM(COUNTIF($M$5:$N$55,$U58),IF($T58&lt;&gt;0,(COUNTIF($M$5:$N$55,$T58))),IF($S58&lt;&gt;0,(COUNTIF($M$5:$N$55,$S58))))</f>
        <v>1</v>
      </c>
      <c r="AC58" s="25" t="str">
        <f t="shared" si="18"/>
        <v xml:space="preserve"> </v>
      </c>
      <c r="AD58" s="26" t="str">
        <f t="shared" si="19"/>
        <v xml:space="preserve"> </v>
      </c>
      <c r="AE58" s="26" t="str">
        <f t="shared" si="20"/>
        <v xml:space="preserve"> </v>
      </c>
      <c r="AF58" s="27" t="str">
        <f t="shared" si="21"/>
        <v xml:space="preserve"> </v>
      </c>
      <c r="AG58" s="178" t="str">
        <f t="shared" si="10"/>
        <v xml:space="preserve"> </v>
      </c>
      <c r="AH58" s="177" t="str">
        <f t="shared" si="11"/>
        <v xml:space="preserve"> </v>
      </c>
      <c r="AI58" s="177" t="str">
        <f t="shared" si="12"/>
        <v xml:space="preserve"> </v>
      </c>
      <c r="AJ58" s="180" t="str">
        <f t="shared" si="13"/>
        <v xml:space="preserve"> </v>
      </c>
      <c r="AK58" s="178" t="str">
        <f t="shared" si="14"/>
        <v xml:space="preserve"> </v>
      </c>
      <c r="AL58" s="177" t="str">
        <f t="shared" si="15"/>
        <v xml:space="preserve"> </v>
      </c>
      <c r="AM58" s="177" t="str">
        <f t="shared" si="16"/>
        <v xml:space="preserve"> </v>
      </c>
      <c r="AN58" s="179" t="str">
        <f t="shared" si="17"/>
        <v>BM (H)</v>
      </c>
    </row>
    <row r="59" spans="1:40" x14ac:dyDescent="0.35">
      <c r="E59" s="48" t="s">
        <v>38</v>
      </c>
      <c r="F59" s="51"/>
      <c r="U59" s="165" t="str">
        <f>Mon!U59</f>
        <v>(NEW)</v>
      </c>
      <c r="V59" s="9">
        <f t="shared" ref="V59" si="23">SUM(COUNTIF($E$5:$N$55,U59),IF(T59&lt;&gt;0,COUNTIF($E$5:$N$55,T59),0),IF(S59&lt;&gt;0,COUNTIF($E$5:$N$55,S59),0))</f>
        <v>2</v>
      </c>
      <c r="W59" s="36">
        <f>SUM(Mon!V59,Tue!V59,Wed!V59,Thur!V59)</f>
        <v>6</v>
      </c>
      <c r="X59" s="164" t="str">
        <f>Mon!U59</f>
        <v>(NEW)</v>
      </c>
      <c r="Y59" s="171">
        <f>SUM((COUNTIF($E$5:$F$55,$U59)),IF($T59&lt;&gt;0,(COUNTIF($E$5:$F$55,$T59))),IF($S59&lt;&gt;0,(COUNTIF($E$5:$F$55,$S59))))</f>
        <v>1</v>
      </c>
      <c r="Z59" s="23">
        <f>SUM(COUNTIF($G$5:$J$55,$U59),IF($T59&lt;&gt;0,(COUNTIF($G$5:$J$55,$T59))),IF($S59&lt;&gt;0,(COUNTIF($G$5:$J$55,$S59))))</f>
        <v>0</v>
      </c>
      <c r="AA59" s="23">
        <f>SUM(COUNTIF($K$5:$L$55,$U59),IF($T59&lt;&gt;0,(COUNTIF($K$5:$L$55,$T59))),IF($S59&lt;&gt;0,(COUNTIF($K$5:$L$55,$S59))))</f>
        <v>1</v>
      </c>
      <c r="AB59" s="24">
        <f>SUM(COUNTIF($M$5:$N$55,$U59),IF($T59&lt;&gt;0,(COUNTIF($M$5:$N$55,$T59))),IF($S59&lt;&gt;0,(COUNTIF($M$5:$N$55,$S59))))</f>
        <v>0</v>
      </c>
      <c r="AC59" s="102" t="str">
        <f t="shared" si="18"/>
        <v xml:space="preserve"> </v>
      </c>
      <c r="AD59" s="103" t="str">
        <f t="shared" si="19"/>
        <v xml:space="preserve"> </v>
      </c>
      <c r="AE59" s="103" t="str">
        <f t="shared" si="20"/>
        <v xml:space="preserve"> </v>
      </c>
      <c r="AF59" s="104" t="str">
        <f t="shared" si="21"/>
        <v xml:space="preserve"> </v>
      </c>
      <c r="AG59" s="178" t="str">
        <f t="shared" si="10"/>
        <v>EVS (H)</v>
      </c>
      <c r="AH59" s="177" t="str">
        <f t="shared" si="11"/>
        <v xml:space="preserve"> </v>
      </c>
      <c r="AI59" s="177" t="str">
        <f t="shared" si="12"/>
        <v>EVS (I)</v>
      </c>
      <c r="AJ59" s="180" t="str">
        <f t="shared" si="13"/>
        <v xml:space="preserve"> </v>
      </c>
      <c r="AK59" s="178" t="str">
        <f t="shared" si="14"/>
        <v xml:space="preserve"> </v>
      </c>
      <c r="AL59" s="177" t="str">
        <f t="shared" si="15"/>
        <v xml:space="preserve"> </v>
      </c>
      <c r="AM59" s="177" t="str">
        <f t="shared" si="16"/>
        <v xml:space="preserve"> </v>
      </c>
      <c r="AN59" s="179" t="str">
        <f t="shared" si="17"/>
        <v xml:space="preserve"> </v>
      </c>
    </row>
    <row r="60" spans="1:40" x14ac:dyDescent="0.35">
      <c r="E60" s="48" t="s">
        <v>65</v>
      </c>
      <c r="F60" s="51"/>
    </row>
    <row r="61" spans="1:40" x14ac:dyDescent="0.35">
      <c r="E61" s="48" t="s">
        <v>69</v>
      </c>
      <c r="F61" s="51"/>
    </row>
    <row r="62" spans="1:40" x14ac:dyDescent="0.35">
      <c r="E62" s="48" t="s">
        <v>72</v>
      </c>
      <c r="F62" s="51"/>
    </row>
    <row r="63" spans="1:40" x14ac:dyDescent="0.35">
      <c r="E63" s="48" t="s">
        <v>76</v>
      </c>
      <c r="F63" s="51"/>
    </row>
    <row r="64" spans="1:40" x14ac:dyDescent="0.35">
      <c r="E64" s="48" t="s">
        <v>79</v>
      </c>
      <c r="F64" s="51"/>
    </row>
    <row r="65" spans="1:30" x14ac:dyDescent="0.35">
      <c r="E65" s="48" t="s">
        <v>81</v>
      </c>
      <c r="F65" s="51"/>
    </row>
    <row r="66" spans="1:30" x14ac:dyDescent="0.35">
      <c r="E66" s="48" t="s">
        <v>84</v>
      </c>
      <c r="F66" s="51"/>
    </row>
    <row r="67" spans="1:30" x14ac:dyDescent="0.35">
      <c r="E67" s="83" t="s">
        <v>126</v>
      </c>
      <c r="F67" s="204"/>
    </row>
    <row r="68" spans="1:30" x14ac:dyDescent="0.35">
      <c r="E68" s="49" t="s">
        <v>128</v>
      </c>
      <c r="F68" s="202"/>
    </row>
    <row r="71" spans="1:30" x14ac:dyDescent="0.35">
      <c r="A71" s="361" t="s">
        <v>4</v>
      </c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3"/>
      <c r="AC71" s="323" t="s">
        <v>87</v>
      </c>
      <c r="AD71" s="324"/>
    </row>
    <row r="72" spans="1:30" x14ac:dyDescent="0.35">
      <c r="A72" s="341" t="s">
        <v>161</v>
      </c>
      <c r="B72" s="342"/>
      <c r="C72" s="341" t="s">
        <v>162</v>
      </c>
      <c r="D72" s="342"/>
      <c r="E72" s="341" t="s">
        <v>163</v>
      </c>
      <c r="F72" s="342"/>
      <c r="G72" s="341" t="s">
        <v>164</v>
      </c>
      <c r="H72" s="342"/>
      <c r="I72" s="341" t="s">
        <v>165</v>
      </c>
      <c r="J72" s="342"/>
      <c r="K72" s="341" t="s">
        <v>166</v>
      </c>
      <c r="L72" s="342"/>
      <c r="M72" s="341" t="s">
        <v>167</v>
      </c>
      <c r="N72" s="342"/>
      <c r="O72" s="341" t="s">
        <v>168</v>
      </c>
      <c r="P72" s="342"/>
      <c r="Q72" s="341" t="s">
        <v>169</v>
      </c>
      <c r="R72" s="342"/>
      <c r="S72" s="341" t="s">
        <v>170</v>
      </c>
      <c r="T72" s="342"/>
      <c r="U72" s="341" t="s">
        <v>171</v>
      </c>
      <c r="V72" s="342"/>
      <c r="W72" s="341" t="s">
        <v>172</v>
      </c>
      <c r="X72" s="342"/>
      <c r="Y72" s="341" t="s">
        <v>173</v>
      </c>
      <c r="Z72" s="342"/>
      <c r="AA72" s="341" t="s">
        <v>174</v>
      </c>
      <c r="AB72" s="342"/>
      <c r="AC72" s="318" t="s">
        <v>175</v>
      </c>
      <c r="AD72" s="172" t="s">
        <v>176</v>
      </c>
    </row>
    <row r="73" spans="1:30" x14ac:dyDescent="0.35">
      <c r="A73" s="166" t="s">
        <v>175</v>
      </c>
      <c r="B73" s="167" t="s">
        <v>176</v>
      </c>
      <c r="C73" s="166" t="s">
        <v>175</v>
      </c>
      <c r="D73" s="167" t="s">
        <v>176</v>
      </c>
      <c r="E73" s="166" t="s">
        <v>175</v>
      </c>
      <c r="F73" s="167" t="s">
        <v>176</v>
      </c>
      <c r="G73" s="166" t="s">
        <v>175</v>
      </c>
      <c r="H73" s="167" t="s">
        <v>176</v>
      </c>
      <c r="I73" s="166" t="s">
        <v>175</v>
      </c>
      <c r="J73" s="167" t="s">
        <v>176</v>
      </c>
      <c r="K73" s="166" t="s">
        <v>175</v>
      </c>
      <c r="L73" s="167" t="s">
        <v>176</v>
      </c>
      <c r="M73" s="166" t="s">
        <v>175</v>
      </c>
      <c r="N73" s="167" t="s">
        <v>176</v>
      </c>
      <c r="O73" s="166" t="s">
        <v>175</v>
      </c>
      <c r="P73" s="167" t="s">
        <v>176</v>
      </c>
      <c r="Q73" s="166" t="s">
        <v>175</v>
      </c>
      <c r="R73" s="167" t="s">
        <v>176</v>
      </c>
      <c r="S73" s="166" t="s">
        <v>175</v>
      </c>
      <c r="T73" s="167" t="s">
        <v>176</v>
      </c>
      <c r="U73" s="166" t="s">
        <v>175</v>
      </c>
      <c r="V73" s="172" t="s">
        <v>176</v>
      </c>
      <c r="W73" s="166" t="s">
        <v>175</v>
      </c>
      <c r="X73" s="167" t="s">
        <v>176</v>
      </c>
      <c r="Y73" s="166" t="s">
        <v>175</v>
      </c>
      <c r="Z73" s="167" t="s">
        <v>176</v>
      </c>
      <c r="AA73" s="166" t="s">
        <v>175</v>
      </c>
      <c r="AB73" s="167" t="s">
        <v>176</v>
      </c>
      <c r="AC73" s="315" t="s">
        <v>98</v>
      </c>
      <c r="AD73" s="315" t="s">
        <v>157</v>
      </c>
    </row>
    <row r="74" spans="1:30" x14ac:dyDescent="0.35">
      <c r="A74" s="174" t="str">
        <f>Mon!A74</f>
        <v>(SC)</v>
      </c>
      <c r="B74" s="170" t="str">
        <f>Mon!B74</f>
        <v>AE</v>
      </c>
      <c r="C74" s="174" t="str">
        <f>Mon!C74</f>
        <v>(SA)</v>
      </c>
      <c r="D74" s="170" t="str">
        <f>Mon!D74</f>
        <v>AE</v>
      </c>
      <c r="E74" s="169" t="str">
        <f>Mon!E74</f>
        <v>(PR)</v>
      </c>
      <c r="F74" s="170" t="str">
        <f>Mon!F74</f>
        <v>AE</v>
      </c>
      <c r="G74" s="174" t="str">
        <f>Mon!G74</f>
        <v>(PR)</v>
      </c>
      <c r="H74" s="170" t="str">
        <f>Mon!H74</f>
        <v>AE</v>
      </c>
      <c r="I74" s="169" t="str">
        <f>Mon!I74</f>
        <v>(SC)</v>
      </c>
      <c r="J74" s="170" t="str">
        <f>Mon!J74</f>
        <v>AE</v>
      </c>
      <c r="K74" s="174" t="str">
        <f>Mon!K74</f>
        <v>(SC)</v>
      </c>
      <c r="L74" s="170" t="str">
        <f>Mon!L74</f>
        <v>AE</v>
      </c>
      <c r="M74" s="174" t="str">
        <f>Mon!M74</f>
        <v>(SN)</v>
      </c>
      <c r="N74" s="170" t="str">
        <f>Mon!N74</f>
        <v>AE</v>
      </c>
      <c r="O74" s="169" t="str">
        <f>Mon!O74</f>
        <v>(SN)</v>
      </c>
      <c r="P74" s="170" t="str">
        <f>Mon!P74</f>
        <v>AE</v>
      </c>
      <c r="Q74" s="174" t="str">
        <f>Mon!Q74</f>
        <v>(SV)</v>
      </c>
      <c r="R74" s="170" t="str">
        <f>Mon!R74</f>
        <v>HIN</v>
      </c>
      <c r="S74" s="169" t="str">
        <f>Mon!S74</f>
        <v>(SV)</v>
      </c>
      <c r="T74" s="89" t="str">
        <f>Mon!T74</f>
        <v>HIN</v>
      </c>
      <c r="U74" s="183" t="str">
        <f>Mon!U74</f>
        <v>(SV)</v>
      </c>
      <c r="V74" s="89" t="str">
        <f>Mon!V74</f>
        <v>HIN</v>
      </c>
      <c r="W74" s="184" t="str">
        <f>Mon!W74</f>
        <v>(SV)</v>
      </c>
      <c r="X74" s="170" t="str">
        <f>Mon!X74</f>
        <v>HIN</v>
      </c>
      <c r="Y74" s="8" t="str">
        <f>Mon!Y74</f>
        <v>(HEM)</v>
      </c>
      <c r="Z74" s="170" t="str">
        <f>Mon!Z74</f>
        <v>KAN</v>
      </c>
      <c r="AA74" s="8" t="str">
        <f>Mon!AA74</f>
        <v>(RP)</v>
      </c>
      <c r="AB74" s="170" t="str">
        <f>Mon!AB74</f>
        <v>SAN</v>
      </c>
      <c r="AC74" s="315" t="s">
        <v>131</v>
      </c>
      <c r="AD74" s="315" t="s">
        <v>159</v>
      </c>
    </row>
    <row r="75" spans="1:30" x14ac:dyDescent="0.35">
      <c r="A75" s="169" t="str">
        <f>Mon!A75</f>
        <v>(SA)</v>
      </c>
      <c r="B75" s="170" t="str">
        <f>Mon!B75</f>
        <v>GE</v>
      </c>
      <c r="C75" s="169" t="str">
        <f>Mon!C75</f>
        <v>(PR)</v>
      </c>
      <c r="D75" s="170" t="str">
        <f>Mon!D75</f>
        <v>GE</v>
      </c>
      <c r="E75" s="169" t="str">
        <f>Mon!E75</f>
        <v>(SN)</v>
      </c>
      <c r="F75" s="170" t="str">
        <f>Mon!F75</f>
        <v>GE</v>
      </c>
      <c r="G75" s="169" t="str">
        <f>Mon!G75</f>
        <v>(SC)</v>
      </c>
      <c r="H75" s="170" t="str">
        <f>Mon!H75</f>
        <v>GE</v>
      </c>
      <c r="I75" s="174" t="str">
        <f>Mon!I75</f>
        <v>(CG)</v>
      </c>
      <c r="J75" s="170" t="str">
        <f>Mon!J75</f>
        <v>GE</v>
      </c>
      <c r="K75" s="169" t="str">
        <f>Mon!K75</f>
        <v>(PR)</v>
      </c>
      <c r="L75" s="170" t="str">
        <f>Mon!L75</f>
        <v>GE</v>
      </c>
      <c r="M75" s="169" t="str">
        <f>Mon!M75</f>
        <v>(SC)</v>
      </c>
      <c r="N75" s="170" t="str">
        <f>Mon!N75</f>
        <v>GE</v>
      </c>
      <c r="O75" s="169" t="str">
        <f>Mon!O75</f>
        <v>(SA)</v>
      </c>
      <c r="P75" s="170" t="str">
        <f>Mon!P75</f>
        <v>GE</v>
      </c>
      <c r="Q75" s="169" t="str">
        <f>Mon!Q75</f>
        <v>(CG)</v>
      </c>
      <c r="R75" s="170" t="str">
        <f>Mon!R75</f>
        <v>GE</v>
      </c>
      <c r="S75" s="169" t="str">
        <f>Mon!S75</f>
        <v>(SN)</v>
      </c>
      <c r="T75" s="170" t="str">
        <f>Mon!T75</f>
        <v>GE</v>
      </c>
      <c r="U75" s="169" t="str">
        <f>Mon!U75</f>
        <v>(SN)</v>
      </c>
      <c r="V75" s="88" t="str">
        <f>Mon!V75</f>
        <v>GE</v>
      </c>
      <c r="W75" s="185" t="str">
        <f>Mon!W75</f>
        <v>(PR)</v>
      </c>
      <c r="X75" s="170" t="str">
        <f>Mon!X75</f>
        <v>GE</v>
      </c>
      <c r="Y75" s="8" t="str">
        <f>Mon!Y75</f>
        <v>(SA)</v>
      </c>
      <c r="Z75" s="170" t="str">
        <f>Mon!Z75</f>
        <v>GE</v>
      </c>
      <c r="AA75" s="8" t="str">
        <f>Mon!AA75</f>
        <v>(SA)</v>
      </c>
      <c r="AB75" s="170" t="str">
        <f>Mon!AB75</f>
        <v>GE</v>
      </c>
      <c r="AC75" s="315" t="s">
        <v>94</v>
      </c>
      <c r="AD75" s="315" t="s">
        <v>177</v>
      </c>
    </row>
    <row r="76" spans="1:30" x14ac:dyDescent="0.35">
      <c r="A76" s="169" t="str">
        <f>Mon!A76</f>
        <v>(AW)</v>
      </c>
      <c r="B76" s="170" t="str">
        <f>Mon!B76</f>
        <v>BT</v>
      </c>
      <c r="C76" s="169" t="str">
        <f>Mon!C76</f>
        <v>(YL)</v>
      </c>
      <c r="D76" s="170" t="str">
        <f>Mon!D76</f>
        <v>BT</v>
      </c>
      <c r="E76" s="169" t="str">
        <f>Mon!E76</f>
        <v>(AW)</v>
      </c>
      <c r="F76" s="170" t="str">
        <f>Mon!F76</f>
        <v>BT</v>
      </c>
      <c r="G76" s="169" t="str">
        <f>Mon!G76</f>
        <v>(JAY)</v>
      </c>
      <c r="H76" s="170" t="str">
        <f>Mon!H76</f>
        <v>BT</v>
      </c>
      <c r="I76" s="169" t="str">
        <f>Mon!I76</f>
        <v>(JAY)</v>
      </c>
      <c r="J76" s="170" t="str">
        <f>Mon!J76</f>
        <v>BT</v>
      </c>
      <c r="K76" s="169" t="str">
        <f>Mon!K76</f>
        <v>(JAY)</v>
      </c>
      <c r="L76" s="170" t="str">
        <f>Mon!L76</f>
        <v>BT</v>
      </c>
      <c r="M76" s="169" t="str">
        <f>Mon!M76</f>
        <v>(AB)</v>
      </c>
      <c r="N76" s="170" t="str">
        <f>Mon!N76</f>
        <v>BT</v>
      </c>
      <c r="O76" s="169" t="str">
        <f>Mon!O76</f>
        <v>(AW)</v>
      </c>
      <c r="P76" s="170" t="str">
        <f>Mon!P76</f>
        <v>BT</v>
      </c>
      <c r="Q76" s="169" t="str">
        <f>Mon!Q76</f>
        <v>(JAY)</v>
      </c>
      <c r="R76" s="170" t="str">
        <f>Mon!R76</f>
        <v>BT</v>
      </c>
      <c r="S76" s="169" t="str">
        <f>Mon!S76</f>
        <v>(AB)</v>
      </c>
      <c r="T76" s="170" t="str">
        <f>Mon!T76</f>
        <v>BT</v>
      </c>
      <c r="U76" s="169" t="str">
        <f>Mon!U76</f>
        <v>(AW)</v>
      </c>
      <c r="V76" s="170" t="str">
        <f>Mon!V76</f>
        <v>BT</v>
      </c>
      <c r="W76" s="185" t="str">
        <f>Mon!W76</f>
        <v>(SE)</v>
      </c>
      <c r="X76" s="170" t="str">
        <f>Mon!X76</f>
        <v>BT</v>
      </c>
      <c r="Y76" s="8" t="str">
        <f>Mon!Y76</f>
        <v>(SE)</v>
      </c>
      <c r="Z76" s="170" t="str">
        <f>Mon!Z76</f>
        <v>BT</v>
      </c>
      <c r="AA76" s="8" t="str">
        <f>Mon!AA76</f>
        <v>(JAY)</v>
      </c>
      <c r="AB76" s="170" t="str">
        <f>Mon!AB76</f>
        <v>BT</v>
      </c>
      <c r="AC76" s="315" t="s">
        <v>77</v>
      </c>
      <c r="AD76" s="315" t="s">
        <v>179</v>
      </c>
    </row>
    <row r="77" spans="1:30" x14ac:dyDescent="0.35">
      <c r="A77" s="169" t="str">
        <f>Mon!A77</f>
        <v>(AS)</v>
      </c>
      <c r="B77" s="170" t="str">
        <f>Mon!B77</f>
        <v>BM</v>
      </c>
      <c r="C77" s="169" t="str">
        <f>Mon!C77</f>
        <v>(SE)</v>
      </c>
      <c r="D77" s="170" t="str">
        <f>Mon!D77</f>
        <v>BM</v>
      </c>
      <c r="E77" s="169" t="str">
        <f>Mon!E77</f>
        <v>(JAY)</v>
      </c>
      <c r="F77" s="170" t="str">
        <f>Mon!F77</f>
        <v>BM</v>
      </c>
      <c r="G77" s="169" t="str">
        <f>Mon!G77</f>
        <v>(DRP)</v>
      </c>
      <c r="H77" s="170" t="str">
        <f>Mon!H77</f>
        <v>BM</v>
      </c>
      <c r="I77" s="169" t="str">
        <f>Mon!I77</f>
        <v>(SE)</v>
      </c>
      <c r="J77" s="170" t="str">
        <f>Mon!J77</f>
        <v>BM</v>
      </c>
      <c r="K77" s="169" t="str">
        <f>Mon!K77</f>
        <v>(SE)</v>
      </c>
      <c r="L77" s="170" t="str">
        <f>Mon!L77</f>
        <v>BM</v>
      </c>
      <c r="M77" s="169" t="str">
        <f>Mon!M77</f>
        <v>(AG)</v>
      </c>
      <c r="N77" s="170" t="str">
        <f>Mon!N77</f>
        <v>BM</v>
      </c>
      <c r="O77" s="174" t="str">
        <f>Mon!O77</f>
        <v>(DRP)</v>
      </c>
      <c r="P77" s="170" t="str">
        <f>Mon!P77</f>
        <v>BM</v>
      </c>
      <c r="Q77" s="174" t="str">
        <f>Mon!Q77</f>
        <v>(DRP)</v>
      </c>
      <c r="R77" s="170" t="str">
        <f>Mon!R77</f>
        <v>BM</v>
      </c>
      <c r="S77" s="169" t="str">
        <f>Mon!S77</f>
        <v>(SE)</v>
      </c>
      <c r="T77" s="170" t="str">
        <f>Mon!T77</f>
        <v>BM</v>
      </c>
      <c r="U77" s="169" t="str">
        <f>Mon!U77</f>
        <v>(AG)</v>
      </c>
      <c r="V77" s="170" t="str">
        <f>Mon!V77</f>
        <v>BM</v>
      </c>
      <c r="W77" s="169" t="str">
        <f>Mon!W77</f>
        <v>(DRP)</v>
      </c>
      <c r="X77" s="170" t="str">
        <f>Mon!X77</f>
        <v>BM</v>
      </c>
      <c r="Y77" s="8" t="str">
        <f>Mon!Y77</f>
        <v>(DRP)</v>
      </c>
      <c r="Z77" s="170" t="str">
        <f>Mon!Z77</f>
        <v>BM</v>
      </c>
      <c r="AA77" s="8" t="str">
        <f>Mon!AA77</f>
        <v>(AG)</v>
      </c>
      <c r="AB77" s="170" t="str">
        <f>Mon!AB77</f>
        <v>BM</v>
      </c>
      <c r="AC77" s="315" t="s">
        <v>153</v>
      </c>
      <c r="AD77" s="315" t="s">
        <v>158</v>
      </c>
    </row>
    <row r="78" spans="1:30" x14ac:dyDescent="0.35">
      <c r="A78" s="169" t="str">
        <f>Mon!A78</f>
        <v>(MK)</v>
      </c>
      <c r="B78" s="170" t="str">
        <f>Mon!B78</f>
        <v>FA</v>
      </c>
      <c r="C78" s="169" t="str">
        <f>Mon!C78</f>
        <v>(VIN)</v>
      </c>
      <c r="D78" s="170" t="str">
        <f>Mon!D78</f>
        <v>FA</v>
      </c>
      <c r="E78" s="169" t="str">
        <f>Mon!E78</f>
        <v>(MK)</v>
      </c>
      <c r="F78" s="170" t="str">
        <f>Mon!F78</f>
        <v>FA</v>
      </c>
      <c r="G78" s="169" t="str">
        <f>Mon!G78</f>
        <v>Y</v>
      </c>
      <c r="H78" s="170" t="str">
        <f>Mon!H78</f>
        <v>FA</v>
      </c>
      <c r="I78" s="169" t="str">
        <f>Mon!I78</f>
        <v>x</v>
      </c>
      <c r="J78" s="170" t="str">
        <f>Mon!J78</f>
        <v>FA</v>
      </c>
      <c r="K78" s="169" t="str">
        <f>Mon!K78</f>
        <v>X</v>
      </c>
      <c r="L78" s="170" t="str">
        <f>Mon!L78</f>
        <v>FA</v>
      </c>
      <c r="M78" s="169" t="str">
        <f>Mon!M78</f>
        <v>(VIN)</v>
      </c>
      <c r="N78" s="170" t="str">
        <f>Mon!N78</f>
        <v>FA</v>
      </c>
      <c r="O78" s="169" t="str">
        <f>Mon!O78</f>
        <v>(MK)</v>
      </c>
      <c r="P78" s="170" t="str">
        <f>Mon!P78</f>
        <v>FA</v>
      </c>
      <c r="Q78" s="169" t="str">
        <f>Mon!Q78</f>
        <v>(VIN)</v>
      </c>
      <c r="R78" s="170" t="str">
        <f>Mon!R78</f>
        <v>FA</v>
      </c>
      <c r="S78" s="169" t="str">
        <f>Mon!S78</f>
        <v>(VA)</v>
      </c>
      <c r="T78" s="170" t="str">
        <f>Mon!T78</f>
        <v>FA</v>
      </c>
      <c r="U78" s="169" t="s">
        <v>115</v>
      </c>
      <c r="V78" s="170" t="str">
        <f>Mon!V78</f>
        <v>FA</v>
      </c>
      <c r="W78" s="169" t="s">
        <v>182</v>
      </c>
      <c r="X78" s="170" t="str">
        <f>Mon!X78</f>
        <v>FA</v>
      </c>
      <c r="Y78" s="165" t="str">
        <f>Mon!Y78</f>
        <v>(VIN)</v>
      </c>
      <c r="Z78" s="170" t="str">
        <f>Mon!Z78</f>
        <v>FA</v>
      </c>
      <c r="AA78" s="165" t="str">
        <f>Mon!AA78</f>
        <v>(MK)</v>
      </c>
      <c r="AB78" s="170" t="str">
        <f>Mon!AB78</f>
        <v>FA</v>
      </c>
      <c r="AC78" s="315" t="s">
        <v>127</v>
      </c>
      <c r="AD78" s="315" t="s">
        <v>156</v>
      </c>
    </row>
    <row r="79" spans="1:30" x14ac:dyDescent="0.35">
      <c r="A79" s="169" t="str">
        <f>Mon!A79</f>
        <v>(VRL)</v>
      </c>
      <c r="B79" s="170" t="str">
        <f>Mon!B79</f>
        <v>QT</v>
      </c>
      <c r="C79" s="169" t="str">
        <f>Mon!C79</f>
        <v>(BB)</v>
      </c>
      <c r="D79" s="170" t="str">
        <f>Mon!D79</f>
        <v>QT</v>
      </c>
      <c r="E79" s="169" t="str">
        <f>Mon!E79</f>
        <v>(BB)</v>
      </c>
      <c r="F79" s="170" t="str">
        <f>Mon!F79</f>
        <v>QT</v>
      </c>
      <c r="G79" s="169" t="str">
        <f>Mon!G79</f>
        <v>(VRL)</v>
      </c>
      <c r="H79" s="170" t="str">
        <f>Mon!H79</f>
        <v>QT</v>
      </c>
      <c r="I79" s="169" t="str">
        <f>Mon!I79</f>
        <v>(PM)</v>
      </c>
      <c r="J79" s="170" t="str">
        <f>Mon!J79</f>
        <v>QT</v>
      </c>
      <c r="K79" s="169" t="str">
        <f>Mon!K79</f>
        <v>(PM)</v>
      </c>
      <c r="L79" s="170" t="str">
        <f>Mon!L79</f>
        <v>QT</v>
      </c>
      <c r="M79" s="169" t="str">
        <f>Mon!M79</f>
        <v>(BB)</v>
      </c>
      <c r="N79" s="170" t="str">
        <f>Mon!N79</f>
        <v>QT</v>
      </c>
      <c r="O79" s="169" t="str">
        <f>Mon!O79</f>
        <v>(VRL)</v>
      </c>
      <c r="P79" s="170" t="str">
        <f>Mon!P79</f>
        <v>QT</v>
      </c>
      <c r="Q79" s="169" t="str">
        <f>Mon!Q79</f>
        <v>(PM)</v>
      </c>
      <c r="R79" s="170" t="str">
        <f>Mon!R79</f>
        <v>QT</v>
      </c>
      <c r="S79" s="169" t="str">
        <f>Mon!S79</f>
        <v>(BD)</v>
      </c>
      <c r="T79" s="170" t="str">
        <f>Mon!T79</f>
        <v>QT</v>
      </c>
      <c r="U79" s="169" t="str">
        <f>Mon!U79</f>
        <v>(BD)</v>
      </c>
      <c r="V79" s="170" t="str">
        <f>Mon!V79</f>
        <v>QT</v>
      </c>
      <c r="W79" s="169" t="str">
        <f>Mon!W79</f>
        <v>(VRL)</v>
      </c>
      <c r="X79" s="170" t="str">
        <f>Mon!X79</f>
        <v>QT</v>
      </c>
      <c r="Y79" s="165" t="str">
        <f>Mon!Y79</f>
        <v>(PM)</v>
      </c>
      <c r="Z79" s="170" t="str">
        <f>Mon!Z79</f>
        <v>QT</v>
      </c>
      <c r="AA79" s="165" t="str">
        <f>Mon!AA79</f>
        <v>X</v>
      </c>
      <c r="AB79" s="170" t="str">
        <f>Mon!AB79</f>
        <v>QT</v>
      </c>
      <c r="AC79" s="315" t="s">
        <v>144</v>
      </c>
      <c r="AD79" s="315"/>
    </row>
    <row r="80" spans="1:30" x14ac:dyDescent="0.35">
      <c r="A80" s="169"/>
      <c r="B80" s="170"/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0"/>
      <c r="O80" s="169"/>
      <c r="P80" s="170"/>
      <c r="Q80" s="169"/>
      <c r="R80" s="170"/>
      <c r="S80" s="169"/>
      <c r="T80" s="170"/>
      <c r="U80" s="169"/>
      <c r="V80" s="170"/>
      <c r="W80" s="169"/>
      <c r="X80" s="170"/>
      <c r="Y80" s="165"/>
      <c r="Z80" s="170"/>
      <c r="AA80" s="165"/>
      <c r="AB80" s="170"/>
      <c r="AC80" s="315" t="s">
        <v>85</v>
      </c>
      <c r="AD80" s="315"/>
    </row>
    <row r="81" spans="1:30" x14ac:dyDescent="0.35">
      <c r="A81" s="169"/>
      <c r="B81" s="170"/>
      <c r="C81" s="169"/>
      <c r="D81" s="170"/>
      <c r="E81" s="169"/>
      <c r="F81" s="170"/>
      <c r="G81" s="169"/>
      <c r="H81" s="170"/>
      <c r="I81" s="169"/>
      <c r="J81" s="170"/>
      <c r="K81" s="169"/>
      <c r="L81" s="170"/>
      <c r="M81" s="169"/>
      <c r="N81" s="170"/>
      <c r="O81" s="169"/>
      <c r="P81" s="170"/>
      <c r="Q81" s="169"/>
      <c r="R81" s="170"/>
      <c r="S81" s="169"/>
      <c r="T81" s="170"/>
      <c r="U81" s="169"/>
      <c r="V81" s="170"/>
      <c r="W81" s="169"/>
      <c r="X81" s="170"/>
      <c r="Y81" s="165"/>
      <c r="Z81" s="170"/>
      <c r="AA81" s="165"/>
      <c r="AB81" s="170"/>
      <c r="AC81" s="315"/>
      <c r="AD81" s="315"/>
    </row>
    <row r="82" spans="1:30" x14ac:dyDescent="0.35">
      <c r="A82" s="169"/>
      <c r="B82" s="170"/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0"/>
      <c r="O82" s="169"/>
      <c r="P82" s="170"/>
      <c r="Q82" s="169"/>
      <c r="R82" s="170"/>
      <c r="S82" s="169"/>
      <c r="T82" s="170"/>
      <c r="U82" s="169"/>
      <c r="V82" s="170"/>
      <c r="W82" s="169"/>
      <c r="X82" s="170"/>
      <c r="Y82" s="165"/>
      <c r="Z82" s="170"/>
      <c r="AA82" s="165"/>
      <c r="AB82" s="170"/>
      <c r="AC82" s="315"/>
      <c r="AD82" s="315"/>
    </row>
    <row r="83" spans="1:30" x14ac:dyDescent="0.35">
      <c r="A83" s="30"/>
      <c r="B83" s="31"/>
      <c r="C83" s="30"/>
      <c r="D83" s="31"/>
      <c r="E83" s="30"/>
      <c r="F83" s="31"/>
      <c r="G83" s="30"/>
      <c r="H83" s="31"/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0"/>
      <c r="V83" s="31"/>
      <c r="W83" s="30"/>
      <c r="X83" s="31"/>
      <c r="Y83" s="30"/>
      <c r="Z83" s="31"/>
      <c r="AA83" s="30"/>
      <c r="AB83" s="31"/>
      <c r="AC83" s="315"/>
      <c r="AD83" s="315"/>
    </row>
    <row r="85" spans="1:30" x14ac:dyDescent="0.35">
      <c r="A85" s="376" t="s">
        <v>3</v>
      </c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8"/>
      <c r="AC85" s="359" t="s">
        <v>184</v>
      </c>
      <c r="AD85" s="360"/>
    </row>
    <row r="86" spans="1:30" x14ac:dyDescent="0.35">
      <c r="A86" s="341" t="s">
        <v>161</v>
      </c>
      <c r="B86" s="342"/>
      <c r="C86" s="341" t="s">
        <v>162</v>
      </c>
      <c r="D86" s="342"/>
      <c r="E86" s="341" t="s">
        <v>163</v>
      </c>
      <c r="F86" s="342"/>
      <c r="G86" s="341" t="s">
        <v>164</v>
      </c>
      <c r="H86" s="342"/>
      <c r="I86" s="341" t="s">
        <v>165</v>
      </c>
      <c r="J86" s="342"/>
      <c r="K86" s="341" t="s">
        <v>166</v>
      </c>
      <c r="L86" s="342"/>
      <c r="M86" s="341" t="s">
        <v>167</v>
      </c>
      <c r="N86" s="342"/>
      <c r="O86" s="341" t="s">
        <v>168</v>
      </c>
      <c r="P86" s="342"/>
      <c r="Q86" s="341" t="s">
        <v>169</v>
      </c>
      <c r="R86" s="342"/>
      <c r="S86" s="341" t="s">
        <v>170</v>
      </c>
      <c r="T86" s="342"/>
      <c r="U86" s="341" t="s">
        <v>171</v>
      </c>
      <c r="V86" s="342"/>
      <c r="W86" s="341" t="s">
        <v>172</v>
      </c>
      <c r="X86" s="342"/>
      <c r="Y86" s="341" t="s">
        <v>173</v>
      </c>
      <c r="Z86" s="342"/>
      <c r="AA86" s="341" t="s">
        <v>174</v>
      </c>
      <c r="AB86" s="342"/>
      <c r="AC86" s="321" t="s">
        <v>113</v>
      </c>
      <c r="AD86" s="319"/>
    </row>
    <row r="87" spans="1:30" x14ac:dyDescent="0.35">
      <c r="A87" s="166" t="s">
        <v>175</v>
      </c>
      <c r="B87" s="167" t="s">
        <v>176</v>
      </c>
      <c r="C87" s="166" t="s">
        <v>175</v>
      </c>
      <c r="D87" s="167" t="s">
        <v>176</v>
      </c>
      <c r="E87" s="166" t="s">
        <v>175</v>
      </c>
      <c r="F87" s="167" t="s">
        <v>176</v>
      </c>
      <c r="G87" s="166" t="s">
        <v>175</v>
      </c>
      <c r="H87" s="167" t="s">
        <v>176</v>
      </c>
      <c r="I87" s="166" t="s">
        <v>175</v>
      </c>
      <c r="J87" s="167" t="s">
        <v>176</v>
      </c>
      <c r="K87" s="166" t="s">
        <v>175</v>
      </c>
      <c r="L87" s="167" t="s">
        <v>176</v>
      </c>
      <c r="M87" s="166" t="s">
        <v>175</v>
      </c>
      <c r="N87" s="167" t="s">
        <v>176</v>
      </c>
      <c r="O87" s="166" t="s">
        <v>175</v>
      </c>
      <c r="P87" s="167" t="s">
        <v>176</v>
      </c>
      <c r="Q87" s="166" t="s">
        <v>175</v>
      </c>
      <c r="R87" s="167" t="s">
        <v>176</v>
      </c>
      <c r="S87" s="166" t="s">
        <v>175</v>
      </c>
      <c r="T87" s="167" t="s">
        <v>176</v>
      </c>
      <c r="U87" s="166" t="s">
        <v>175</v>
      </c>
      <c r="V87" s="167" t="s">
        <v>176</v>
      </c>
      <c r="W87" s="166" t="s">
        <v>175</v>
      </c>
      <c r="X87" s="167" t="s">
        <v>176</v>
      </c>
      <c r="Y87" s="166" t="s">
        <v>175</v>
      </c>
      <c r="Z87" s="167" t="s">
        <v>176</v>
      </c>
      <c r="AA87" s="166" t="s">
        <v>175</v>
      </c>
      <c r="AB87" s="167" t="s">
        <v>176</v>
      </c>
      <c r="AC87" s="322" t="s">
        <v>98</v>
      </c>
      <c r="AD87" s="315" t="s">
        <v>129</v>
      </c>
    </row>
    <row r="88" spans="1:30" x14ac:dyDescent="0.35">
      <c r="A88" s="169" t="str">
        <f>Mon!A88</f>
        <v>(KM)</v>
      </c>
      <c r="B88" s="170" t="str">
        <f>Mon!B88</f>
        <v>MM</v>
      </c>
      <c r="C88" s="169" t="str">
        <f>Mon!C88</f>
        <v>(SRS)</v>
      </c>
      <c r="D88" s="170" t="str">
        <f>Mon!D88</f>
        <v>MM</v>
      </c>
      <c r="E88" s="169" t="str">
        <f>Mon!E88</f>
        <v>(SB)</v>
      </c>
      <c r="F88" s="170" t="str">
        <f>Mon!F88</f>
        <v>MM</v>
      </c>
      <c r="G88" s="169" t="str">
        <f>Mon!G88</f>
        <v>(SAK)</v>
      </c>
      <c r="H88" s="170" t="str">
        <f>Mon!H88</f>
        <v>MM</v>
      </c>
      <c r="I88" s="174" t="str">
        <f>Mon!I88</f>
        <v>(LV)</v>
      </c>
      <c r="J88" s="170" t="str">
        <f>Mon!J88</f>
        <v>MM</v>
      </c>
      <c r="K88" s="169" t="str">
        <f>Mon!K88</f>
        <v>(SB)</v>
      </c>
      <c r="L88" s="170" t="str">
        <f>Mon!L88</f>
        <v>MM</v>
      </c>
      <c r="M88" s="169" t="str">
        <f>Mon!M88</f>
        <v>(VAR)</v>
      </c>
      <c r="N88" s="170" t="str">
        <f>Mon!N88</f>
        <v>MM</v>
      </c>
      <c r="O88" s="169" t="str">
        <f>Mon!O88</f>
        <v>(SRS)</v>
      </c>
      <c r="P88" s="170" t="str">
        <f>Mon!P88</f>
        <v>MM</v>
      </c>
      <c r="Q88" s="174" t="str">
        <f>Mon!Q88</f>
        <v>(SAK)</v>
      </c>
      <c r="R88" s="170" t="str">
        <f>Mon!R88</f>
        <v>MM</v>
      </c>
      <c r="S88" s="169" t="str">
        <f>Mon!S88</f>
        <v>(SRS)</v>
      </c>
      <c r="T88" s="170" t="str">
        <f>Mon!T88</f>
        <v>MM</v>
      </c>
      <c r="U88" s="169" t="str">
        <f>Mon!U88</f>
        <v>(SAK)</v>
      </c>
      <c r="V88" s="170" t="str">
        <f>Mon!V88</f>
        <v>MM</v>
      </c>
      <c r="W88" s="169" t="str">
        <f>Mon!W88</f>
        <v>(SRS)</v>
      </c>
      <c r="X88" s="170" t="str">
        <f>Mon!X88</f>
        <v>MM</v>
      </c>
      <c r="Y88" s="169" t="str">
        <f>Mon!Y88</f>
        <v>(SB)</v>
      </c>
      <c r="Z88" s="170" t="str">
        <f>Mon!Z88</f>
        <v>MM</v>
      </c>
      <c r="AA88" s="169" t="str">
        <f>Mon!AA88</f>
        <v>(KM)</v>
      </c>
      <c r="AB88" s="170" t="str">
        <f>Mon!AB88</f>
        <v>MM</v>
      </c>
      <c r="AC88" s="322" t="s">
        <v>131</v>
      </c>
      <c r="AD88" s="315" t="s">
        <v>130</v>
      </c>
    </row>
    <row r="89" spans="1:30" x14ac:dyDescent="0.35">
      <c r="A89" s="169" t="str">
        <f>Mon!A89</f>
        <v>(RT)</v>
      </c>
      <c r="B89" s="170" t="str">
        <f>Mon!B89</f>
        <v>HR</v>
      </c>
      <c r="C89" s="169" t="str">
        <f>Mon!C89</f>
        <v>(BD)</v>
      </c>
      <c r="D89" s="170" t="str">
        <f>Mon!D89</f>
        <v>HR</v>
      </c>
      <c r="E89" s="174" t="str">
        <f>Mon!E89</f>
        <v>(AS)</v>
      </c>
      <c r="F89" s="170" t="str">
        <f>Mon!F89</f>
        <v>HR</v>
      </c>
      <c r="G89" s="169" t="str">
        <f>Mon!G89</f>
        <v>(SUH)</v>
      </c>
      <c r="H89" s="170" t="str">
        <f>Mon!H89</f>
        <v>HR</v>
      </c>
      <c r="I89" s="169" t="str">
        <f>Mon!I89</f>
        <v>(SUH)</v>
      </c>
      <c r="J89" s="170" t="str">
        <f>Mon!J89</f>
        <v>HR</v>
      </c>
      <c r="K89" s="169" t="str">
        <f>Mon!K89</f>
        <v>(BD)</v>
      </c>
      <c r="L89" s="170" t="str">
        <f>Mon!L89</f>
        <v>HR</v>
      </c>
      <c r="M89" s="174" t="str">
        <f>Mon!M89</f>
        <v>(AS)</v>
      </c>
      <c r="N89" s="170" t="str">
        <f>Mon!N89</f>
        <v>HR</v>
      </c>
      <c r="O89" s="174" t="str">
        <f>Mon!O89</f>
        <v>(RT)</v>
      </c>
      <c r="P89" s="170" t="str">
        <f>Mon!P89</f>
        <v>HR</v>
      </c>
      <c r="Q89" s="169" t="str">
        <f>Mon!Q89</f>
        <v>(SUH)</v>
      </c>
      <c r="R89" s="170" t="str">
        <f>Mon!R89</f>
        <v>HR</v>
      </c>
      <c r="S89" s="169" t="str">
        <f>Mon!S89</f>
        <v>(AS)</v>
      </c>
      <c r="T89" s="170" t="str">
        <f>Mon!T89</f>
        <v>HR</v>
      </c>
      <c r="U89" s="169" t="str">
        <f>Mon!U89</f>
        <v>(AS)</v>
      </c>
      <c r="V89" s="170" t="str">
        <f>Mon!V89</f>
        <v>HR</v>
      </c>
      <c r="W89" s="169" t="str">
        <f>Mon!W89</f>
        <v>(AS)</v>
      </c>
      <c r="X89" s="170" t="str">
        <f>Mon!X89</f>
        <v>HR</v>
      </c>
      <c r="Y89" s="169" t="str">
        <f>Mon!Y89</f>
        <v>(RT)</v>
      </c>
      <c r="Z89" s="170" t="str">
        <f>Mon!Z89</f>
        <v>HR</v>
      </c>
      <c r="AA89" s="169" t="str">
        <f>Mon!AA89</f>
        <v>(BD)</v>
      </c>
      <c r="AB89" s="170" t="str">
        <f>Mon!AB89</f>
        <v>HR</v>
      </c>
      <c r="AC89" s="322" t="s">
        <v>94</v>
      </c>
      <c r="AD89" s="315" t="s">
        <v>135</v>
      </c>
    </row>
    <row r="90" spans="1:30" x14ac:dyDescent="0.35">
      <c r="A90" s="169" t="str">
        <f>Mon!A90</f>
        <v>(YL)</v>
      </c>
      <c r="B90" s="170" t="str">
        <f>Mon!B90</f>
        <v>ED</v>
      </c>
      <c r="C90" s="174" t="str">
        <f>Mon!C90</f>
        <v>(LV)</v>
      </c>
      <c r="D90" s="170" t="str">
        <f>Mon!D90</f>
        <v>ED</v>
      </c>
      <c r="E90" s="169" t="str">
        <f>Mon!E90</f>
        <v>(MS)</v>
      </c>
      <c r="F90" s="170" t="str">
        <f>Mon!F90</f>
        <v>ED</v>
      </c>
      <c r="G90" s="174" t="str">
        <f>Mon!G90</f>
        <v>(RR)</v>
      </c>
      <c r="H90" s="170" t="str">
        <f>Mon!H90</f>
        <v>ED</v>
      </c>
      <c r="I90" s="169" t="str">
        <f>Mon!I90</f>
        <v>(EC)</v>
      </c>
      <c r="J90" s="170" t="str">
        <f>Mon!J90</f>
        <v>ED</v>
      </c>
      <c r="K90" s="169" t="str">
        <f>Mon!K90</f>
        <v>(YL)</v>
      </c>
      <c r="L90" s="170" t="str">
        <f>Mon!L90</f>
        <v>ED</v>
      </c>
      <c r="M90" s="174" t="str">
        <f>Mon!M90</f>
        <v>(RR)</v>
      </c>
      <c r="N90" s="170" t="str">
        <f>Mon!N90</f>
        <v>ED</v>
      </c>
      <c r="O90" s="169" t="str">
        <f>Mon!O90</f>
        <v>(LV)</v>
      </c>
      <c r="P90" s="170" t="str">
        <f>Mon!P90</f>
        <v>ED</v>
      </c>
      <c r="Q90" s="174" t="str">
        <f>Mon!Q90</f>
        <v>(MS)</v>
      </c>
      <c r="R90" s="170" t="str">
        <f>Mon!R90</f>
        <v>ED</v>
      </c>
      <c r="S90" s="174" t="str">
        <f>Mon!S90</f>
        <v>(LV)</v>
      </c>
      <c r="T90" s="170" t="str">
        <f>Mon!T90</f>
        <v>ED</v>
      </c>
      <c r="U90" s="169" t="str">
        <f>Mon!U90</f>
        <v>(RR)</v>
      </c>
      <c r="V90" s="170" t="str">
        <f>Mon!V90</f>
        <v>ED</v>
      </c>
      <c r="W90" s="174" t="str">
        <f>Mon!W90</f>
        <v>(LV)</v>
      </c>
      <c r="X90" s="170" t="str">
        <f>Mon!X90</f>
        <v>ED</v>
      </c>
      <c r="Y90" s="174" t="str">
        <f>Mon!Y90</f>
        <v>(LV)</v>
      </c>
      <c r="Z90" s="170" t="str">
        <f>Mon!Z90</f>
        <v>ED</v>
      </c>
      <c r="AA90" s="174" t="str">
        <f>Mon!AA90</f>
        <v>(YL)</v>
      </c>
      <c r="AB90" s="170" t="str">
        <f>Mon!AB90</f>
        <v>ED</v>
      </c>
      <c r="AC90" s="322" t="s">
        <v>100</v>
      </c>
      <c r="AD90" s="315" t="s">
        <v>188</v>
      </c>
    </row>
    <row r="91" spans="1:30" x14ac:dyDescent="0.35">
      <c r="A91" s="169" t="str">
        <f>Mon!A91</f>
        <v>(RG)</v>
      </c>
      <c r="B91" s="170" t="str">
        <f>Mon!B91</f>
        <v>CA</v>
      </c>
      <c r="C91" s="169" t="str">
        <f>Mon!C91</f>
        <v>(TK)</v>
      </c>
      <c r="D91" s="170" t="str">
        <f>Mon!D91</f>
        <v>CA</v>
      </c>
      <c r="E91" s="169" t="str">
        <f>Mon!E91</f>
        <v>(VA)</v>
      </c>
      <c r="F91" s="170" t="str">
        <f>Mon!F91</f>
        <v>CA</v>
      </c>
      <c r="G91" s="169" t="str">
        <f>Mon!G91</f>
        <v>(MEG)</v>
      </c>
      <c r="H91" s="170" t="str">
        <f>Mon!H91</f>
        <v>CA</v>
      </c>
      <c r="I91" s="169" t="str">
        <f>Mon!I91</f>
        <v>(SW)</v>
      </c>
      <c r="J91" s="170" t="str">
        <f>Mon!J91</f>
        <v>CA</v>
      </c>
      <c r="K91" s="169" t="str">
        <f>Mon!K91</f>
        <v>(VA)</v>
      </c>
      <c r="L91" s="170" t="str">
        <f>Mon!L91</f>
        <v>CA</v>
      </c>
      <c r="M91" s="169" t="str">
        <f>Mon!M91</f>
        <v>(KR)</v>
      </c>
      <c r="N91" s="170" t="str">
        <f>Mon!N91</f>
        <v>CA</v>
      </c>
      <c r="O91" s="169" t="str">
        <f>Mon!O91</f>
        <v>(SW)</v>
      </c>
      <c r="P91" s="170" t="str">
        <f>Mon!P91</f>
        <v>CA</v>
      </c>
      <c r="Q91" s="169" t="str">
        <f>Mon!Q91</f>
        <v>(VA)</v>
      </c>
      <c r="R91" s="170" t="str">
        <f>Mon!R91</f>
        <v>CA</v>
      </c>
      <c r="S91" s="169" t="str">
        <f>Mon!S91</f>
        <v>(SW)</v>
      </c>
      <c r="T91" s="170" t="str">
        <f>Mon!T91</f>
        <v>CA</v>
      </c>
      <c r="U91" s="169" t="str">
        <f>Mon!U91</f>
        <v>(TK)</v>
      </c>
      <c r="V91" s="170" t="str">
        <f>Mon!V91</f>
        <v>CA</v>
      </c>
      <c r="W91" s="169" t="str">
        <f>Mon!W91</f>
        <v>(MEG)</v>
      </c>
      <c r="X91" s="170" t="str">
        <f>Mon!X91</f>
        <v>CA</v>
      </c>
      <c r="Y91" s="169" t="str">
        <f>Mon!Y91</f>
        <v>(SW)</v>
      </c>
      <c r="Z91" s="170" t="str">
        <f>Mon!Z91</f>
        <v>CA</v>
      </c>
      <c r="AA91" s="169" t="str">
        <f>Mon!AA91</f>
        <v>(TK)</v>
      </c>
      <c r="AB91" s="170" t="str">
        <f>Mon!AB91</f>
        <v>CA</v>
      </c>
      <c r="AC91" s="322" t="s">
        <v>89</v>
      </c>
      <c r="AD91" s="315" t="s">
        <v>190</v>
      </c>
    </row>
    <row r="92" spans="1:30" x14ac:dyDescent="0.35">
      <c r="A92" s="169" t="str">
        <f>Mon!A92</f>
        <v>(SUH)</v>
      </c>
      <c r="B92" s="170" t="str">
        <f>Mon!B92</f>
        <v>EVS</v>
      </c>
      <c r="C92" s="174" t="str">
        <f>Mon!C92</f>
        <v>(MB)</v>
      </c>
      <c r="D92" s="170" t="str">
        <f>Mon!D92</f>
        <v>EVS</v>
      </c>
      <c r="E92" s="169" t="str">
        <f>Mon!E92</f>
        <v>(AG)</v>
      </c>
      <c r="F92" s="170" t="str">
        <f>Mon!F92</f>
        <v>EVS</v>
      </c>
      <c r="G92" s="169" t="str">
        <f>Mon!G92</f>
        <v>(MH)</v>
      </c>
      <c r="H92" s="170" t="str">
        <f>Mon!H92</f>
        <v>EVS</v>
      </c>
      <c r="I92" s="174" t="str">
        <f>Mon!I92</f>
        <v>(RR)</v>
      </c>
      <c r="J92" s="170" t="str">
        <f>Mon!J92</f>
        <v>EVS</v>
      </c>
      <c r="K92" s="169" t="str">
        <f>Mon!K92</f>
        <v>(RR)</v>
      </c>
      <c r="L92" s="170" t="str">
        <f>Mon!L92</f>
        <v>EVS</v>
      </c>
      <c r="M92" s="169" t="str">
        <f>Mon!M92</f>
        <v>(MB)</v>
      </c>
      <c r="N92" s="170" t="str">
        <f>Mon!N92</f>
        <v>EVS</v>
      </c>
      <c r="O92" s="169" t="str">
        <f>Mon!O92</f>
        <v>(NEW)</v>
      </c>
      <c r="P92" s="170" t="str">
        <f>Mon!P92</f>
        <v>EVS</v>
      </c>
      <c r="Q92" s="174" t="str">
        <f>Mon!Q92</f>
        <v>(NEW)</v>
      </c>
      <c r="R92" s="170" t="str">
        <f>Mon!R92</f>
        <v>EVS</v>
      </c>
      <c r="S92" s="169" t="str">
        <f>Mon!S92</f>
        <v>(AG)</v>
      </c>
      <c r="T92" s="170" t="str">
        <f>Mon!T92</f>
        <v>EVS</v>
      </c>
      <c r="U92" s="174" t="str">
        <f>Mon!U92</f>
        <v>(New)</v>
      </c>
      <c r="V92" s="170" t="str">
        <f>Mon!V92</f>
        <v>EVS</v>
      </c>
      <c r="W92" s="169" t="str">
        <f>Mon!W92</f>
        <v>(RR)</v>
      </c>
      <c r="X92" s="170" t="str">
        <f>Mon!X92</f>
        <v>EVS</v>
      </c>
      <c r="Y92" s="169" t="str">
        <f>Mon!Y92</f>
        <v>(AG)</v>
      </c>
      <c r="Z92" s="170" t="str">
        <f>Mon!Z92</f>
        <v>EVS</v>
      </c>
      <c r="AA92" s="169" t="str">
        <f>Mon!AA92</f>
        <v>(MB)</v>
      </c>
      <c r="AB92" s="170" t="str">
        <f>Mon!AB92</f>
        <v>EVS</v>
      </c>
      <c r="AC92" s="322" t="s">
        <v>91</v>
      </c>
      <c r="AD92" s="315" t="s">
        <v>132</v>
      </c>
    </row>
    <row r="93" spans="1:30" x14ac:dyDescent="0.35">
      <c r="A93" s="169" t="str">
        <f>Mon!A93</f>
        <v>(AV)</v>
      </c>
      <c r="B93" s="170" t="str">
        <f>Mon!B93</f>
        <v>CM</v>
      </c>
      <c r="C93" s="169" t="str">
        <f>Mon!C93</f>
        <v>(SAK)</v>
      </c>
      <c r="D93" s="170" t="str">
        <f>Mon!D93</f>
        <v>CM</v>
      </c>
      <c r="E93" s="169" t="str">
        <f>Mon!E93</f>
        <v>(SUH)</v>
      </c>
      <c r="F93" s="170" t="str">
        <f>Mon!F93</f>
        <v>CM</v>
      </c>
      <c r="G93" s="169" t="str">
        <f>Mon!G93</f>
        <v>(SW)</v>
      </c>
      <c r="H93" s="170" t="str">
        <f>Mon!H93</f>
        <v>CM</v>
      </c>
      <c r="I93" s="169" t="str">
        <f>Mon!I93</f>
        <v>(SAK)</v>
      </c>
      <c r="J93" s="170" t="str">
        <f>Mon!J93</f>
        <v>CM</v>
      </c>
      <c r="K93" s="169" t="str">
        <f>Mon!K93</f>
        <v>(SAK)</v>
      </c>
      <c r="L93" s="170" t="str">
        <f>Mon!L93</f>
        <v>CM</v>
      </c>
      <c r="M93" s="169" t="str">
        <f>Mon!M93</f>
        <v>(SP)</v>
      </c>
      <c r="N93" s="170" t="str">
        <f>Mon!N93</f>
        <v>CP</v>
      </c>
      <c r="O93" s="169" t="str">
        <f>Mon!O93</f>
        <v>(MB)</v>
      </c>
      <c r="P93" s="170" t="str">
        <f>Mon!P93</f>
        <v>CP</v>
      </c>
      <c r="Q93" s="169" t="str">
        <f>Mon!Q93</f>
        <v>(SP)</v>
      </c>
      <c r="R93" s="170" t="str">
        <f>Mon!R93</f>
        <v>CP</v>
      </c>
      <c r="S93" s="181" t="str">
        <f>Mon!S93</f>
        <v>(MB)</v>
      </c>
      <c r="T93" s="170" t="str">
        <f>Mon!T93</f>
        <v>CP</v>
      </c>
      <c r="U93" s="169" t="str">
        <f>Mon!U93</f>
        <v>(AV)</v>
      </c>
      <c r="V93" s="170" t="str">
        <f>Mon!V93</f>
        <v>CM</v>
      </c>
      <c r="W93" s="169" t="str">
        <f>Mon!W93</f>
        <v>(SP)</v>
      </c>
      <c r="X93" s="170" t="str">
        <f>Mon!X93</f>
        <v>CP</v>
      </c>
      <c r="Y93" s="169" t="str">
        <f>Mon!Y93</f>
        <v>(SUH)</v>
      </c>
      <c r="Z93" s="170" t="str">
        <f>Mon!Z93</f>
        <v>CM</v>
      </c>
      <c r="AA93" s="169" t="str">
        <f>Mon!AA93</f>
        <v>(SP)</v>
      </c>
      <c r="AB93" s="170" t="str">
        <f>Mon!AB93</f>
        <v>CP</v>
      </c>
      <c r="AC93" s="322" t="s">
        <v>195</v>
      </c>
      <c r="AD93" s="315" t="s">
        <v>134</v>
      </c>
    </row>
    <row r="94" spans="1:30" x14ac:dyDescent="0.35">
      <c r="A94" s="169" t="str">
        <f>Mon!A94</f>
        <v>(ND)</v>
      </c>
      <c r="B94" s="170" t="str">
        <f>Mon!B94</f>
        <v>OP</v>
      </c>
      <c r="C94" s="169" t="str">
        <f>Mon!C94</f>
        <v>(SB)</v>
      </c>
      <c r="D94" s="170" t="str">
        <f>Mon!D94</f>
        <v>OP</v>
      </c>
      <c r="E94" s="169" t="str">
        <f>Mon!E94</f>
        <v>(ND)</v>
      </c>
      <c r="F94" s="170" t="str">
        <f>Mon!F94</f>
        <v>OP</v>
      </c>
      <c r="G94" s="169" t="str">
        <f>Mon!G94</f>
        <v>NEW</v>
      </c>
      <c r="H94" s="170" t="str">
        <f>Mon!H94</f>
        <v>OP</v>
      </c>
      <c r="I94" s="169" t="str">
        <f>Mon!I94</f>
        <v>NEW</v>
      </c>
      <c r="J94" s="170" t="str">
        <f>Mon!J94</f>
        <v>OP</v>
      </c>
      <c r="K94" s="169" t="str">
        <f>Mon!K94</f>
        <v>(MH)</v>
      </c>
      <c r="L94" s="170" t="str">
        <f>Mon!L94</f>
        <v>SP</v>
      </c>
      <c r="M94" s="169" t="str">
        <f>Mon!M94</f>
        <v>(SB)</v>
      </c>
      <c r="N94" s="170" t="str">
        <f>Mon!N94</f>
        <v>OP</v>
      </c>
      <c r="O94" s="169" t="str">
        <f>Mon!O94</f>
        <v>(MH)</v>
      </c>
      <c r="P94" s="170" t="str">
        <f>Mon!P94</f>
        <v>SP</v>
      </c>
      <c r="Q94" s="169" t="str">
        <f>Mon!Q94</f>
        <v>(SB)</v>
      </c>
      <c r="R94" s="170" t="str">
        <f>Mon!R94</f>
        <v>OP</v>
      </c>
      <c r="S94" s="169" t="str">
        <f>Mon!S94</f>
        <v>(ND)</v>
      </c>
      <c r="T94" s="170" t="str">
        <f>Mon!T94</f>
        <v>OP</v>
      </c>
      <c r="U94" s="169" t="str">
        <f>Mon!U94</f>
        <v>(ND)</v>
      </c>
      <c r="V94" s="170" t="str">
        <f>Mon!V94</f>
        <v>OP</v>
      </c>
      <c r="W94" s="169" t="str">
        <f>Mon!W94</f>
        <v>(ND)</v>
      </c>
      <c r="X94" s="170" t="str">
        <f>Mon!X94</f>
        <v>OP</v>
      </c>
      <c r="Y94" s="174" t="str">
        <f>Mon!Y94</f>
        <v>(MH)</v>
      </c>
      <c r="Z94" s="175" t="str">
        <f>Mon!Z94</f>
        <v>SP</v>
      </c>
      <c r="AA94" s="174" t="str">
        <f>Mon!AA94</f>
        <v>(MH)</v>
      </c>
      <c r="AB94" s="175" t="str">
        <f>Mon!AB94</f>
        <v>SP</v>
      </c>
      <c r="AC94" s="322" t="s">
        <v>133</v>
      </c>
      <c r="AD94" s="315" t="s">
        <v>197</v>
      </c>
    </row>
    <row r="95" spans="1:30" x14ac:dyDescent="0.35">
      <c r="A95" s="30"/>
      <c r="B95" s="31"/>
      <c r="C95" s="30"/>
      <c r="D95" s="31"/>
      <c r="E95" s="30"/>
      <c r="F95" s="31"/>
      <c r="G95" s="30"/>
      <c r="H95" s="31"/>
      <c r="I95" s="30"/>
      <c r="J95" s="31"/>
      <c r="K95" s="30"/>
      <c r="L95" s="31"/>
      <c r="M95" s="169">
        <f>Mon!M95</f>
        <v>0</v>
      </c>
      <c r="N95" s="170">
        <f>Mon!N95</f>
        <v>0</v>
      </c>
      <c r="O95" s="30"/>
      <c r="P95" s="31"/>
      <c r="Q95" s="30"/>
      <c r="R95" s="31"/>
      <c r="S95" s="30"/>
      <c r="T95" s="31"/>
      <c r="U95" s="30"/>
      <c r="V95" s="31"/>
      <c r="W95" s="169">
        <f>Mon!W95</f>
        <v>0</v>
      </c>
      <c r="X95" s="170">
        <f>Mon!X95</f>
        <v>0</v>
      </c>
      <c r="Y95" s="30"/>
      <c r="Z95" s="31"/>
      <c r="AA95" s="30"/>
      <c r="AB95" s="31"/>
      <c r="AC95" s="322" t="s">
        <v>123</v>
      </c>
      <c r="AD95" s="315" t="s">
        <v>198</v>
      </c>
    </row>
    <row r="96" spans="1:30" x14ac:dyDescent="0.35">
      <c r="AC96" s="315" t="s">
        <v>147</v>
      </c>
      <c r="AD96" s="315"/>
    </row>
    <row r="97" spans="1:28" x14ac:dyDescent="0.35">
      <c r="A97" s="355" t="s">
        <v>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7"/>
      <c r="AA97" s="325" t="s">
        <v>199</v>
      </c>
      <c r="AB97" s="326"/>
    </row>
    <row r="98" spans="1:28" x14ac:dyDescent="0.35">
      <c r="A98" s="341" t="s">
        <v>161</v>
      </c>
      <c r="B98" s="342"/>
      <c r="C98" s="341" t="s">
        <v>162</v>
      </c>
      <c r="D98" s="342"/>
      <c r="E98" s="341" t="s">
        <v>163</v>
      </c>
      <c r="F98" s="342"/>
      <c r="G98" s="341" t="s">
        <v>164</v>
      </c>
      <c r="H98" s="342"/>
      <c r="I98" s="341" t="s">
        <v>165</v>
      </c>
      <c r="J98" s="342"/>
      <c r="K98" s="341" t="s">
        <v>166</v>
      </c>
      <c r="L98" s="342"/>
      <c r="M98" s="341" t="s">
        <v>167</v>
      </c>
      <c r="N98" s="342"/>
      <c r="O98" s="341" t="s">
        <v>168</v>
      </c>
      <c r="P98" s="342"/>
      <c r="Q98" s="341" t="s">
        <v>169</v>
      </c>
      <c r="R98" s="342"/>
      <c r="S98" s="341" t="s">
        <v>170</v>
      </c>
      <c r="T98" s="342"/>
      <c r="U98" s="341" t="s">
        <v>171</v>
      </c>
      <c r="V98" s="342"/>
      <c r="W98" s="341" t="s">
        <v>172</v>
      </c>
      <c r="X98" s="342"/>
      <c r="Y98" s="341" t="s">
        <v>200</v>
      </c>
      <c r="Z98" s="342"/>
      <c r="AA98" s="318" t="s">
        <v>175</v>
      </c>
      <c r="AB98" s="172" t="s">
        <v>176</v>
      </c>
    </row>
    <row r="99" spans="1:28" x14ac:dyDescent="0.35">
      <c r="A99" s="166" t="s">
        <v>175</v>
      </c>
      <c r="B99" s="167" t="s">
        <v>176</v>
      </c>
      <c r="C99" s="166" t="s">
        <v>175</v>
      </c>
      <c r="D99" s="167" t="s">
        <v>176</v>
      </c>
      <c r="E99" s="166" t="s">
        <v>175</v>
      </c>
      <c r="F99" s="167" t="s">
        <v>176</v>
      </c>
      <c r="G99" s="166" t="s">
        <v>175</v>
      </c>
      <c r="H99" s="167" t="s">
        <v>176</v>
      </c>
      <c r="I99" s="166" t="s">
        <v>175</v>
      </c>
      <c r="J99" s="167" t="s">
        <v>176</v>
      </c>
      <c r="K99" s="166" t="s">
        <v>175</v>
      </c>
      <c r="L99" s="167" t="s">
        <v>176</v>
      </c>
      <c r="M99" s="166" t="s">
        <v>175</v>
      </c>
      <c r="N99" s="167" t="s">
        <v>176</v>
      </c>
      <c r="O99" s="166" t="s">
        <v>175</v>
      </c>
      <c r="P99" s="167" t="s">
        <v>176</v>
      </c>
      <c r="Q99" s="166" t="s">
        <v>175</v>
      </c>
      <c r="R99" s="167" t="s">
        <v>176</v>
      </c>
      <c r="S99" s="166" t="s">
        <v>175</v>
      </c>
      <c r="T99" s="167" t="s">
        <v>176</v>
      </c>
      <c r="U99" s="166" t="s">
        <v>175</v>
      </c>
      <c r="V99" s="167" t="s">
        <v>176</v>
      </c>
      <c r="W99" s="166" t="s">
        <v>175</v>
      </c>
      <c r="X99" s="167" t="s">
        <v>176</v>
      </c>
      <c r="Y99" s="166" t="s">
        <v>175</v>
      </c>
      <c r="Z99" s="167" t="s">
        <v>176</v>
      </c>
      <c r="AA99" s="315" t="s">
        <v>89</v>
      </c>
      <c r="AB99" s="315" t="s">
        <v>88</v>
      </c>
    </row>
    <row r="100" spans="1:28" x14ac:dyDescent="0.35">
      <c r="A100" s="169" t="str">
        <f>Mon!A100</f>
        <v>(AV)</v>
      </c>
      <c r="B100" s="170" t="str">
        <f>Mon!B100</f>
        <v>IB</v>
      </c>
      <c r="C100" s="169" t="str">
        <f>Mon!C100</f>
        <v>(KM)</v>
      </c>
      <c r="D100" s="170" t="str">
        <f>Mon!D100</f>
        <v>IB</v>
      </c>
      <c r="E100" s="169" t="str">
        <f>Mon!E100</f>
        <v>(SUN)</v>
      </c>
      <c r="F100" s="170" t="str">
        <f>Mon!F100</f>
        <v>IB</v>
      </c>
      <c r="G100" s="169" t="str">
        <f>Mon!G100</f>
        <v>(YL)</v>
      </c>
      <c r="H100" s="170" t="str">
        <f>Mon!H100</f>
        <v>IB</v>
      </c>
      <c r="I100" s="169" t="str">
        <f>Mon!I100</f>
        <v>(EC)</v>
      </c>
      <c r="J100" s="170" t="str">
        <f>Mon!J100</f>
        <v>IB</v>
      </c>
      <c r="K100" s="169" t="str">
        <f>Mon!K100</f>
        <v>(YL)</v>
      </c>
      <c r="L100" s="170" t="str">
        <f>Mon!L100</f>
        <v>IB</v>
      </c>
      <c r="M100" s="169" t="str">
        <f>Mon!M100</f>
        <v>(EC)</v>
      </c>
      <c r="N100" s="170" t="str">
        <f>Mon!N100</f>
        <v>IB</v>
      </c>
      <c r="O100" s="169" t="str">
        <f>Mon!O100</f>
        <v>(SUN)</v>
      </c>
      <c r="P100" s="170" t="str">
        <f>Mon!P100</f>
        <v>IB</v>
      </c>
      <c r="Q100" s="169" t="str">
        <f>Mon!Q100</f>
        <v>(AV)</v>
      </c>
      <c r="R100" s="170" t="str">
        <f>Mon!R100</f>
        <v>IB</v>
      </c>
      <c r="S100" s="169" t="str">
        <f>Mon!S100</f>
        <v>(EC)</v>
      </c>
      <c r="T100" s="170" t="str">
        <f>Mon!T100</f>
        <v>IB</v>
      </c>
      <c r="U100" s="169" t="str">
        <f>Mon!U100</f>
        <v>(EC)</v>
      </c>
      <c r="V100" s="170" t="str">
        <f>Mon!V100</f>
        <v>IB</v>
      </c>
      <c r="W100" s="169" t="str">
        <f>Mon!W100</f>
        <v>(AV)</v>
      </c>
      <c r="X100" s="170" t="str">
        <f>Mon!X100</f>
        <v>IB</v>
      </c>
      <c r="Y100" s="169" t="str">
        <f>Mon!Y100</f>
        <v>(DT)</v>
      </c>
      <c r="Z100" s="170" t="str">
        <f>Mon!Z100</f>
        <v>EBO</v>
      </c>
      <c r="AA100" s="315" t="s">
        <v>100</v>
      </c>
      <c r="AB100" s="315" t="s">
        <v>203</v>
      </c>
    </row>
    <row r="101" spans="1:28" x14ac:dyDescent="0.35">
      <c r="A101" s="169" t="str">
        <f>Mon!A101</f>
        <v>(SRN)</v>
      </c>
      <c r="B101" s="170" t="str">
        <f>Mon!B101</f>
        <v>IT</v>
      </c>
      <c r="C101" s="169" t="str">
        <f>Mon!C101</f>
        <v>(UK)</v>
      </c>
      <c r="D101" s="170" t="str">
        <f>Mon!D101</f>
        <v>IT</v>
      </c>
      <c r="E101" s="169" t="str">
        <f>Mon!E101</f>
        <v>(SUP)</v>
      </c>
      <c r="F101" s="170" t="str">
        <f>Mon!F101</f>
        <v>IT</v>
      </c>
      <c r="G101" s="174" t="str">
        <f>Mon!G101</f>
        <v>(SRN)</v>
      </c>
      <c r="H101" s="170" t="str">
        <f>Mon!H101</f>
        <v>IT</v>
      </c>
      <c r="I101" s="169" t="str">
        <f>Mon!I101</f>
        <v>(AD)</v>
      </c>
      <c r="J101" s="170" t="str">
        <f>Mon!J101</f>
        <v>IT</v>
      </c>
      <c r="K101" s="169" t="str">
        <f>Mon!K101</f>
        <v>(UK)</v>
      </c>
      <c r="L101" s="170" t="str">
        <f>Mon!L101</f>
        <v>IT</v>
      </c>
      <c r="M101" s="174" t="str">
        <f>Mon!M101</f>
        <v>(UK)</v>
      </c>
      <c r="N101" s="170" t="str">
        <f>Mon!N101</f>
        <v>IT</v>
      </c>
      <c r="O101" s="169" t="str">
        <f>Mon!O101</f>
        <v>(SRN)</v>
      </c>
      <c r="P101" s="170" t="str">
        <f>Mon!P101</f>
        <v>IT</v>
      </c>
      <c r="Q101" s="169" t="str">
        <f>Mon!Q101</f>
        <v>(SUP)</v>
      </c>
      <c r="R101" s="170" t="str">
        <f>Mon!R101</f>
        <v>IT</v>
      </c>
      <c r="S101" s="174" t="str">
        <f>Mon!S101</f>
        <v>(AD)</v>
      </c>
      <c r="T101" s="170" t="str">
        <f>Mon!T101</f>
        <v>IT</v>
      </c>
      <c r="U101" s="169" t="str">
        <f>Mon!U101</f>
        <v>(AD)</v>
      </c>
      <c r="V101" s="170" t="str">
        <f>Mon!V101</f>
        <v>IT</v>
      </c>
      <c r="W101" s="174" t="str">
        <f>Mon!W101</f>
        <v>(AD)</v>
      </c>
      <c r="X101" s="170" t="str">
        <f>Mon!X101</f>
        <v>IT</v>
      </c>
      <c r="Y101" s="169" t="str">
        <f>Mon!Y101</f>
        <v>(ND)</v>
      </c>
      <c r="Z101" s="170" t="str">
        <f>Mon!Z101</f>
        <v>ES</v>
      </c>
      <c r="AA101" s="315"/>
      <c r="AB101" s="315" t="s">
        <v>96</v>
      </c>
    </row>
    <row r="102" spans="1:28" x14ac:dyDescent="0.35">
      <c r="A102" s="169" t="str">
        <f>Mon!A102</f>
        <v>(KR)</v>
      </c>
      <c r="B102" s="170" t="str">
        <f>Mon!B102</f>
        <v>MA</v>
      </c>
      <c r="C102" s="169" t="str">
        <f>Mon!C102</f>
        <v>(TK)</v>
      </c>
      <c r="D102" s="170" t="str">
        <f>Mon!D102</f>
        <v>MA</v>
      </c>
      <c r="E102" s="169" t="str">
        <f>Mon!E102</f>
        <v>(RG)</v>
      </c>
      <c r="F102" s="170" t="str">
        <f>Mon!F102</f>
        <v>MA</v>
      </c>
      <c r="G102" s="169" t="str">
        <f>Mon!G102</f>
        <v>(MEG)</v>
      </c>
      <c r="H102" s="170" t="str">
        <f>Mon!H102</f>
        <v>MA</v>
      </c>
      <c r="I102" s="169" t="str">
        <f>Mon!I102</f>
        <v>(KR)</v>
      </c>
      <c r="J102" s="170" t="str">
        <f>Mon!J102</f>
        <v>MA</v>
      </c>
      <c r="K102" s="174" t="str">
        <f>Mon!K102</f>
        <v>(PM)</v>
      </c>
      <c r="L102" s="170" t="str">
        <f>Mon!L102</f>
        <v>MA</v>
      </c>
      <c r="M102" s="169" t="str">
        <f>Mon!M102</f>
        <v>(NG)</v>
      </c>
      <c r="N102" s="170" t="str">
        <f>Mon!N102</f>
        <v>MA</v>
      </c>
      <c r="O102" s="169" t="s">
        <v>42</v>
      </c>
      <c r="P102" s="170" t="str">
        <f>Mon!P102</f>
        <v>MA</v>
      </c>
      <c r="Q102" s="169" t="str">
        <f>Mon!Q102</f>
        <v>(NG)</v>
      </c>
      <c r="R102" s="170" t="str">
        <f>Mon!R102</f>
        <v>MA</v>
      </c>
      <c r="S102" s="169" t="str">
        <f>Mon!S102</f>
        <v>(MEG)</v>
      </c>
      <c r="T102" s="170" t="str">
        <f>Mon!T102</f>
        <v>MA</v>
      </c>
      <c r="U102" s="169" t="str">
        <f>Mon!U102</f>
        <v>(NG)</v>
      </c>
      <c r="V102" s="170" t="str">
        <f>Mon!V102</f>
        <v>MA</v>
      </c>
      <c r="W102" s="169" t="str">
        <f>Mon!W102</f>
        <v>(RG)</v>
      </c>
      <c r="X102" s="170" t="str">
        <f>Mon!X102</f>
        <v>MA</v>
      </c>
      <c r="Y102" s="181" t="str">
        <f>Mon!Y102</f>
        <v>(LK)</v>
      </c>
      <c r="Z102" s="170" t="str">
        <f>Mon!Z102</f>
        <v>LE</v>
      </c>
      <c r="AA102" s="315" t="s">
        <v>98</v>
      </c>
      <c r="AB102" s="315" t="s">
        <v>92</v>
      </c>
    </row>
    <row r="103" spans="1:28" x14ac:dyDescent="0.35">
      <c r="A103" s="169" t="str">
        <f>Mon!A103</f>
        <v>(SUN)</v>
      </c>
      <c r="B103" s="170" t="str">
        <f>Mon!B103</f>
        <v>FMS</v>
      </c>
      <c r="C103" s="174" t="str">
        <f>Mon!C103</f>
        <v>(MS)</v>
      </c>
      <c r="D103" s="170" t="str">
        <f>Mon!D103</f>
        <v>FMS</v>
      </c>
      <c r="E103" s="169" t="str">
        <f>Mon!E103</f>
        <v>(NG)</v>
      </c>
      <c r="F103" s="170" t="str">
        <f>Mon!F103</f>
        <v>FMS</v>
      </c>
      <c r="G103" s="169" t="str">
        <f>Mon!G103</f>
        <v>(SUN)</v>
      </c>
      <c r="H103" s="170" t="str">
        <f>Mon!H103</f>
        <v>FMS</v>
      </c>
      <c r="I103" s="169" t="s">
        <v>43</v>
      </c>
      <c r="J103" s="170" t="str">
        <f>Mon!J103</f>
        <v>FMS</v>
      </c>
      <c r="K103" s="174" t="str">
        <f>Mon!K103</f>
        <v>(NG)</v>
      </c>
      <c r="L103" s="170" t="str">
        <f>Mon!L103</f>
        <v>FMS</v>
      </c>
      <c r="M103" s="169" t="str">
        <f>Mon!M103</f>
        <v>(KM)</v>
      </c>
      <c r="N103" s="170" t="str">
        <f>Mon!N103</f>
        <v>CB</v>
      </c>
      <c r="O103" s="169" t="str">
        <f>Mon!O103</f>
        <v>(SRS)</v>
      </c>
      <c r="P103" s="170" t="str">
        <f>Mon!P103</f>
        <v>CB</v>
      </c>
      <c r="Q103" s="169" t="str">
        <f>Mon!Q103</f>
        <v>(KM)</v>
      </c>
      <c r="R103" s="170" t="str">
        <f>Mon!R103</f>
        <v>CB</v>
      </c>
      <c r="S103" s="169" t="str">
        <f>Mon!S103</f>
        <v>(KM)</v>
      </c>
      <c r="T103" s="170" t="str">
        <f>Mon!T103</f>
        <v>CB</v>
      </c>
      <c r="U103" s="169" t="str">
        <f>Mon!U103</f>
        <v>(SRS)</v>
      </c>
      <c r="V103" s="170" t="str">
        <f>Mon!V103</f>
        <v>CB</v>
      </c>
      <c r="W103" s="174" t="str">
        <f>Mon!W103</f>
        <v>(EC)</v>
      </c>
      <c r="X103" s="175" t="str">
        <f>Mon!X103</f>
        <v>HRD</v>
      </c>
      <c r="Y103" s="169" t="str">
        <f>Mon!Y103</f>
        <v>(SP)</v>
      </c>
      <c r="Z103" s="170" t="str">
        <f>Mon!Z103</f>
        <v>PR</v>
      </c>
      <c r="AA103" s="315" t="s">
        <v>94</v>
      </c>
      <c r="AB103" s="315" t="s">
        <v>101</v>
      </c>
    </row>
    <row r="104" spans="1:28" x14ac:dyDescent="0.35">
      <c r="A104" s="169" t="str">
        <f>Mon!A104</f>
        <v>(VAR)</v>
      </c>
      <c r="B104" s="170" t="str">
        <f>Mon!B104</f>
        <v>IF</v>
      </c>
      <c r="C104" s="169" t="str">
        <f>Mon!C104</f>
        <v>(SRN)</v>
      </c>
      <c r="D104" s="170" t="str">
        <f>Mon!D104</f>
        <v>IF</v>
      </c>
      <c r="E104" s="169" t="str">
        <f>Mon!E104</f>
        <v>(VAR)</v>
      </c>
      <c r="F104" s="170" t="str">
        <f>Mon!F104</f>
        <v>IF</v>
      </c>
      <c r="G104" s="169" t="str">
        <f>Mon!G104</f>
        <v>(VAR)</v>
      </c>
      <c r="H104" s="170" t="str">
        <f>Mon!H104</f>
        <v>IF</v>
      </c>
      <c r="I104" s="169" t="str">
        <f>Mon!I104</f>
        <v>(SRN)</v>
      </c>
      <c r="J104" s="170" t="str">
        <f>Mon!J104</f>
        <v>IF</v>
      </c>
      <c r="K104" s="169" t="str">
        <f>Mon!K104</f>
        <v>(VAR)</v>
      </c>
      <c r="L104" s="170" t="str">
        <f>Mon!L104</f>
        <v>IF</v>
      </c>
      <c r="M104" s="169" t="str">
        <f>Mon!M104</f>
        <v>(DT)</v>
      </c>
      <c r="N104" s="170" t="str">
        <f>Mon!N104</f>
        <v>MIP</v>
      </c>
      <c r="O104" s="169" t="str">
        <f>Mon!O104</f>
        <v>(LK)</v>
      </c>
      <c r="P104" s="170" t="str">
        <f>Mon!P104</f>
        <v>MIP</v>
      </c>
      <c r="Q104" s="169" t="str">
        <f>Mon!Q104</f>
        <v>(LK)</v>
      </c>
      <c r="R104" s="170" t="str">
        <f>Mon!R104</f>
        <v>MIP</v>
      </c>
      <c r="S104" s="169" t="str">
        <f>Mon!S104</f>
        <v>(AV)</v>
      </c>
      <c r="T104" s="170" t="str">
        <f>Mon!T104</f>
        <v>MIP</v>
      </c>
      <c r="U104" s="169" t="str">
        <f>Mon!U104</f>
        <v>(DT)</v>
      </c>
      <c r="V104" s="170" t="str">
        <f>Mon!V104</f>
        <v>MIP</v>
      </c>
      <c r="W104" s="174" t="str">
        <f>Mon!W104</f>
        <v>(SR)</v>
      </c>
      <c r="X104" s="175" t="str">
        <f>Mon!X104</f>
        <v>IHRM</v>
      </c>
      <c r="Y104" s="169">
        <f>Mon!Y104</f>
        <v>0</v>
      </c>
      <c r="Z104" s="170">
        <f>Mon!Z104</f>
        <v>0</v>
      </c>
      <c r="AA104" s="315" t="s">
        <v>91</v>
      </c>
      <c r="AB104" s="315" t="s">
        <v>90</v>
      </c>
    </row>
    <row r="105" spans="1:28" x14ac:dyDescent="0.35">
      <c r="A105" s="169" t="str">
        <f>Mon!A105</f>
        <v>(SUP)</v>
      </c>
      <c r="B105" s="170" t="str">
        <f>Mon!B105</f>
        <v>AA</v>
      </c>
      <c r="C105" s="169" t="str">
        <f>Mon!C105</f>
        <v>(VAR)</v>
      </c>
      <c r="D105" s="170" t="str">
        <f>Mon!D105</f>
        <v>AA</v>
      </c>
      <c r="E105" s="169" t="str">
        <f>Mon!E105</f>
        <v>(MS)</v>
      </c>
      <c r="F105" s="170" t="str">
        <f>Mon!F105</f>
        <v>AA</v>
      </c>
      <c r="G105" s="169" t="str">
        <f>Mon!G105</f>
        <v>(SUP)</v>
      </c>
      <c r="H105" s="170" t="str">
        <f>Mon!H105</f>
        <v>AA</v>
      </c>
      <c r="I105" s="169" t="str">
        <f>Mon!I105</f>
        <v>(SUP)</v>
      </c>
      <c r="J105" s="170" t="str">
        <f>Mon!J105</f>
        <v>AA</v>
      </c>
      <c r="K105" s="169" t="str">
        <f>Mon!K105</f>
        <v>(MS)</v>
      </c>
      <c r="L105" s="170" t="str">
        <f>Mon!L105</f>
        <v>AA</v>
      </c>
      <c r="M105" s="169" t="str">
        <f>Mon!M105</f>
        <v>(LK)</v>
      </c>
      <c r="N105" s="170" t="str">
        <f>Mon!N105</f>
        <v>RM</v>
      </c>
      <c r="O105" s="169" t="str">
        <f>Mon!O105</f>
        <v>(VRL)</v>
      </c>
      <c r="P105" s="170" t="str">
        <f>Mon!P105</f>
        <v>RM</v>
      </c>
      <c r="Q105" s="169" t="str">
        <f>Mon!Q105</f>
        <v>(AD)</v>
      </c>
      <c r="R105" s="170" t="str">
        <f>Mon!R105</f>
        <v>RM</v>
      </c>
      <c r="S105" s="169" t="str">
        <f>Mon!S105</f>
        <v>(LK)</v>
      </c>
      <c r="T105" s="170" t="str">
        <f>Mon!T105</f>
        <v>RM</v>
      </c>
      <c r="U105" s="169" t="str">
        <f>Mon!U105</f>
        <v>(LK)</v>
      </c>
      <c r="V105" s="170" t="str">
        <f>Mon!V105</f>
        <v>RM</v>
      </c>
      <c r="W105" s="174" t="str">
        <f>Mon!W105</f>
        <v>(RT)</v>
      </c>
      <c r="X105" s="175" t="str">
        <f>Mon!X105</f>
        <v>CHRM</v>
      </c>
      <c r="Y105" s="181">
        <f>Mon!Y105</f>
        <v>0</v>
      </c>
      <c r="Z105" s="170">
        <f>Mon!Z105</f>
        <v>0</v>
      </c>
      <c r="AA105" s="315"/>
      <c r="AB105" s="315" t="s">
        <v>93</v>
      </c>
    </row>
    <row r="106" spans="1:28" x14ac:dyDescent="0.35">
      <c r="A106" s="169" t="str">
        <f>Mon!A106</f>
        <v>(AW)</v>
      </c>
      <c r="B106" s="170" t="str">
        <f>Mon!B106</f>
        <v>ECOM</v>
      </c>
      <c r="C106" s="169" t="str">
        <f>Mon!C106</f>
        <v>(SR)</v>
      </c>
      <c r="D106" s="170" t="str">
        <f>Mon!D106</f>
        <v>ECOM</v>
      </c>
      <c r="E106" s="169" t="str">
        <f>Mon!E106</f>
        <v>(AW)</v>
      </c>
      <c r="F106" s="170" t="str">
        <f>Mon!F106</f>
        <v>ECOM</v>
      </c>
      <c r="G106" s="169" t="str">
        <f>Mon!G106</f>
        <v>(SR)</v>
      </c>
      <c r="H106" s="170" t="str">
        <f>Mon!H106</f>
        <v>ECOM</v>
      </c>
      <c r="I106" s="169" t="str">
        <f>Mon!I106</f>
        <v>(DT)</v>
      </c>
      <c r="J106" s="170" t="str">
        <f>Mon!J106</f>
        <v>ECOM</v>
      </c>
      <c r="K106" s="169" t="str">
        <f>Mon!K106</f>
        <v>(SP)</v>
      </c>
      <c r="L106" s="170" t="str">
        <f>Mon!L106</f>
        <v>PR</v>
      </c>
      <c r="M106" s="169" t="str">
        <f>Mon!M106</f>
        <v>(SR)</v>
      </c>
      <c r="N106" s="170" t="str">
        <f>Mon!N106</f>
        <v>ECOM</v>
      </c>
      <c r="O106" s="169" t="str">
        <f>Mon!O106</f>
        <v>(SR)</v>
      </c>
      <c r="P106" s="170" t="str">
        <f>Mon!P106</f>
        <v>ECOM</v>
      </c>
      <c r="Q106" s="169" t="str">
        <f>Mon!Q106</f>
        <v>(DT)</v>
      </c>
      <c r="R106" s="170" t="str">
        <f>Mon!R106</f>
        <v>ECOM</v>
      </c>
      <c r="S106" s="169" t="str">
        <f>Mon!S106</f>
        <v>(SR)</v>
      </c>
      <c r="T106" s="170" t="str">
        <f>Mon!T106</f>
        <v>PR</v>
      </c>
      <c r="U106" s="169" t="str">
        <f>Mon!U106</f>
        <v>(SP)</v>
      </c>
      <c r="V106" s="170" t="str">
        <f>Mon!V106</f>
        <v>PR</v>
      </c>
      <c r="W106" s="174" t="str">
        <f>Mon!W106</f>
        <v>(BB)</v>
      </c>
      <c r="X106" s="175" t="str">
        <f>Mon!X106</f>
        <v>ECOM</v>
      </c>
      <c r="Y106" s="169">
        <f>Mon!Y106</f>
        <v>0</v>
      </c>
      <c r="Z106" s="170">
        <f>Mon!Z106</f>
        <v>0</v>
      </c>
      <c r="AA106" s="315"/>
      <c r="AB106" s="315" t="s">
        <v>99</v>
      </c>
    </row>
    <row r="107" spans="1:28" x14ac:dyDescent="0.35">
      <c r="A107" s="30"/>
      <c r="B107" s="31"/>
      <c r="C107" s="30"/>
      <c r="D107" s="31"/>
      <c r="E107" s="30"/>
      <c r="F107" s="31"/>
      <c r="G107" s="30"/>
      <c r="H107" s="31"/>
      <c r="I107" s="30"/>
      <c r="J107" s="31"/>
      <c r="K107" s="30"/>
      <c r="L107" s="31"/>
      <c r="M107" s="30"/>
      <c r="N107" s="170"/>
      <c r="O107" s="30"/>
      <c r="P107" s="31"/>
      <c r="Q107" s="30"/>
      <c r="R107" s="31"/>
      <c r="S107" s="30"/>
      <c r="T107" s="31"/>
      <c r="U107" s="30"/>
      <c r="V107" s="31"/>
      <c r="W107" s="169"/>
      <c r="X107" s="31"/>
      <c r="Y107" s="30"/>
      <c r="Z107" s="31"/>
      <c r="AA107" s="315"/>
      <c r="AB107" s="315" t="s">
        <v>97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</sheetData>
  <mergeCells count="76">
    <mergeCell ref="AC1:AN1"/>
    <mergeCell ref="Y2:AB2"/>
    <mergeCell ref="AC2:AF2"/>
    <mergeCell ref="AG2:AJ2"/>
    <mergeCell ref="AK2:AN2"/>
    <mergeCell ref="E20:F20"/>
    <mergeCell ref="G20:H20"/>
    <mergeCell ref="Y72:Z72"/>
    <mergeCell ref="A85:Z85"/>
    <mergeCell ref="K72:L72"/>
    <mergeCell ref="M72:N72"/>
    <mergeCell ref="O72:P72"/>
    <mergeCell ref="Q72:R72"/>
    <mergeCell ref="A72:B72"/>
    <mergeCell ref="C72:D72"/>
    <mergeCell ref="W72:X72"/>
    <mergeCell ref="E72:F72"/>
    <mergeCell ref="G72:H72"/>
    <mergeCell ref="I72:J72"/>
    <mergeCell ref="K37:L37"/>
    <mergeCell ref="M37:N37"/>
    <mergeCell ref="BX3:CA3"/>
    <mergeCell ref="B16:B17"/>
    <mergeCell ref="C16:C17"/>
    <mergeCell ref="M4:N4"/>
    <mergeCell ref="A3:H3"/>
    <mergeCell ref="I3:N3"/>
    <mergeCell ref="A5:A19"/>
    <mergeCell ref="E4:F4"/>
    <mergeCell ref="G4:H4"/>
    <mergeCell ref="I4:J4"/>
    <mergeCell ref="K4:L4"/>
    <mergeCell ref="I5:J19"/>
    <mergeCell ref="I20:J20"/>
    <mergeCell ref="K20:L20"/>
    <mergeCell ref="M20:N20"/>
    <mergeCell ref="AC85:AD85"/>
    <mergeCell ref="I98:J98"/>
    <mergeCell ref="K98:L98"/>
    <mergeCell ref="M98:N98"/>
    <mergeCell ref="K86:L86"/>
    <mergeCell ref="M86:N86"/>
    <mergeCell ref="O98:P98"/>
    <mergeCell ref="Q98:R98"/>
    <mergeCell ref="I86:J86"/>
    <mergeCell ref="A71:Z71"/>
    <mergeCell ref="S98:T98"/>
    <mergeCell ref="Q86:R86"/>
    <mergeCell ref="S86:T86"/>
    <mergeCell ref="U98:V98"/>
    <mergeCell ref="W98:X98"/>
    <mergeCell ref="Y98:Z98"/>
    <mergeCell ref="W86:X86"/>
    <mergeCell ref="Y86:Z86"/>
    <mergeCell ref="A97:Z97"/>
    <mergeCell ref="A98:B98"/>
    <mergeCell ref="C98:D98"/>
    <mergeCell ref="E98:F98"/>
    <mergeCell ref="G98:H98"/>
    <mergeCell ref="G86:H86"/>
    <mergeCell ref="A38:A53"/>
    <mergeCell ref="I38:J53"/>
    <mergeCell ref="AA86:AB86"/>
    <mergeCell ref="AA72:AB72"/>
    <mergeCell ref="A21:A36"/>
    <mergeCell ref="I21:J36"/>
    <mergeCell ref="E37:F37"/>
    <mergeCell ref="G37:H37"/>
    <mergeCell ref="I37:J37"/>
    <mergeCell ref="O86:P86"/>
    <mergeCell ref="U86:V86"/>
    <mergeCell ref="A86:B86"/>
    <mergeCell ref="C86:D86"/>
    <mergeCell ref="S72:T72"/>
    <mergeCell ref="U72:V72"/>
    <mergeCell ref="E86:F86"/>
  </mergeCells>
  <conditionalFormatting sqref="E18">
    <cfRule type="duplicateValues" dxfId="1861" priority="283"/>
  </conditionalFormatting>
  <conditionalFormatting sqref="E18:E19">
    <cfRule type="cellIs" dxfId="1860" priority="282" operator="equal">
      <formula>0</formula>
    </cfRule>
  </conditionalFormatting>
  <conditionalFormatting sqref="E19">
    <cfRule type="duplicateValues" dxfId="1859" priority="284"/>
  </conditionalFormatting>
  <conditionalFormatting sqref="E21">
    <cfRule type="duplicateValues" dxfId="1858" priority="22"/>
  </conditionalFormatting>
  <conditionalFormatting sqref="E21:E34">
    <cfRule type="cellIs" dxfId="1857" priority="4" operator="equal">
      <formula>$O$11</formula>
    </cfRule>
    <cfRule type="cellIs" dxfId="1856" priority="5" operator="equal">
      <formula>$O$9</formula>
    </cfRule>
    <cfRule type="cellIs" dxfId="1855" priority="6" operator="equal">
      <formula>$O$8</formula>
    </cfRule>
    <cfRule type="cellIs" dxfId="1854" priority="7" operator="equal">
      <formula>$O$7</formula>
    </cfRule>
    <cfRule type="cellIs" dxfId="1853" priority="8" operator="equal">
      <formula>$O$6</formula>
    </cfRule>
    <cfRule type="cellIs" dxfId="1852" priority="9" operator="equal">
      <formula>$O$5</formula>
    </cfRule>
  </conditionalFormatting>
  <conditionalFormatting sqref="E22">
    <cfRule type="duplicateValues" dxfId="1851" priority="21"/>
  </conditionalFormatting>
  <conditionalFormatting sqref="E23">
    <cfRule type="duplicateValues" dxfId="1850" priority="20"/>
  </conditionalFormatting>
  <conditionalFormatting sqref="E25">
    <cfRule type="duplicateValues" dxfId="1849" priority="19"/>
  </conditionalFormatting>
  <conditionalFormatting sqref="E26">
    <cfRule type="duplicateValues" dxfId="1848" priority="18"/>
  </conditionalFormatting>
  <conditionalFormatting sqref="E27">
    <cfRule type="duplicateValues" dxfId="1847" priority="17"/>
  </conditionalFormatting>
  <conditionalFormatting sqref="E28">
    <cfRule type="duplicateValues" dxfId="1846" priority="16"/>
  </conditionalFormatting>
  <conditionalFormatting sqref="E29">
    <cfRule type="duplicateValues" dxfId="1845" priority="15"/>
  </conditionalFormatting>
  <conditionalFormatting sqref="E30">
    <cfRule type="duplicateValues" dxfId="1844" priority="14"/>
  </conditionalFormatting>
  <conditionalFormatting sqref="E31">
    <cfRule type="duplicateValues" dxfId="1843" priority="13"/>
  </conditionalFormatting>
  <conditionalFormatting sqref="E32">
    <cfRule type="duplicateValues" dxfId="1842" priority="12"/>
  </conditionalFormatting>
  <conditionalFormatting sqref="E33">
    <cfRule type="duplicateValues" dxfId="1841" priority="11"/>
  </conditionalFormatting>
  <conditionalFormatting sqref="E34">
    <cfRule type="duplicateValues" dxfId="1840" priority="2"/>
    <cfRule type="duplicateValues" dxfId="1839" priority="1"/>
    <cfRule type="duplicateValues" dxfId="1838" priority="3"/>
  </conditionalFormatting>
  <conditionalFormatting sqref="E35">
    <cfRule type="duplicateValues" dxfId="1837" priority="526"/>
  </conditionalFormatting>
  <conditionalFormatting sqref="E36">
    <cfRule type="duplicateValues" dxfId="1836" priority="525"/>
    <cfRule type="duplicateValues" dxfId="1835" priority="524"/>
    <cfRule type="duplicateValues" dxfId="1834" priority="523"/>
  </conditionalFormatting>
  <conditionalFormatting sqref="E38">
    <cfRule type="duplicateValues" dxfId="1833" priority="119"/>
    <cfRule type="duplicateValues" dxfId="1832" priority="146"/>
  </conditionalFormatting>
  <conditionalFormatting sqref="E39">
    <cfRule type="duplicateValues" dxfId="1831" priority="133"/>
    <cfRule type="duplicateValues" dxfId="1830" priority="145"/>
  </conditionalFormatting>
  <conditionalFormatting sqref="E40">
    <cfRule type="duplicateValues" dxfId="1829" priority="132"/>
    <cfRule type="duplicateValues" dxfId="1828" priority="144"/>
  </conditionalFormatting>
  <conditionalFormatting sqref="E41">
    <cfRule type="duplicateValues" dxfId="1827" priority="131"/>
    <cfRule type="duplicateValues" dxfId="1826" priority="143"/>
  </conditionalFormatting>
  <conditionalFormatting sqref="E42">
    <cfRule type="duplicateValues" dxfId="1825" priority="130"/>
    <cfRule type="duplicateValues" dxfId="1824" priority="142"/>
  </conditionalFormatting>
  <conditionalFormatting sqref="E43">
    <cfRule type="duplicateValues" dxfId="1823" priority="129"/>
    <cfRule type="duplicateValues" dxfId="1822" priority="141"/>
  </conditionalFormatting>
  <conditionalFormatting sqref="E44">
    <cfRule type="duplicateValues" dxfId="1821" priority="140"/>
    <cfRule type="duplicateValues" dxfId="1820" priority="128"/>
  </conditionalFormatting>
  <conditionalFormatting sqref="E45">
    <cfRule type="duplicateValues" dxfId="1819" priority="127"/>
    <cfRule type="duplicateValues" dxfId="1818" priority="139"/>
  </conditionalFormatting>
  <conditionalFormatting sqref="E46">
    <cfRule type="duplicateValues" dxfId="1817" priority="138"/>
    <cfRule type="duplicateValues" dxfId="1816" priority="126"/>
  </conditionalFormatting>
  <conditionalFormatting sqref="E47">
    <cfRule type="duplicateValues" dxfId="1815" priority="137"/>
    <cfRule type="duplicateValues" dxfId="1814" priority="125"/>
  </conditionalFormatting>
  <conditionalFormatting sqref="E48">
    <cfRule type="duplicateValues" dxfId="1813" priority="124"/>
    <cfRule type="duplicateValues" dxfId="1812" priority="136"/>
  </conditionalFormatting>
  <conditionalFormatting sqref="E49">
    <cfRule type="duplicateValues" dxfId="1811" priority="135"/>
    <cfRule type="duplicateValues" dxfId="1810" priority="134"/>
    <cfRule type="duplicateValues" dxfId="1809" priority="123"/>
  </conditionalFormatting>
  <conditionalFormatting sqref="E50">
    <cfRule type="duplicateValues" dxfId="1808" priority="121"/>
    <cfRule type="duplicateValues" dxfId="1807" priority="122"/>
  </conditionalFormatting>
  <conditionalFormatting sqref="E51">
    <cfRule type="duplicateValues" dxfId="1806" priority="116"/>
    <cfRule type="duplicateValues" dxfId="1805" priority="117"/>
  </conditionalFormatting>
  <conditionalFormatting sqref="E55">
    <cfRule type="duplicateValues" dxfId="1804" priority="3642"/>
    <cfRule type="duplicateValues" dxfId="1803" priority="3613"/>
  </conditionalFormatting>
  <conditionalFormatting sqref="E56">
    <cfRule type="duplicateValues" dxfId="1802" priority="3641"/>
    <cfRule type="duplicateValues" dxfId="1801" priority="3628"/>
  </conditionalFormatting>
  <conditionalFormatting sqref="E57">
    <cfRule type="duplicateValues" dxfId="1800" priority="3627"/>
    <cfRule type="duplicateValues" dxfId="1799" priority="3640"/>
  </conditionalFormatting>
  <conditionalFormatting sqref="E58">
    <cfRule type="duplicateValues" dxfId="1798" priority="3626"/>
    <cfRule type="duplicateValues" dxfId="1797" priority="3639"/>
  </conditionalFormatting>
  <conditionalFormatting sqref="E59">
    <cfRule type="duplicateValues" dxfId="1796" priority="3625"/>
    <cfRule type="duplicateValues" dxfId="1795" priority="3638"/>
  </conditionalFormatting>
  <conditionalFormatting sqref="E60">
    <cfRule type="duplicateValues" dxfId="1794" priority="3637"/>
    <cfRule type="duplicateValues" dxfId="1793" priority="3624"/>
  </conditionalFormatting>
  <conditionalFormatting sqref="E61">
    <cfRule type="duplicateValues" dxfId="1792" priority="3636"/>
    <cfRule type="duplicateValues" dxfId="1791" priority="3623"/>
  </conditionalFormatting>
  <conditionalFormatting sqref="E62">
    <cfRule type="duplicateValues" dxfId="1790" priority="3635"/>
    <cfRule type="duplicateValues" dxfId="1789" priority="3622"/>
  </conditionalFormatting>
  <conditionalFormatting sqref="E63">
    <cfRule type="duplicateValues" dxfId="1788" priority="3634"/>
    <cfRule type="duplicateValues" dxfId="1787" priority="3621"/>
  </conditionalFormatting>
  <conditionalFormatting sqref="E64">
    <cfRule type="duplicateValues" dxfId="1786" priority="3633"/>
    <cfRule type="duplicateValues" dxfId="1785" priority="3620"/>
  </conditionalFormatting>
  <conditionalFormatting sqref="E65">
    <cfRule type="duplicateValues" dxfId="1784" priority="3632"/>
    <cfRule type="duplicateValues" dxfId="1783" priority="3619"/>
  </conditionalFormatting>
  <conditionalFormatting sqref="E66">
    <cfRule type="duplicateValues" dxfId="1782" priority="3630"/>
    <cfRule type="duplicateValues" dxfId="1781" priority="3629"/>
    <cfRule type="duplicateValues" dxfId="1780" priority="3618"/>
  </conditionalFormatting>
  <conditionalFormatting sqref="E67">
    <cfRule type="duplicateValues" dxfId="1779" priority="3616"/>
    <cfRule type="duplicateValues" dxfId="1778" priority="3615"/>
  </conditionalFormatting>
  <conditionalFormatting sqref="E68">
    <cfRule type="duplicateValues" dxfId="1777" priority="3610"/>
    <cfRule type="duplicateValues" dxfId="1776" priority="3609"/>
  </conditionalFormatting>
  <conditionalFormatting sqref="E55:F68">
    <cfRule type="cellIs" dxfId="1775" priority="3611" operator="equal">
      <formula>0</formula>
    </cfRule>
  </conditionalFormatting>
  <conditionalFormatting sqref="E5:H16 K5:N16">
    <cfRule type="cellIs" dxfId="1774" priority="1263" operator="equal">
      <formula>0</formula>
    </cfRule>
  </conditionalFormatting>
  <conditionalFormatting sqref="E21:H36">
    <cfRule type="cellIs" dxfId="1773" priority="10" operator="equal">
      <formula>0</formula>
    </cfRule>
  </conditionalFormatting>
  <conditionalFormatting sqref="E35:H36">
    <cfRule type="cellIs" dxfId="1772" priority="530" operator="equal">
      <formula>$O$11</formula>
    </cfRule>
    <cfRule type="cellIs" dxfId="1771" priority="531" operator="equal">
      <formula>$O$9</formula>
    </cfRule>
    <cfRule type="cellIs" dxfId="1770" priority="533" operator="equal">
      <formula>$O$7</formula>
    </cfRule>
    <cfRule type="cellIs" dxfId="1769" priority="535" operator="equal">
      <formula>$O$5</formula>
    </cfRule>
    <cfRule type="cellIs" dxfId="1768" priority="532" operator="equal">
      <formula>$O$8</formula>
    </cfRule>
    <cfRule type="cellIs" dxfId="1767" priority="534" operator="equal">
      <formula>$O$6</formula>
    </cfRule>
  </conditionalFormatting>
  <conditionalFormatting sqref="E38:H53">
    <cfRule type="cellIs" dxfId="1766" priority="87" operator="equal">
      <formula>0</formula>
    </cfRule>
  </conditionalFormatting>
  <conditionalFormatting sqref="E4:N4">
    <cfRule type="cellIs" dxfId="1765" priority="635" operator="equal">
      <formula>$O$6</formula>
    </cfRule>
    <cfRule type="cellIs" dxfId="1764" priority="636" operator="equal">
      <formula>$O$5</formula>
    </cfRule>
    <cfRule type="cellIs" dxfId="1763" priority="637" operator="equal">
      <formula>0</formula>
    </cfRule>
    <cfRule type="cellIs" dxfId="1762" priority="631" operator="equal">
      <formula>$O$11</formula>
    </cfRule>
    <cfRule type="cellIs" dxfId="1761" priority="632" operator="equal">
      <formula>$O$9</formula>
    </cfRule>
    <cfRule type="cellIs" dxfId="1760" priority="633" operator="equal">
      <formula>$O$8</formula>
    </cfRule>
    <cfRule type="cellIs" dxfId="1759" priority="634" operator="equal">
      <formula>$O$7</formula>
    </cfRule>
  </conditionalFormatting>
  <conditionalFormatting sqref="E20:N20">
    <cfRule type="cellIs" dxfId="1758" priority="627" operator="equal">
      <formula>$O$7</formula>
    </cfRule>
    <cfRule type="cellIs" dxfId="1757" priority="626" operator="equal">
      <formula>$O$8</formula>
    </cfRule>
    <cfRule type="cellIs" dxfId="1756" priority="625" operator="equal">
      <formula>$O$9</formula>
    </cfRule>
    <cfRule type="cellIs" dxfId="1755" priority="624" operator="equal">
      <formula>$O$11</formula>
    </cfRule>
    <cfRule type="cellIs" dxfId="1754" priority="630" operator="equal">
      <formula>0</formula>
    </cfRule>
    <cfRule type="cellIs" dxfId="1753" priority="629" operator="equal">
      <formula>$O$5</formula>
    </cfRule>
    <cfRule type="cellIs" dxfId="1752" priority="628" operator="equal">
      <formula>$O$6</formula>
    </cfRule>
  </conditionalFormatting>
  <conditionalFormatting sqref="E37:N37">
    <cfRule type="cellIs" dxfId="1751" priority="2645" operator="equal">
      <formula>0</formula>
    </cfRule>
    <cfRule type="cellIs" dxfId="1750" priority="2644" operator="equal">
      <formula>$O$5</formula>
    </cfRule>
    <cfRule type="cellIs" dxfId="1749" priority="2642" operator="equal">
      <formula>$O$7</formula>
    </cfRule>
    <cfRule type="cellIs" dxfId="1748" priority="2641" operator="equal">
      <formula>$O$8</formula>
    </cfRule>
    <cfRule type="cellIs" dxfId="1747" priority="2640" operator="equal">
      <formula>$O$9</formula>
    </cfRule>
    <cfRule type="cellIs" dxfId="1746" priority="2639" operator="equal">
      <formula>$O$11</formula>
    </cfRule>
    <cfRule type="cellIs" dxfId="1745" priority="2643" operator="equal">
      <formula>$O$6</formula>
    </cfRule>
  </conditionalFormatting>
  <conditionalFormatting sqref="F5:F16">
    <cfRule type="duplicateValues" dxfId="1734" priority="1285"/>
    <cfRule type="duplicateValues" dxfId="1733" priority="1286"/>
    <cfRule type="duplicateValues" dxfId="1732" priority="854"/>
  </conditionalFormatting>
  <conditionalFormatting sqref="F5:F17 F21:F34">
    <cfRule type="duplicateValues" dxfId="1731" priority="641"/>
  </conditionalFormatting>
  <conditionalFormatting sqref="F17">
    <cfRule type="cellIs" dxfId="1730" priority="687" operator="equal">
      <formula>$O$18</formula>
    </cfRule>
    <cfRule type="cellIs" dxfId="1729" priority="695" operator="equal">
      <formula>$O$11</formula>
    </cfRule>
    <cfRule type="duplicateValues" dxfId="1728" priority="686"/>
    <cfRule type="duplicateValues" dxfId="1727" priority="685"/>
    <cfRule type="cellIs" dxfId="1726" priority="684" operator="equal">
      <formula>$O$5</formula>
    </cfRule>
    <cfRule type="cellIs" dxfId="1725" priority="683" operator="equal">
      <formula>$O$6</formula>
    </cfRule>
    <cfRule type="cellIs" dxfId="1724" priority="682" operator="equal">
      <formula>$O$7</formula>
    </cfRule>
    <cfRule type="cellIs" dxfId="1723" priority="681" operator="equal">
      <formula>$O$8</formula>
    </cfRule>
    <cfRule type="cellIs" dxfId="1722" priority="679" operator="equal">
      <formula>$O$10</formula>
    </cfRule>
    <cfRule type="cellIs" dxfId="1721" priority="677" operator="equal">
      <formula>$O$11</formula>
    </cfRule>
    <cfRule type="cellIs" dxfId="1720" priority="676" operator="equal">
      <formula>$O$12</formula>
    </cfRule>
    <cfRule type="cellIs" dxfId="1719" priority="675" operator="equal">
      <formula>$O$13</formula>
    </cfRule>
    <cfRule type="cellIs" dxfId="1718" priority="673" operator="equal">
      <formula>$O$14</formula>
    </cfRule>
    <cfRule type="cellIs" dxfId="1717" priority="643" operator="equal">
      <formula>$O$13</formula>
    </cfRule>
    <cfRule type="cellIs" dxfId="1716" priority="657" operator="equal">
      <formula>$O$14</formula>
    </cfRule>
    <cfRule type="cellIs" dxfId="1715" priority="700" operator="equal">
      <formula>$O$8</formula>
    </cfRule>
    <cfRule type="cellIs" dxfId="1714" priority="656" operator="equal">
      <formula>$O$15</formula>
    </cfRule>
    <cfRule type="cellIs" dxfId="1713" priority="655" operator="equal">
      <formula>$O$16</formula>
    </cfRule>
    <cfRule type="cellIs" dxfId="1712" priority="654" operator="equal">
      <formula>$O$17</formula>
    </cfRule>
    <cfRule type="cellIs" dxfId="1711" priority="653" operator="equal">
      <formula>$O$18</formula>
    </cfRule>
    <cfRule type="cellIs" dxfId="1710" priority="651" operator="equal">
      <formula>$O$5</formula>
    </cfRule>
    <cfRule type="cellIs" dxfId="1709" priority="650" operator="equal">
      <formula>$O$6</formula>
    </cfRule>
    <cfRule type="duplicateValues" dxfId="1708" priority="667"/>
    <cfRule type="duplicateValues" dxfId="1707" priority="668"/>
    <cfRule type="cellIs" dxfId="1706" priority="669" operator="equal">
      <formula>$O$18</formula>
    </cfRule>
    <cfRule type="cellIs" dxfId="1705" priority="671" operator="equal">
      <formula>$O$16</formula>
    </cfRule>
    <cfRule type="cellIs" dxfId="1704" priority="670" operator="equal">
      <formula>$O$17</formula>
    </cfRule>
    <cfRule type="cellIs" dxfId="1703" priority="703" operator="equal">
      <formula>$O$5</formula>
    </cfRule>
    <cfRule type="cellIs" dxfId="1702" priority="672" operator="equal">
      <formula>$O$15</formula>
    </cfRule>
    <cfRule type="cellIs" dxfId="1701" priority="649" operator="equal">
      <formula>$O$7</formula>
    </cfRule>
    <cfRule type="cellIs" dxfId="1700" priority="648" operator="equal">
      <formula>$O$8</formula>
    </cfRule>
    <cfRule type="cellIs" dxfId="1699" priority="647" operator="equal">
      <formula>$O$9</formula>
    </cfRule>
    <cfRule type="cellIs" dxfId="1698" priority="646" operator="equal">
      <formula>$O$10</formula>
    </cfRule>
    <cfRule type="cellIs" dxfId="1697" priority="645" operator="equal">
      <formula>$O$11</formula>
    </cfRule>
    <cfRule type="cellIs" dxfId="1696" priority="694" operator="equal">
      <formula>$O$12</formula>
    </cfRule>
    <cfRule type="cellIs" dxfId="1695" priority="693" operator="equal">
      <formula>$O$13</formula>
    </cfRule>
    <cfRule type="cellIs" dxfId="1694" priority="692" operator="equal">
      <formula>$O$14</formula>
    </cfRule>
    <cfRule type="cellIs" dxfId="1693" priority="698" operator="equal">
      <formula>$O$9</formula>
    </cfRule>
    <cfRule type="cellIs" dxfId="1692" priority="701" operator="equal">
      <formula>$O$7</formula>
    </cfRule>
    <cfRule type="cellIs" dxfId="1691" priority="680" operator="equal">
      <formula>$O$9</formula>
    </cfRule>
    <cfRule type="cellIs" dxfId="1690" priority="691" operator="equal">
      <formula>$O$15</formula>
    </cfRule>
    <cfRule type="cellIs" dxfId="1689" priority="644" operator="equal">
      <formula>$O$12</formula>
    </cfRule>
    <cfRule type="cellIs" dxfId="1688" priority="690" operator="equal">
      <formula>$O$16</formula>
    </cfRule>
    <cfRule type="cellIs" dxfId="1687" priority="689" operator="equal">
      <formula>$O$17</formula>
    </cfRule>
    <cfRule type="cellIs" dxfId="1686" priority="688" operator="equal">
      <formula>$O$10</formula>
    </cfRule>
    <cfRule type="cellIs" dxfId="1685" priority="702" operator="equal">
      <formula>$O$6</formula>
    </cfRule>
  </conditionalFormatting>
  <conditionalFormatting sqref="F17:F19">
    <cfRule type="cellIs" dxfId="1684" priority="267" operator="equal">
      <formula>0</formula>
    </cfRule>
  </conditionalFormatting>
  <conditionalFormatting sqref="F18">
    <cfRule type="duplicateValues" dxfId="1683" priority="270"/>
  </conditionalFormatting>
  <conditionalFormatting sqref="F18:F19">
    <cfRule type="cellIs" dxfId="1682" priority="266" operator="equal">
      <formula>$O$5</formula>
    </cfRule>
    <cfRule type="duplicateValues" dxfId="1681" priority="268"/>
    <cfRule type="duplicateValues" dxfId="1680" priority="269"/>
    <cfRule type="duplicateValues" dxfId="1670" priority="285"/>
    <cfRule type="duplicateValues" dxfId="1668" priority="252"/>
    <cfRule type="cellIs" dxfId="1667" priority="253" operator="equal">
      <formula>$O$18</formula>
    </cfRule>
    <cfRule type="cellIs" dxfId="1666" priority="254" operator="equal">
      <formula>$O$17</formula>
    </cfRule>
    <cfRule type="cellIs" dxfId="1665" priority="255" operator="equal">
      <formula>$O$16</formula>
    </cfRule>
    <cfRule type="cellIs" dxfId="1664" priority="256" operator="equal">
      <formula>$O$15</formula>
    </cfRule>
    <cfRule type="cellIs" dxfId="1663" priority="257" operator="equal">
      <formula>$O$14</formula>
    </cfRule>
    <cfRule type="cellIs" dxfId="1662" priority="258" operator="equal">
      <formula>$O$13</formula>
    </cfRule>
    <cfRule type="cellIs" dxfId="1661" priority="259" operator="equal">
      <formula>$O$12</formula>
    </cfRule>
    <cfRule type="cellIs" dxfId="1660" priority="260" operator="equal">
      <formula>$O$11</formula>
    </cfRule>
    <cfRule type="cellIs" dxfId="1659" priority="261" operator="equal">
      <formula>$O$10</formula>
    </cfRule>
    <cfRule type="cellIs" dxfId="1658" priority="262" operator="equal">
      <formula>$O$9</formula>
    </cfRule>
    <cfRule type="cellIs" dxfId="1657" priority="263" operator="equal">
      <formula>$O$8</formula>
    </cfRule>
    <cfRule type="cellIs" dxfId="1656" priority="264" operator="equal">
      <formula>$O$7</formula>
    </cfRule>
    <cfRule type="cellIs" dxfId="1655" priority="265" operator="equal">
      <formula>$O$6</formula>
    </cfRule>
  </conditionalFormatting>
  <conditionalFormatting sqref="F19">
    <cfRule type="duplicateValues" dxfId="1654" priority="271"/>
  </conditionalFormatting>
  <conditionalFormatting sqref="F21 F24:F31">
    <cfRule type="duplicateValues" dxfId="1653" priority="1514"/>
  </conditionalFormatting>
  <conditionalFormatting sqref="F21:F33">
    <cfRule type="duplicateValues" dxfId="1650" priority="1481"/>
  </conditionalFormatting>
  <conditionalFormatting sqref="F21:F34">
    <cfRule type="duplicateValues" dxfId="1649" priority="1518"/>
  </conditionalFormatting>
  <conditionalFormatting sqref="F22:F23">
    <cfRule type="duplicateValues" dxfId="1648" priority="1515"/>
    <cfRule type="duplicateValues" dxfId="1647" priority="1505"/>
    <cfRule type="duplicateValues" dxfId="1646" priority="1506"/>
  </conditionalFormatting>
  <conditionalFormatting sqref="F31">
    <cfRule type="duplicateValues" dxfId="1645" priority="827"/>
    <cfRule type="duplicateValues" dxfId="1644" priority="831"/>
    <cfRule type="duplicateValues" dxfId="1642" priority="830"/>
    <cfRule type="duplicateValues" dxfId="1641" priority="829"/>
    <cfRule type="duplicateValues" dxfId="1638" priority="826"/>
    <cfRule type="duplicateValues" dxfId="1637" priority="825"/>
    <cfRule type="duplicateValues" dxfId="1636" priority="824"/>
    <cfRule type="duplicateValues" dxfId="1635" priority="823"/>
    <cfRule type="duplicateValues" dxfId="1634" priority="806"/>
    <cfRule type="duplicateValues" dxfId="1633" priority="805"/>
    <cfRule type="duplicateValues" dxfId="1632" priority="804"/>
    <cfRule type="duplicateValues" dxfId="1630" priority="802"/>
  </conditionalFormatting>
  <conditionalFormatting sqref="F32:F33">
    <cfRule type="duplicateValues" dxfId="1629" priority="1510"/>
  </conditionalFormatting>
  <conditionalFormatting sqref="F34">
    <cfRule type="cellIs" dxfId="1628" priority="784" operator="equal">
      <formula>$O$17</formula>
    </cfRule>
    <cfRule type="cellIs" dxfId="1627" priority="783" operator="equal">
      <formula>$O$18</formula>
    </cfRule>
    <cfRule type="cellIs" dxfId="1626" priority="782" operator="equal">
      <formula>$O$10</formula>
    </cfRule>
    <cfRule type="duplicateValues" dxfId="1616" priority="791"/>
    <cfRule type="cellIs" dxfId="1615" priority="790" operator="equal">
      <formula>$O$11</formula>
    </cfRule>
    <cfRule type="cellIs" dxfId="1614" priority="789" operator="equal">
      <formula>$O$12</formula>
    </cfRule>
    <cfRule type="cellIs" dxfId="1613" priority="788" operator="equal">
      <formula>$O$13</formula>
    </cfRule>
    <cfRule type="cellIs" dxfId="1612" priority="787" operator="equal">
      <formula>$O$14</formula>
    </cfRule>
    <cfRule type="cellIs" dxfId="1611" priority="786" operator="equal">
      <formula>$O$15</formula>
    </cfRule>
    <cfRule type="cellIs" dxfId="1610" priority="785" operator="equal">
      <formula>$O$16</formula>
    </cfRule>
  </conditionalFormatting>
  <conditionalFormatting sqref="F35">
    <cfRule type="duplicateValues" dxfId="1608" priority="510"/>
    <cfRule type="duplicateValues" dxfId="1607" priority="511"/>
    <cfRule type="duplicateValues" dxfId="1602" priority="520"/>
  </conditionalFormatting>
  <conditionalFormatting sqref="F35:F36">
    <cfRule type="duplicateValues" dxfId="1595" priority="528"/>
    <cfRule type="cellIs" dxfId="1594" priority="500" operator="equal">
      <formula>$O$5</formula>
    </cfRule>
    <cfRule type="cellIs" dxfId="1593" priority="498" operator="equal">
      <formula>$O$7</formula>
    </cfRule>
    <cfRule type="cellIs" dxfId="1592" priority="499" operator="equal">
      <formula>$O$6</formula>
    </cfRule>
    <cfRule type="cellIs" dxfId="1591" priority="497" operator="equal">
      <formula>$O$8</formula>
    </cfRule>
    <cfRule type="cellIs" dxfId="1590" priority="479" operator="equal">
      <formula>$O$11</formula>
    </cfRule>
    <cfRule type="cellIs" dxfId="1589" priority="478" operator="equal">
      <formula>$O$12</formula>
    </cfRule>
    <cfRule type="cellIs" dxfId="1588" priority="477" operator="equal">
      <formula>$O$13</formula>
    </cfRule>
    <cfRule type="cellIs" dxfId="1587" priority="476" operator="equal">
      <formula>$O$14</formula>
    </cfRule>
    <cfRule type="cellIs" dxfId="1586" priority="475" operator="equal">
      <formula>$O$15</formula>
    </cfRule>
    <cfRule type="cellIs" dxfId="1585" priority="474" operator="equal">
      <formula>$O$16</formula>
    </cfRule>
    <cfRule type="cellIs" dxfId="1584" priority="473" operator="equal">
      <formula>$O$17</formula>
    </cfRule>
    <cfRule type="cellIs" dxfId="1583" priority="472" operator="equal">
      <formula>$O$18</formula>
    </cfRule>
    <cfRule type="cellIs" dxfId="1582" priority="471" operator="equal">
      <formula>$O$10</formula>
    </cfRule>
    <cfRule type="cellIs" dxfId="1581" priority="496" operator="equal">
      <formula>$O$9</formula>
    </cfRule>
    <cfRule type="duplicateValues" dxfId="1580" priority="537"/>
  </conditionalFormatting>
  <conditionalFormatting sqref="F36">
    <cfRule type="duplicateValues" dxfId="1571" priority="491"/>
    <cfRule type="duplicateValues" dxfId="1570" priority="480"/>
  </conditionalFormatting>
  <conditionalFormatting sqref="F38 L38 H38 N38">
    <cfRule type="duplicateValues" dxfId="1567" priority="1868"/>
    <cfRule type="duplicateValues" dxfId="1566" priority="2000"/>
  </conditionalFormatting>
  <conditionalFormatting sqref="F38:F49">
    <cfRule type="duplicateValues" dxfId="1555" priority="2001"/>
    <cfRule type="duplicateValues" dxfId="1554" priority="2030"/>
    <cfRule type="duplicateValues" dxfId="1553" priority="1989"/>
  </conditionalFormatting>
  <conditionalFormatting sqref="F38:F50 F52:F53">
    <cfRule type="duplicateValues" dxfId="1552" priority="1732"/>
    <cfRule type="duplicateValues" dxfId="1551" priority="1872"/>
  </conditionalFormatting>
  <conditionalFormatting sqref="F38:F51">
    <cfRule type="containsText" dxfId="1550" priority="1589" operator="containsText" text="(HEM)">
      <formula>NOT(ISERROR(SEARCH("(HEM)",F38)))</formula>
    </cfRule>
    <cfRule type="containsText" dxfId="1549" priority="1590" operator="containsText" text="(SV)">
      <formula>NOT(ISERROR(SEARCH("(SV)",F38)))</formula>
    </cfRule>
  </conditionalFormatting>
  <conditionalFormatting sqref="F38:F53">
    <cfRule type="duplicateValues" dxfId="1548" priority="1584"/>
    <cfRule type="duplicateValues" dxfId="1547" priority="1594"/>
  </conditionalFormatting>
  <conditionalFormatting sqref="F39 L39 H39 N39">
    <cfRule type="duplicateValues" dxfId="1546" priority="1999"/>
    <cfRule type="duplicateValues" dxfId="1545" priority="1867"/>
  </conditionalFormatting>
  <conditionalFormatting sqref="F40 L40 H40 N40">
    <cfRule type="duplicateValues" dxfId="1544" priority="1998"/>
    <cfRule type="duplicateValues" dxfId="1543" priority="1866"/>
  </conditionalFormatting>
  <conditionalFormatting sqref="F41 L41 H41 N41">
    <cfRule type="duplicateValues" dxfId="1542" priority="1865"/>
    <cfRule type="duplicateValues" dxfId="1541" priority="1997"/>
  </conditionalFormatting>
  <conditionalFormatting sqref="F42 L42 H42 N42">
    <cfRule type="duplicateValues" dxfId="1540" priority="1864"/>
    <cfRule type="duplicateValues" dxfId="1539" priority="1996"/>
  </conditionalFormatting>
  <conditionalFormatting sqref="F43 L43 H43 N43">
    <cfRule type="duplicateValues" dxfId="1538" priority="1863"/>
    <cfRule type="duplicateValues" dxfId="1537" priority="1995"/>
  </conditionalFormatting>
  <conditionalFormatting sqref="F44 L44 H44 N44">
    <cfRule type="duplicateValues" dxfId="1536" priority="1994"/>
    <cfRule type="duplicateValues" dxfId="1535" priority="1862"/>
  </conditionalFormatting>
  <conditionalFormatting sqref="F45 L45 H45 N45">
    <cfRule type="duplicateValues" dxfId="1534" priority="1993"/>
    <cfRule type="duplicateValues" dxfId="1533" priority="1861"/>
  </conditionalFormatting>
  <conditionalFormatting sqref="F46 L46 H46 N46">
    <cfRule type="duplicateValues" dxfId="1532" priority="1860"/>
    <cfRule type="duplicateValues" dxfId="1531" priority="1992"/>
  </conditionalFormatting>
  <conditionalFormatting sqref="F47 L47 H47 N47">
    <cfRule type="duplicateValues" dxfId="1530" priority="1991"/>
    <cfRule type="duplicateValues" dxfId="1529" priority="1859"/>
  </conditionalFormatting>
  <conditionalFormatting sqref="F48 L48 H48 N48">
    <cfRule type="duplicateValues" dxfId="1528" priority="1990"/>
    <cfRule type="duplicateValues" dxfId="1527" priority="1858"/>
  </conditionalFormatting>
  <conditionalFormatting sqref="F49 H49">
    <cfRule type="duplicateValues" dxfId="1526" priority="1957"/>
  </conditionalFormatting>
  <conditionalFormatting sqref="F49 L49 H49 N49">
    <cfRule type="duplicateValues" dxfId="1521" priority="1873"/>
    <cfRule type="duplicateValues" dxfId="1520" priority="1857"/>
  </conditionalFormatting>
  <conditionalFormatting sqref="F49">
    <cfRule type="duplicateValues" dxfId="1519" priority="1963"/>
    <cfRule type="duplicateValues" dxfId="1518" priority="1965"/>
    <cfRule type="duplicateValues" dxfId="1517" priority="1958"/>
    <cfRule type="duplicateValues" dxfId="1516" priority="1956"/>
    <cfRule type="duplicateValues" dxfId="1515" priority="1947"/>
    <cfRule type="duplicateValues" dxfId="1514" priority="1955"/>
  </conditionalFormatting>
  <conditionalFormatting sqref="F50 H50">
    <cfRule type="duplicateValues" dxfId="1513" priority="1825"/>
  </conditionalFormatting>
  <conditionalFormatting sqref="F50 L50 H50 N50">
    <cfRule type="duplicateValues" dxfId="1508" priority="1741"/>
  </conditionalFormatting>
  <conditionalFormatting sqref="F50">
    <cfRule type="duplicateValues" dxfId="1507" priority="1815"/>
    <cfRule type="duplicateValues" dxfId="1506" priority="1826"/>
    <cfRule type="duplicateValues" dxfId="1505" priority="1823"/>
    <cfRule type="duplicateValues" dxfId="1504" priority="1824"/>
    <cfRule type="duplicateValues" dxfId="1503" priority="1833"/>
    <cfRule type="duplicateValues" dxfId="1502" priority="1831"/>
  </conditionalFormatting>
  <conditionalFormatting sqref="F51 H51 L51 N51">
    <cfRule type="cellIs" dxfId="1501" priority="1725" operator="equal">
      <formula>$O$16</formula>
    </cfRule>
    <cfRule type="cellIs" dxfId="1500" priority="1727" operator="equal">
      <formula>$O$14</formula>
    </cfRule>
    <cfRule type="cellIs" dxfId="1499" priority="1726" operator="equal">
      <formula>$O$15</formula>
    </cfRule>
  </conditionalFormatting>
  <conditionalFormatting sqref="F51 H51">
    <cfRule type="duplicateValues" dxfId="1497" priority="1680"/>
    <cfRule type="cellIs" dxfId="1496" priority="1728" operator="equal">
      <formula>$O$13</formula>
    </cfRule>
    <cfRule type="cellIs" dxfId="1495" priority="1729" operator="equal">
      <formula>$O$12</formula>
    </cfRule>
    <cfRule type="cellIs" dxfId="1494" priority="1730" operator="equal">
      <formula>$O$11</formula>
    </cfRule>
  </conditionalFormatting>
  <conditionalFormatting sqref="F51 L51 H51 N51">
    <cfRule type="duplicateValues" dxfId="1490" priority="1596"/>
  </conditionalFormatting>
  <conditionalFormatting sqref="F51">
    <cfRule type="duplicateValues" dxfId="1489" priority="1595"/>
    <cfRule type="duplicateValues" dxfId="1488" priority="1681"/>
    <cfRule type="duplicateValues" dxfId="1487" priority="1679"/>
    <cfRule type="duplicateValues" dxfId="1486" priority="1670"/>
    <cfRule type="duplicateValues" dxfId="1485" priority="1688"/>
    <cfRule type="duplicateValues" dxfId="1484" priority="1678"/>
    <cfRule type="duplicateValues" dxfId="1483" priority="1715"/>
    <cfRule type="duplicateValues" dxfId="1482" priority="1686"/>
  </conditionalFormatting>
  <conditionalFormatting sqref="F52:F53 H52:H53">
    <cfRule type="cellIs" dxfId="1481" priority="2024" operator="equal">
      <formula>$O$13</formula>
    </cfRule>
    <cfRule type="cellIs" dxfId="1480" priority="2025" operator="equal">
      <formula>$O$12</formula>
    </cfRule>
    <cfRule type="cellIs" dxfId="1479" priority="2026" operator="equal">
      <formula>$O$11</formula>
    </cfRule>
  </conditionalFormatting>
  <conditionalFormatting sqref="F55">
    <cfRule type="duplicateValues" dxfId="1478" priority="3793"/>
    <cfRule type="duplicateValues" dxfId="1477" priority="3743"/>
  </conditionalFormatting>
  <conditionalFormatting sqref="F55:F66">
    <cfRule type="duplicateValues" dxfId="1473" priority="3794"/>
    <cfRule type="cellIs" dxfId="1472" priority="3799" operator="equal">
      <formula>$O$10</formula>
    </cfRule>
    <cfRule type="duplicateValues" dxfId="1471" priority="3782"/>
    <cfRule type="cellIs" dxfId="1470" priority="3800" operator="equal">
      <formula>$O$9</formula>
    </cfRule>
    <cfRule type="cellIs" dxfId="1469" priority="3801" operator="equal">
      <formula>$O$8</formula>
    </cfRule>
    <cfRule type="cellIs" dxfId="1468" priority="3802" operator="equal">
      <formula>$O$7</formula>
    </cfRule>
    <cfRule type="cellIs" dxfId="1467" priority="3803" operator="equal">
      <formula>$O$6</formula>
    </cfRule>
    <cfRule type="cellIs" dxfId="1466" priority="3804" operator="equal">
      <formula>$O$5</formula>
    </cfRule>
    <cfRule type="cellIs" dxfId="1465" priority="3806" operator="equal">
      <formula>$O$18</formula>
    </cfRule>
    <cfRule type="cellIs" dxfId="1464" priority="3807" operator="equal">
      <formula>$O$17</formula>
    </cfRule>
    <cfRule type="duplicateValues" dxfId="1463" priority="3814"/>
  </conditionalFormatting>
  <conditionalFormatting sqref="F55:F67">
    <cfRule type="cellIs" dxfId="1455" priority="3809" operator="equal">
      <formula>$O$15</formula>
    </cfRule>
    <cfRule type="cellIs" dxfId="1454" priority="3808" operator="equal">
      <formula>$O$16</formula>
    </cfRule>
    <cfRule type="cellIs" dxfId="1453" priority="3798" operator="equal">
      <formula>$O$11</formula>
    </cfRule>
    <cfRule type="cellIs" dxfId="1452" priority="3797" operator="equal">
      <formula>$O$12</formula>
    </cfRule>
    <cfRule type="cellIs" dxfId="1451" priority="3796" operator="equal">
      <formula>$O$13</formula>
    </cfRule>
    <cfRule type="duplicateValues" dxfId="1450" priority="3744"/>
    <cfRule type="cellIs" dxfId="1449" priority="3810" operator="equal">
      <formula>$O$14</formula>
    </cfRule>
    <cfRule type="duplicateValues" dxfId="1448" priority="3692"/>
  </conditionalFormatting>
  <conditionalFormatting sqref="F55:F68">
    <cfRule type="duplicateValues" dxfId="1447" priority="3645"/>
  </conditionalFormatting>
  <conditionalFormatting sqref="F56">
    <cfRule type="duplicateValues" dxfId="1446" priority="3792"/>
    <cfRule type="duplicateValues" dxfId="1445" priority="3742"/>
  </conditionalFormatting>
  <conditionalFormatting sqref="F57">
    <cfRule type="duplicateValues" dxfId="1444" priority="3791"/>
    <cfRule type="duplicateValues" dxfId="1443" priority="3741"/>
  </conditionalFormatting>
  <conditionalFormatting sqref="F58">
    <cfRule type="duplicateValues" dxfId="1442" priority="3740"/>
    <cfRule type="duplicateValues" dxfId="1441" priority="3790"/>
  </conditionalFormatting>
  <conditionalFormatting sqref="F59">
    <cfRule type="duplicateValues" dxfId="1440" priority="3789"/>
    <cfRule type="duplicateValues" dxfId="1439" priority="3739"/>
  </conditionalFormatting>
  <conditionalFormatting sqref="F60">
    <cfRule type="duplicateValues" dxfId="1438" priority="3788"/>
    <cfRule type="duplicateValues" dxfId="1437" priority="3738"/>
  </conditionalFormatting>
  <conditionalFormatting sqref="F61">
    <cfRule type="duplicateValues" dxfId="1436" priority="3787"/>
    <cfRule type="duplicateValues" dxfId="1435" priority="3737"/>
  </conditionalFormatting>
  <conditionalFormatting sqref="F62">
    <cfRule type="duplicateValues" dxfId="1434" priority="3786"/>
    <cfRule type="duplicateValues" dxfId="1433" priority="3736"/>
  </conditionalFormatting>
  <conditionalFormatting sqref="F63">
    <cfRule type="duplicateValues" dxfId="1432" priority="3785"/>
    <cfRule type="duplicateValues" dxfId="1431" priority="3735"/>
  </conditionalFormatting>
  <conditionalFormatting sqref="F64">
    <cfRule type="duplicateValues" dxfId="1430" priority="3784"/>
    <cfRule type="duplicateValues" dxfId="1429" priority="3734"/>
  </conditionalFormatting>
  <conditionalFormatting sqref="F65">
    <cfRule type="duplicateValues" dxfId="1428" priority="3783"/>
    <cfRule type="duplicateValues" dxfId="1427" priority="3733"/>
  </conditionalFormatting>
  <conditionalFormatting sqref="F66">
    <cfRule type="cellIs" dxfId="1426" priority="3768" operator="equal">
      <formula>$O$17</formula>
    </cfRule>
    <cfRule type="cellIs" dxfId="1425" priority="3767" operator="equal">
      <formula>$O$18</formula>
    </cfRule>
    <cfRule type="cellIs" dxfId="1424" priority="3766" operator="equal">
      <formula>$O$10</formula>
    </cfRule>
    <cfRule type="cellIs" dxfId="1423" priority="3765" operator="equal">
      <formula>$O$11</formula>
    </cfRule>
    <cfRule type="cellIs" dxfId="1422" priority="3764" operator="equal">
      <formula>$O$12</formula>
    </cfRule>
    <cfRule type="cellIs" dxfId="1421" priority="3763" operator="equal">
      <formula>$O$13</formula>
    </cfRule>
    <cfRule type="cellIs" dxfId="1420" priority="3762" operator="equal">
      <formula>$O$14</formula>
    </cfRule>
    <cfRule type="cellIs" dxfId="1419" priority="3761" operator="equal">
      <formula>$O$15</formula>
    </cfRule>
    <cfRule type="cellIs" dxfId="1418" priority="3760" operator="equal">
      <formula>$O$16</formula>
    </cfRule>
    <cfRule type="duplicateValues" dxfId="1417" priority="3759"/>
    <cfRule type="duplicateValues" dxfId="1416" priority="3757"/>
    <cfRule type="duplicateValues" dxfId="1411" priority="3752"/>
    <cfRule type="duplicateValues" dxfId="1410" priority="3751"/>
    <cfRule type="duplicateValues" dxfId="1409" priority="3750"/>
    <cfRule type="cellIs" dxfId="1408" priority="3775" operator="equal">
      <formula>$O$7</formula>
    </cfRule>
    <cfRule type="duplicateValues" dxfId="1407" priority="3745"/>
    <cfRule type="cellIs" dxfId="1402" priority="3777" operator="equal">
      <formula>$O$5</formula>
    </cfRule>
    <cfRule type="cellIs" dxfId="1401" priority="3776" operator="equal">
      <formula>$O$6</formula>
    </cfRule>
    <cfRule type="cellIs" dxfId="1400" priority="3774" operator="equal">
      <formula>$O$8</formula>
    </cfRule>
    <cfRule type="duplicateValues" dxfId="1399" priority="3749"/>
    <cfRule type="duplicateValues" dxfId="1398" priority="3746"/>
    <cfRule type="cellIs" dxfId="1397" priority="3773" operator="equal">
      <formula>$O$9</formula>
    </cfRule>
    <cfRule type="duplicateValues" dxfId="1396" priority="3732"/>
  </conditionalFormatting>
  <conditionalFormatting sqref="F67">
    <cfRule type="duplicateValues" dxfId="1393" priority="3701"/>
    <cfRule type="duplicateValues" dxfId="1392" priority="3702"/>
    <cfRule type="duplicateValues" dxfId="1391" priority="3696"/>
    <cfRule type="duplicateValues" dxfId="1386" priority="3707"/>
    <cfRule type="duplicateValues" dxfId="1385" priority="3709"/>
    <cfRule type="cellIs" dxfId="1383" priority="3711" operator="equal">
      <formula>$O$15</formula>
    </cfRule>
    <cfRule type="cellIs" dxfId="1382" priority="3712" operator="equal">
      <formula>$O$14</formula>
    </cfRule>
    <cfRule type="cellIs" dxfId="1381" priority="3713" operator="equal">
      <formula>$O$13</formula>
    </cfRule>
    <cfRule type="cellIs" dxfId="1380" priority="3714" operator="equal">
      <formula>$O$12</formula>
    </cfRule>
    <cfRule type="cellIs" dxfId="1379" priority="3715" operator="equal">
      <formula>$O$11</formula>
    </cfRule>
    <cfRule type="cellIs" dxfId="1378" priority="3716" operator="equal">
      <formula>$O$10</formula>
    </cfRule>
    <cfRule type="cellIs" dxfId="1377" priority="3717" operator="equal">
      <formula>$O$18</formula>
    </cfRule>
    <cfRule type="cellIs" dxfId="1375" priority="3718" operator="equal">
      <formula>$O$17</formula>
    </cfRule>
    <cfRule type="cellIs" dxfId="1374" priority="3723" operator="equal">
      <formula>$O$9</formula>
    </cfRule>
    <cfRule type="cellIs" dxfId="1373" priority="3710" operator="equal">
      <formula>$O$16</formula>
    </cfRule>
    <cfRule type="cellIs" dxfId="1372" priority="3725" operator="equal">
      <formula>$O$7</formula>
    </cfRule>
    <cfRule type="cellIs" dxfId="1371" priority="3726" operator="equal">
      <formula>$O$6</formula>
    </cfRule>
    <cfRule type="cellIs" dxfId="1370" priority="3727" operator="equal">
      <formula>$O$5</formula>
    </cfRule>
    <cfRule type="duplicateValues" dxfId="1365" priority="3699"/>
    <cfRule type="duplicateValues" dxfId="1364" priority="3695"/>
    <cfRule type="duplicateValues" dxfId="1363" priority="3700"/>
    <cfRule type="cellIs" dxfId="1362" priority="3724" operator="equal">
      <formula>$O$8</formula>
    </cfRule>
  </conditionalFormatting>
  <conditionalFormatting sqref="F68">
    <cfRule type="cellIs" dxfId="1361" priority="3664" operator="equal">
      <formula>$O$14</formula>
    </cfRule>
    <cfRule type="cellIs" dxfId="1360" priority="3665" operator="equal">
      <formula>$O$13</formula>
    </cfRule>
    <cfRule type="cellIs" dxfId="1359" priority="3677" operator="equal">
      <formula>$O$7</formula>
    </cfRule>
    <cfRule type="cellIs" dxfId="1358" priority="3676" operator="equal">
      <formula>$O$8</formula>
    </cfRule>
    <cfRule type="cellIs" dxfId="1357" priority="3675" operator="equal">
      <formula>$O$9</formula>
    </cfRule>
    <cfRule type="cellIs" dxfId="1356" priority="3662" operator="equal">
      <formula>$O$16</formula>
    </cfRule>
    <cfRule type="cellIs" dxfId="1355" priority="3670" operator="equal">
      <formula>$O$17</formula>
    </cfRule>
    <cfRule type="cellIs" dxfId="1354" priority="3669" operator="equal">
      <formula>$O$18</formula>
    </cfRule>
    <cfRule type="cellIs" dxfId="1353" priority="3668" operator="equal">
      <formula>$O$10</formula>
    </cfRule>
    <cfRule type="cellIs" dxfId="1352" priority="3667" operator="equal">
      <formula>$O$11</formula>
    </cfRule>
    <cfRule type="cellIs" dxfId="1351" priority="3666" operator="equal">
      <formula>$O$12</formula>
    </cfRule>
    <cfRule type="cellIs" dxfId="1350" priority="3663" operator="equal">
      <formula>$O$15</formula>
    </cfRule>
    <cfRule type="duplicateValues" dxfId="1349" priority="3646"/>
    <cfRule type="duplicateValues" dxfId="1348" priority="3647"/>
    <cfRule type="duplicateValues" dxfId="1347" priority="3648"/>
    <cfRule type="duplicateValues" dxfId="1344" priority="3651"/>
    <cfRule type="cellIs" dxfId="1343" priority="3690" operator="equal">
      <formula>$O$11</formula>
    </cfRule>
    <cfRule type="duplicateValues" dxfId="1342" priority="3652"/>
    <cfRule type="cellIs" dxfId="1341" priority="3689" operator="equal">
      <formula>$O$12</formula>
    </cfRule>
    <cfRule type="cellIs" dxfId="1340" priority="3688" operator="equal">
      <formula>$O$13</formula>
    </cfRule>
    <cfRule type="duplicateValues" dxfId="1339" priority="3653"/>
    <cfRule type="duplicateValues" dxfId="1338" priority="3654"/>
    <cfRule type="cellIs" dxfId="1336" priority="3687" operator="equal">
      <formula>$O$14</formula>
    </cfRule>
    <cfRule type="cellIs" dxfId="1332" priority="3686" operator="equal">
      <formula>$O$15</formula>
    </cfRule>
    <cfRule type="cellIs" dxfId="1331" priority="3685" operator="equal">
      <formula>$O$16</formula>
    </cfRule>
    <cfRule type="duplicateValues" dxfId="1330" priority="3659"/>
    <cfRule type="duplicateValues" dxfId="1329" priority="3661"/>
    <cfRule type="duplicateValues" dxfId="1328" priority="3684"/>
    <cfRule type="cellIs" dxfId="1323" priority="3679" operator="equal">
      <formula>$O$5</formula>
    </cfRule>
    <cfRule type="cellIs" dxfId="1322" priority="3678" operator="equal">
      <formula>$O$6</formula>
    </cfRule>
  </conditionalFormatting>
  <conditionalFormatting sqref="F21:H21 K21:N21">
    <cfRule type="duplicateValues" dxfId="1321" priority="1478"/>
  </conditionalFormatting>
  <conditionalFormatting sqref="F22:H22 K22:N22">
    <cfRule type="duplicateValues" dxfId="1320" priority="1477"/>
  </conditionalFormatting>
  <conditionalFormatting sqref="F24:H24 K24:N24">
    <cfRule type="duplicateValues" dxfId="1319" priority="1475"/>
  </conditionalFormatting>
  <conditionalFormatting sqref="F25:H25 K25:N25">
    <cfRule type="duplicateValues" dxfId="1318" priority="1474"/>
  </conditionalFormatting>
  <conditionalFormatting sqref="F26:H26 K26:N26">
    <cfRule type="duplicateValues" dxfId="1317" priority="1473"/>
  </conditionalFormatting>
  <conditionalFormatting sqref="F27:H27 K27:N27">
    <cfRule type="duplicateValues" dxfId="1316" priority="1472"/>
  </conditionalFormatting>
  <conditionalFormatting sqref="F28:H28 K28:N28">
    <cfRule type="duplicateValues" dxfId="1315" priority="1471"/>
  </conditionalFormatting>
  <conditionalFormatting sqref="F29:H29 K29:N29">
    <cfRule type="duplicateValues" dxfId="1314" priority="1470"/>
  </conditionalFormatting>
  <conditionalFormatting sqref="F30:H30 K30:N30 F31">
    <cfRule type="duplicateValues" dxfId="1313" priority="1469"/>
  </conditionalFormatting>
  <conditionalFormatting sqref="F32:H32 K32:N32">
    <cfRule type="duplicateValues" dxfId="1312" priority="1467"/>
  </conditionalFormatting>
  <conditionalFormatting sqref="F33:H33 K33:N33">
    <cfRule type="duplicateValues" dxfId="1311" priority="1466"/>
  </conditionalFormatting>
  <conditionalFormatting sqref="F34:H34 K34:N34">
    <cfRule type="duplicateValues" dxfId="1310" priority="1332"/>
  </conditionalFormatting>
  <conditionalFormatting sqref="G18:G19">
    <cfRule type="duplicateValues" dxfId="1309" priority="248"/>
    <cfRule type="cellIs" dxfId="1308" priority="247" operator="equal">
      <formula>0</formula>
    </cfRule>
  </conditionalFormatting>
  <conditionalFormatting sqref="G34">
    <cfRule type="duplicateValues" dxfId="1307" priority="1415"/>
  </conditionalFormatting>
  <conditionalFormatting sqref="G35">
    <cfRule type="duplicateValues" dxfId="1306" priority="468"/>
  </conditionalFormatting>
  <conditionalFormatting sqref="G36">
    <cfRule type="duplicateValues" dxfId="1305" priority="465"/>
    <cfRule type="duplicateValues" dxfId="1304" priority="466"/>
    <cfRule type="duplicateValues" dxfId="1303" priority="467"/>
  </conditionalFormatting>
  <conditionalFormatting sqref="G38">
    <cfRule type="duplicateValues" dxfId="1302" priority="115"/>
    <cfRule type="duplicateValues" dxfId="1301" priority="88"/>
  </conditionalFormatting>
  <conditionalFormatting sqref="G39">
    <cfRule type="duplicateValues" dxfId="1300" priority="114"/>
    <cfRule type="duplicateValues" dxfId="1299" priority="102"/>
  </conditionalFormatting>
  <conditionalFormatting sqref="G40">
    <cfRule type="duplicateValues" dxfId="1298" priority="113"/>
    <cfRule type="duplicateValues" dxfId="1297" priority="101"/>
  </conditionalFormatting>
  <conditionalFormatting sqref="G41">
    <cfRule type="duplicateValues" dxfId="1296" priority="112"/>
    <cfRule type="duplicateValues" dxfId="1295" priority="100"/>
  </conditionalFormatting>
  <conditionalFormatting sqref="G42">
    <cfRule type="duplicateValues" dxfId="1294" priority="99"/>
    <cfRule type="duplicateValues" dxfId="1293" priority="111"/>
  </conditionalFormatting>
  <conditionalFormatting sqref="G43">
    <cfRule type="duplicateValues" dxfId="1292" priority="110"/>
    <cfRule type="duplicateValues" dxfId="1291" priority="98"/>
  </conditionalFormatting>
  <conditionalFormatting sqref="G44">
    <cfRule type="duplicateValues" dxfId="1290" priority="109"/>
    <cfRule type="duplicateValues" dxfId="1289" priority="97"/>
  </conditionalFormatting>
  <conditionalFormatting sqref="G45">
    <cfRule type="duplicateValues" dxfId="1288" priority="96"/>
    <cfRule type="duplicateValues" dxfId="1287" priority="108"/>
  </conditionalFormatting>
  <conditionalFormatting sqref="G46">
    <cfRule type="duplicateValues" dxfId="1286" priority="95"/>
    <cfRule type="duplicateValues" dxfId="1285" priority="107"/>
  </conditionalFormatting>
  <conditionalFormatting sqref="G47">
    <cfRule type="duplicateValues" dxfId="1284" priority="106"/>
    <cfRule type="duplicateValues" dxfId="1283" priority="94"/>
  </conditionalFormatting>
  <conditionalFormatting sqref="G48">
    <cfRule type="duplicateValues" dxfId="1282" priority="105"/>
    <cfRule type="duplicateValues" dxfId="1281" priority="93"/>
  </conditionalFormatting>
  <conditionalFormatting sqref="G49">
    <cfRule type="duplicateValues" dxfId="1280" priority="103"/>
    <cfRule type="duplicateValues" dxfId="1279" priority="104"/>
    <cfRule type="duplicateValues" dxfId="1278" priority="92"/>
  </conditionalFormatting>
  <conditionalFormatting sqref="G50">
    <cfRule type="duplicateValues" dxfId="1277" priority="90"/>
    <cfRule type="duplicateValues" dxfId="1276" priority="91"/>
  </conditionalFormatting>
  <conditionalFormatting sqref="G51">
    <cfRule type="duplicateValues" dxfId="1275" priority="85"/>
    <cfRule type="duplicateValues" dxfId="1274" priority="86"/>
  </conditionalFormatting>
  <conditionalFormatting sqref="G34:H34">
    <cfRule type="duplicateValues" dxfId="1273" priority="770"/>
  </conditionalFormatting>
  <conditionalFormatting sqref="H5 F5 L5 N5">
    <cfRule type="duplicateValues" dxfId="1272" priority="1264"/>
  </conditionalFormatting>
  <conditionalFormatting sqref="H5">
    <cfRule type="duplicateValues" dxfId="1271" priority="1282"/>
    <cfRule type="duplicateValues" dxfId="1270" priority="1281"/>
  </conditionalFormatting>
  <conditionalFormatting sqref="H5:H16">
    <cfRule type="duplicateValues" dxfId="1269" priority="1259"/>
    <cfRule type="duplicateValues" dxfId="1268" priority="1277"/>
    <cfRule type="duplicateValues" dxfId="1267" priority="1278"/>
    <cfRule type="duplicateValues" dxfId="1266" priority="1284"/>
  </conditionalFormatting>
  <conditionalFormatting sqref="H5:H17 H21:H34">
    <cfRule type="duplicateValues" dxfId="1265" priority="640"/>
  </conditionalFormatting>
  <conditionalFormatting sqref="H5:H17 L5:L17 N5:N17 F5:F16">
    <cfRule type="cellIs" dxfId="1264" priority="1245" operator="equal">
      <formula>$O$15</formula>
    </cfRule>
    <cfRule type="cellIs" dxfId="1263" priority="1246" operator="equal">
      <formula>$O$14</formula>
    </cfRule>
    <cfRule type="cellIs" dxfId="1262" priority="1248" operator="equal">
      <formula>$O$12</formula>
    </cfRule>
    <cfRule type="cellIs" dxfId="1261" priority="1251" operator="equal">
      <formula>$O$9</formula>
    </cfRule>
    <cfRule type="cellIs" dxfId="1260" priority="1249" operator="equal">
      <formula>$O$11</formula>
    </cfRule>
    <cfRule type="cellIs" dxfId="1259" priority="1252" operator="equal">
      <formula>$O$8</formula>
    </cfRule>
    <cfRule type="cellIs" dxfId="1258" priority="1255" operator="equal">
      <formula>$O$5</formula>
    </cfRule>
    <cfRule type="cellIs" dxfId="1257" priority="1250" operator="equal">
      <formula>$O$10</formula>
    </cfRule>
    <cfRule type="cellIs" dxfId="1256" priority="1247" operator="equal">
      <formula>$O$13</formula>
    </cfRule>
    <cfRule type="cellIs" dxfId="1255" priority="1254" operator="equal">
      <formula>$O$6</formula>
    </cfRule>
    <cfRule type="cellIs" dxfId="1254" priority="1242" operator="equal">
      <formula>$O$18</formula>
    </cfRule>
    <cfRule type="cellIs" dxfId="1253" priority="1253" operator="equal">
      <formula>$O$7</formula>
    </cfRule>
    <cfRule type="cellIs" dxfId="1252" priority="1243" operator="equal">
      <formula>$O$17</formula>
    </cfRule>
    <cfRule type="cellIs" dxfId="1251" priority="1244" operator="equal">
      <formula>$O$16</formula>
    </cfRule>
  </conditionalFormatting>
  <conditionalFormatting sqref="H5:H17">
    <cfRule type="duplicateValues" dxfId="1250" priority="1241"/>
  </conditionalFormatting>
  <conditionalFormatting sqref="H15">
    <cfRule type="duplicateValues" dxfId="1249" priority="1269"/>
    <cfRule type="duplicateValues" dxfId="1248" priority="1270"/>
  </conditionalFormatting>
  <conditionalFormatting sqref="H16">
    <cfRule type="duplicateValues" dxfId="1247" priority="1257"/>
    <cfRule type="duplicateValues" dxfId="1246" priority="1256"/>
  </conditionalFormatting>
  <conditionalFormatting sqref="H17">
    <cfRule type="cellIs" dxfId="1245" priority="1026" operator="equal">
      <formula>$O$6</formula>
    </cfRule>
    <cfRule type="cellIs" dxfId="1244" priority="1027" operator="equal">
      <formula>$O$5</formula>
    </cfRule>
    <cfRule type="duplicateValues" dxfId="1243" priority="1028"/>
    <cfRule type="duplicateValues" dxfId="1242" priority="1029"/>
    <cfRule type="cellIs" dxfId="1241" priority="1030" operator="equal">
      <formula>$O$18</formula>
    </cfRule>
    <cfRule type="cellIs" dxfId="1240" priority="1031" operator="equal">
      <formula>$O$10</formula>
    </cfRule>
    <cfRule type="cellIs" dxfId="1239" priority="1032" operator="equal">
      <formula>$O$17</formula>
    </cfRule>
    <cfRule type="cellIs" dxfId="1238" priority="1033" operator="equal">
      <formula>$O$16</formula>
    </cfRule>
    <cfRule type="cellIs" dxfId="1237" priority="1034" operator="equal">
      <formula>$O$15</formula>
    </cfRule>
    <cfRule type="cellIs" dxfId="1236" priority="1035" operator="equal">
      <formula>$O$14</formula>
    </cfRule>
    <cfRule type="cellIs" dxfId="1235" priority="1036" operator="equal">
      <formula>$O$13</formula>
    </cfRule>
    <cfRule type="cellIs" dxfId="1234" priority="1037" operator="equal">
      <formula>$O$12</formula>
    </cfRule>
    <cfRule type="cellIs" dxfId="1233" priority="1038" operator="equal">
      <formula>$O$11</formula>
    </cfRule>
    <cfRule type="cellIs" dxfId="1232" priority="1041" operator="equal">
      <formula>$O$9</formula>
    </cfRule>
    <cfRule type="cellIs" dxfId="1231" priority="1043" operator="equal">
      <formula>$O$8</formula>
    </cfRule>
    <cfRule type="cellIs" dxfId="1230" priority="1044" operator="equal">
      <formula>$O$7</formula>
    </cfRule>
    <cfRule type="cellIs" dxfId="1229" priority="1045" operator="equal">
      <formula>$O$6</formula>
    </cfRule>
    <cfRule type="cellIs" dxfId="1228" priority="1046" operator="equal">
      <formula>$O$5</formula>
    </cfRule>
    <cfRule type="cellIs" dxfId="1227" priority="1192" operator="equal">
      <formula>$O$14</formula>
    </cfRule>
    <cfRule type="cellIs" dxfId="1226" priority="1015" operator="equal">
      <formula>$O$15</formula>
    </cfRule>
    <cfRule type="cellIs" dxfId="1225" priority="1238" operator="equal">
      <formula>$O$5</formula>
    </cfRule>
    <cfRule type="cellIs" dxfId="1224" priority="1237" operator="equal">
      <formula>$O$6</formula>
    </cfRule>
    <cfRule type="cellIs" dxfId="1223" priority="1236" operator="equal">
      <formula>$O$7</formula>
    </cfRule>
    <cfRule type="cellIs" dxfId="1222" priority="1235" operator="equal">
      <formula>$O$8</formula>
    </cfRule>
    <cfRule type="cellIs" dxfId="1221" priority="1233" operator="equal">
      <formula>$O$9</formula>
    </cfRule>
    <cfRule type="cellIs" dxfId="1220" priority="1230" operator="equal">
      <formula>$O$11</formula>
    </cfRule>
    <cfRule type="cellIs" dxfId="1219" priority="1229" operator="equal">
      <formula>$O$12</formula>
    </cfRule>
    <cfRule type="cellIs" dxfId="1218" priority="1228" operator="equal">
      <formula>$O$13</formula>
    </cfRule>
    <cfRule type="cellIs" dxfId="1217" priority="1227" operator="equal">
      <formula>$O$14</formula>
    </cfRule>
    <cfRule type="cellIs" dxfId="1216" priority="1226" operator="equal">
      <formula>$O$15</formula>
    </cfRule>
    <cfRule type="cellIs" dxfId="1215" priority="1225" operator="equal">
      <formula>$O$16</formula>
    </cfRule>
    <cfRule type="cellIs" dxfId="1214" priority="1224" operator="equal">
      <formula>$O$17</formula>
    </cfRule>
    <cfRule type="cellIs" dxfId="1213" priority="1223" operator="equal">
      <formula>$O$10</formula>
    </cfRule>
    <cfRule type="cellIs" dxfId="1212" priority="1222" operator="equal">
      <formula>$O$18</formula>
    </cfRule>
    <cfRule type="duplicateValues" dxfId="1211" priority="1221"/>
    <cfRule type="duplicateValues" dxfId="1210" priority="1220"/>
    <cfRule type="cellIs" dxfId="1209" priority="1219" operator="equal">
      <formula>$O$5</formula>
    </cfRule>
    <cfRule type="cellIs" dxfId="1208" priority="1218" operator="equal">
      <formula>$O$6</formula>
    </cfRule>
    <cfRule type="cellIs" dxfId="1207" priority="1217" operator="equal">
      <formula>$O$7</formula>
    </cfRule>
    <cfRule type="cellIs" dxfId="1206" priority="1216" operator="equal">
      <formula>$O$8</formula>
    </cfRule>
    <cfRule type="cellIs" dxfId="1205" priority="1215" operator="equal">
      <formula>$O$9</formula>
    </cfRule>
    <cfRule type="cellIs" dxfId="1204" priority="1214" operator="equal">
      <formula>$O$10</formula>
    </cfRule>
    <cfRule type="cellIs" dxfId="1203" priority="1212" operator="equal">
      <formula>$O$11</formula>
    </cfRule>
    <cfRule type="cellIs" dxfId="1202" priority="1211" operator="equal">
      <formula>$O$12</formula>
    </cfRule>
    <cfRule type="cellIs" dxfId="1201" priority="1210" operator="equal">
      <formula>$O$13</formula>
    </cfRule>
    <cfRule type="cellIs" dxfId="1200" priority="1208" operator="equal">
      <formula>$O$14</formula>
    </cfRule>
    <cfRule type="cellIs" dxfId="1199" priority="1207" operator="equal">
      <formula>$O$15</formula>
    </cfRule>
    <cfRule type="cellIs" dxfId="1198" priority="1206" operator="equal">
      <formula>$O$16</formula>
    </cfRule>
    <cfRule type="cellIs" dxfId="1197" priority="1205" operator="equal">
      <formula>$O$17</formula>
    </cfRule>
    <cfRule type="cellIs" dxfId="1196" priority="1204" operator="equal">
      <formula>$O$18</formula>
    </cfRule>
    <cfRule type="duplicateValues" dxfId="1195" priority="1203"/>
    <cfRule type="duplicateValues" dxfId="1194" priority="1202"/>
    <cfRule type="cellIs" dxfId="1193" priority="1191" operator="equal">
      <formula>$O$15</formula>
    </cfRule>
    <cfRule type="cellIs" dxfId="1192" priority="1190" operator="equal">
      <formula>$O$16</formula>
    </cfRule>
    <cfRule type="cellIs" dxfId="1191" priority="1189" operator="equal">
      <formula>$O$17</formula>
    </cfRule>
    <cfRule type="cellIs" dxfId="1190" priority="1188" operator="equal">
      <formula>$O$18</formula>
    </cfRule>
    <cfRule type="cellIs" dxfId="1189" priority="1186" operator="equal">
      <formula>$O$5</formula>
    </cfRule>
    <cfRule type="cellIs" dxfId="1188" priority="1185" operator="equal">
      <formula>$O$6</formula>
    </cfRule>
    <cfRule type="cellIs" dxfId="1187" priority="1184" operator="equal">
      <formula>$O$7</formula>
    </cfRule>
    <cfRule type="cellIs" dxfId="1186" priority="1183" operator="equal">
      <formula>$O$8</formula>
    </cfRule>
    <cfRule type="cellIs" dxfId="1185" priority="1182" operator="equal">
      <formula>$O$9</formula>
    </cfRule>
    <cfRule type="cellIs" dxfId="1184" priority="1181" operator="equal">
      <formula>$O$10</formula>
    </cfRule>
    <cfRule type="cellIs" dxfId="1183" priority="1180" operator="equal">
      <formula>$O$11</formula>
    </cfRule>
    <cfRule type="cellIs" dxfId="1182" priority="1179" operator="equal">
      <formula>$O$12</formula>
    </cfRule>
    <cfRule type="cellIs" dxfId="1181" priority="1178" operator="equal">
      <formula>$O$13</formula>
    </cfRule>
    <cfRule type="duplicateValues" dxfId="1180" priority="1177"/>
    <cfRule type="duplicateValues" dxfId="1179" priority="1175"/>
    <cfRule type="duplicateValues" dxfId="1178" priority="983"/>
    <cfRule type="duplicateValues" dxfId="1177" priority="985"/>
    <cfRule type="cellIs" dxfId="1176" priority="986" operator="equal">
      <formula>$O$13</formula>
    </cfRule>
    <cfRule type="cellIs" dxfId="1175" priority="987" operator="equal">
      <formula>$O$12</formula>
    </cfRule>
    <cfRule type="cellIs" dxfId="1174" priority="988" operator="equal">
      <formula>$O$11</formula>
    </cfRule>
    <cfRule type="cellIs" dxfId="1173" priority="989" operator="equal">
      <formula>$O$10</formula>
    </cfRule>
    <cfRule type="cellIs" dxfId="1172" priority="990" operator="equal">
      <formula>$O$9</formula>
    </cfRule>
    <cfRule type="cellIs" dxfId="1171" priority="991" operator="equal">
      <formula>$O$8</formula>
    </cfRule>
    <cfRule type="cellIs" dxfId="1170" priority="992" operator="equal">
      <formula>$O$7</formula>
    </cfRule>
    <cfRule type="cellIs" dxfId="1169" priority="993" operator="equal">
      <formula>$O$6</formula>
    </cfRule>
    <cfRule type="cellIs" dxfId="1168" priority="994" operator="equal">
      <formula>$O$5</formula>
    </cfRule>
    <cfRule type="cellIs" dxfId="1167" priority="996" operator="equal">
      <formula>$O$18</formula>
    </cfRule>
    <cfRule type="cellIs" dxfId="1166" priority="997" operator="equal">
      <formula>$O$17</formula>
    </cfRule>
    <cfRule type="cellIs" dxfId="1165" priority="998" operator="equal">
      <formula>$O$16</formula>
    </cfRule>
    <cfRule type="cellIs" dxfId="1164" priority="999" operator="equal">
      <formula>$O$15</formula>
    </cfRule>
    <cfRule type="cellIs" dxfId="1163" priority="1000" operator="equal">
      <formula>$O$14</formula>
    </cfRule>
    <cfRule type="duplicateValues" dxfId="1162" priority="1010"/>
    <cfRule type="duplicateValues" dxfId="1161" priority="1011"/>
    <cfRule type="cellIs" dxfId="1160" priority="1012" operator="equal">
      <formula>$O$18</formula>
    </cfRule>
    <cfRule type="cellIs" dxfId="1159" priority="1013" operator="equal">
      <formula>$O$17</formula>
    </cfRule>
    <cfRule type="cellIs" dxfId="1158" priority="1014" operator="equal">
      <formula>$O$16</formula>
    </cfRule>
    <cfRule type="cellIs" dxfId="1157" priority="1016" operator="equal">
      <formula>$O$14</formula>
    </cfRule>
    <cfRule type="cellIs" dxfId="1156" priority="1018" operator="equal">
      <formula>$O$13</formula>
    </cfRule>
    <cfRule type="cellIs" dxfId="1155" priority="1019" operator="equal">
      <formula>$O$12</formula>
    </cfRule>
    <cfRule type="cellIs" dxfId="1154" priority="1020" operator="equal">
      <formula>$O$11</formula>
    </cfRule>
    <cfRule type="cellIs" dxfId="1153" priority="1022" operator="equal">
      <formula>$O$10</formula>
    </cfRule>
    <cfRule type="cellIs" dxfId="1152" priority="1023" operator="equal">
      <formula>$O$9</formula>
    </cfRule>
    <cfRule type="cellIs" dxfId="1151" priority="1024" operator="equal">
      <formula>$O$8</formula>
    </cfRule>
    <cfRule type="cellIs" dxfId="1150" priority="1025" operator="equal">
      <formula>$O$7</formula>
    </cfRule>
  </conditionalFormatting>
  <conditionalFormatting sqref="H17:H19">
    <cfRule type="cellIs" dxfId="1149" priority="232" operator="equal">
      <formula>0</formula>
    </cfRule>
  </conditionalFormatting>
  <conditionalFormatting sqref="H18:H19">
    <cfRule type="cellIs" dxfId="1148" priority="228" operator="equal">
      <formula>$O$8</formula>
    </cfRule>
    <cfRule type="duplicateValues" dxfId="1147" priority="235"/>
    <cfRule type="duplicateValues" dxfId="1146" priority="250"/>
    <cfRule type="duplicateValues" dxfId="1145" priority="217"/>
    <cfRule type="cellIs" dxfId="1144" priority="218" operator="equal">
      <formula>$O$18</formula>
    </cfRule>
    <cfRule type="cellIs" dxfId="1143" priority="219" operator="equal">
      <formula>$O$17</formula>
    </cfRule>
    <cfRule type="cellIs" dxfId="1142" priority="220" operator="equal">
      <formula>$O$16</formula>
    </cfRule>
    <cfRule type="cellIs" dxfId="1141" priority="221" operator="equal">
      <formula>$O$15</formula>
    </cfRule>
    <cfRule type="cellIs" dxfId="1139" priority="222" operator="equal">
      <formula>$O$14</formula>
    </cfRule>
    <cfRule type="cellIs" dxfId="1138" priority="223" operator="equal">
      <formula>$O$13</formula>
    </cfRule>
    <cfRule type="cellIs" dxfId="1137" priority="224" operator="equal">
      <formula>$O$12</formula>
    </cfRule>
    <cfRule type="cellIs" dxfId="1136" priority="225" operator="equal">
      <formula>$O$11</formula>
    </cfRule>
    <cfRule type="cellIs" dxfId="1135" priority="226" operator="equal">
      <formula>$O$10</formula>
    </cfRule>
    <cfRule type="cellIs" dxfId="1132" priority="227" operator="equal">
      <formula>$O$9</formula>
    </cfRule>
    <cfRule type="cellIs" dxfId="1127" priority="229" operator="equal">
      <formula>$O$7</formula>
    </cfRule>
    <cfRule type="cellIs" dxfId="1126" priority="230" operator="equal">
      <formula>$O$6</formula>
    </cfRule>
    <cfRule type="cellIs" dxfId="1122" priority="231" operator="equal">
      <formula>$O$5</formula>
    </cfRule>
    <cfRule type="duplicateValues" dxfId="1121" priority="233"/>
    <cfRule type="duplicateValues" dxfId="1120" priority="234"/>
  </conditionalFormatting>
  <conditionalFormatting sqref="H21 H24:H31">
    <cfRule type="duplicateValues" dxfId="1119" priority="1495"/>
  </conditionalFormatting>
  <conditionalFormatting sqref="H21">
    <cfRule type="duplicateValues" dxfId="1118" priority="1482"/>
  </conditionalFormatting>
  <conditionalFormatting sqref="H21:H31">
    <cfRule type="duplicateValues" dxfId="1117" priority="1513"/>
  </conditionalFormatting>
  <conditionalFormatting sqref="H21:H33">
    <cfRule type="duplicateValues" dxfId="1109" priority="1437"/>
    <cfRule type="duplicateValues" dxfId="1106" priority="1464"/>
  </conditionalFormatting>
  <conditionalFormatting sqref="H21:H34">
    <cfRule type="duplicateValues" dxfId="1105" priority="1331"/>
    <cfRule type="duplicateValues" dxfId="1104" priority="1520"/>
  </conditionalFormatting>
  <conditionalFormatting sqref="H22:H23">
    <cfRule type="duplicateValues" dxfId="1103" priority="1496"/>
    <cfRule type="duplicateValues" dxfId="1102" priority="1493"/>
    <cfRule type="duplicateValues" dxfId="1101" priority="1494"/>
  </conditionalFormatting>
  <conditionalFormatting sqref="H23">
    <cfRule type="duplicateValues" dxfId="1100" priority="821"/>
    <cfRule type="duplicateValues" dxfId="1099" priority="820"/>
    <cfRule type="duplicateValues" dxfId="1098" priority="819"/>
    <cfRule type="duplicateValues" dxfId="1096" priority="817"/>
    <cfRule type="duplicateValues" dxfId="1095" priority="816"/>
    <cfRule type="duplicateValues" dxfId="1094" priority="822"/>
  </conditionalFormatting>
  <conditionalFormatting sqref="H27">
    <cfRule type="duplicateValues" dxfId="1092" priority="839"/>
    <cfRule type="duplicateValues" dxfId="1091" priority="842"/>
    <cfRule type="duplicateValues" dxfId="1090" priority="841"/>
  </conditionalFormatting>
  <conditionalFormatting sqref="H32">
    <cfRule type="duplicateValues" dxfId="1089" priority="852"/>
    <cfRule type="duplicateValues" dxfId="1087" priority="849"/>
    <cfRule type="duplicateValues" dxfId="1086" priority="851"/>
  </conditionalFormatting>
  <conditionalFormatting sqref="H32:H33">
    <cfRule type="duplicateValues" dxfId="1085" priority="1509"/>
  </conditionalFormatting>
  <conditionalFormatting sqref="H34">
    <cfRule type="cellIs" dxfId="1082" priority="766" operator="equal">
      <formula>$O$14</formula>
    </cfRule>
    <cfRule type="cellIs" dxfId="1081" priority="765" operator="equal">
      <formula>$O$15</formula>
    </cfRule>
    <cfRule type="cellIs" dxfId="1080" priority="764" operator="equal">
      <formula>$O$16</formula>
    </cfRule>
    <cfRule type="cellIs" dxfId="1079" priority="763" operator="equal">
      <formula>$O$17</formula>
    </cfRule>
    <cfRule type="cellIs" dxfId="1078" priority="762" operator="equal">
      <formula>$O$18</formula>
    </cfRule>
    <cfRule type="cellIs" dxfId="1077" priority="760" operator="equal">
      <formula>$O$5</formula>
    </cfRule>
    <cfRule type="cellIs" dxfId="1076" priority="759" operator="equal">
      <formula>$O$6</formula>
    </cfRule>
    <cfRule type="cellIs" dxfId="1075" priority="758" operator="equal">
      <formula>$O$7</formula>
    </cfRule>
    <cfRule type="cellIs" dxfId="1074" priority="757" operator="equal">
      <formula>$O$8</formula>
    </cfRule>
    <cfRule type="cellIs" dxfId="1073" priority="756" operator="equal">
      <formula>$O$9</formula>
    </cfRule>
    <cfRule type="cellIs" dxfId="1072" priority="755" operator="equal">
      <formula>$O$10</formula>
    </cfRule>
    <cfRule type="cellIs" dxfId="1071" priority="754" operator="equal">
      <formula>$O$11</formula>
    </cfRule>
    <cfRule type="cellIs" dxfId="1070" priority="753" operator="equal">
      <formula>$O$12</formula>
    </cfRule>
    <cfRule type="cellIs" dxfId="1069" priority="752" operator="equal">
      <formula>$O$13</formula>
    </cfRule>
    <cfRule type="duplicateValues" dxfId="1068" priority="751"/>
    <cfRule type="cellIs" dxfId="1066" priority="1388" operator="equal">
      <formula>$O$8</formula>
    </cfRule>
    <cfRule type="duplicateValues" dxfId="1065" priority="1425"/>
    <cfRule type="cellIs" dxfId="1064" priority="1424" operator="equal">
      <formula>$O$5</formula>
    </cfRule>
    <cfRule type="cellIs" dxfId="1063" priority="1423" operator="equal">
      <formula>$O$6</formula>
    </cfRule>
    <cfRule type="cellIs" dxfId="1062" priority="1422" operator="equal">
      <formula>$O$7</formula>
    </cfRule>
    <cfRule type="cellIs" dxfId="1061" priority="1421" operator="equal">
      <formula>$O$8</formula>
    </cfRule>
    <cfRule type="cellIs" dxfId="1060" priority="1420" operator="equal">
      <formula>$O$9</formula>
    </cfRule>
    <cfRule type="cellIs" dxfId="1059" priority="1419" operator="equal">
      <formula>$O$10</formula>
    </cfRule>
    <cfRule type="cellIs" dxfId="1058" priority="1418" operator="equal">
      <formula>$O$11</formula>
    </cfRule>
    <cfRule type="cellIs" dxfId="1057" priority="1417" operator="equal">
      <formula>$O$12</formula>
    </cfRule>
    <cfRule type="cellIs" dxfId="1056" priority="1416" operator="equal">
      <formula>$O$13</formula>
    </cfRule>
    <cfRule type="duplicateValues" dxfId="1055" priority="1392"/>
    <cfRule type="cellIs" dxfId="1054" priority="1391" operator="equal">
      <formula>$O$5</formula>
    </cfRule>
    <cfRule type="cellIs" dxfId="1053" priority="1390" operator="equal">
      <formula>$O$6</formula>
    </cfRule>
    <cfRule type="cellIs" dxfId="1052" priority="1389" operator="equal">
      <formula>$O$7</formula>
    </cfRule>
    <cfRule type="cellIs" dxfId="1051" priority="1387" operator="equal">
      <formula>$O$9</formula>
    </cfRule>
    <cfRule type="cellIs" dxfId="1050" priority="1386" operator="equal">
      <formula>$O$10</formula>
    </cfRule>
    <cfRule type="cellIs" dxfId="1049" priority="1385" operator="equal">
      <formula>$O$11</formula>
    </cfRule>
    <cfRule type="cellIs" dxfId="1048" priority="1384" operator="equal">
      <formula>$O$12</formula>
    </cfRule>
    <cfRule type="cellIs" dxfId="1047" priority="1383" operator="equal">
      <formula>$O$13</formula>
    </cfRule>
    <cfRule type="duplicateValues" dxfId="1046" priority="1362"/>
    <cfRule type="cellIs" dxfId="1045" priority="1361" operator="equal">
      <formula>$O$5</formula>
    </cfRule>
    <cfRule type="cellIs" dxfId="1044" priority="1360" operator="equal">
      <formula>$O$6</formula>
    </cfRule>
    <cfRule type="cellIs" dxfId="1043" priority="1359" operator="equal">
      <formula>$O$7</formula>
    </cfRule>
    <cfRule type="cellIs" dxfId="1042" priority="1358" operator="equal">
      <formula>$O$8</formula>
    </cfRule>
    <cfRule type="cellIs" dxfId="1041" priority="1357" operator="equal">
      <formula>$O$9</formula>
    </cfRule>
    <cfRule type="cellIs" dxfId="1040" priority="1356" operator="equal">
      <formula>$O$10</formula>
    </cfRule>
    <cfRule type="cellIs" dxfId="1039" priority="1355" operator="equal">
      <formula>$O$11</formula>
    </cfRule>
    <cfRule type="cellIs" dxfId="1038" priority="1354" operator="equal">
      <formula>$O$12</formula>
    </cfRule>
    <cfRule type="cellIs" dxfId="1037" priority="1353" operator="equal">
      <formula>$O$13</formula>
    </cfRule>
  </conditionalFormatting>
  <conditionalFormatting sqref="H35">
    <cfRule type="duplicateValues" dxfId="1027" priority="462"/>
    <cfRule type="duplicateValues" dxfId="1025" priority="453"/>
    <cfRule type="duplicateValues" dxfId="1019" priority="452"/>
  </conditionalFormatting>
  <conditionalFormatting sqref="H35:H36">
    <cfRule type="cellIs" dxfId="1016" priority="416" operator="equal">
      <formula>$O$16</formula>
    </cfRule>
    <cfRule type="duplicateValues" dxfId="1015" priority="469"/>
    <cfRule type="cellIs" dxfId="1014" priority="415" operator="equal">
      <formula>$O$17</formula>
    </cfRule>
    <cfRule type="cellIs" dxfId="1013" priority="414" operator="equal">
      <formula>$O$18</formula>
    </cfRule>
    <cfRule type="cellIs" dxfId="1012" priority="413" operator="equal">
      <formula>$O$10</formula>
    </cfRule>
    <cfRule type="cellIs" dxfId="1011" priority="442" operator="equal">
      <formula>$O$5</formula>
    </cfRule>
    <cfRule type="duplicateValues" dxfId="1010" priority="527"/>
    <cfRule type="duplicateValues" dxfId="1009" priority="529"/>
    <cfRule type="cellIs" dxfId="1008" priority="421" operator="equal">
      <formula>$O$11</formula>
    </cfRule>
    <cfRule type="cellIs" dxfId="1007" priority="420" operator="equal">
      <formula>$O$12</formula>
    </cfRule>
    <cfRule type="duplicateValues" dxfId="1006" priority="538"/>
    <cfRule type="cellIs" dxfId="1005" priority="417" operator="equal">
      <formula>$O$15</formula>
    </cfRule>
    <cfRule type="cellIs" dxfId="1004" priority="418" operator="equal">
      <formula>$O$14</formula>
    </cfRule>
    <cfRule type="cellIs" dxfId="1003" priority="439" operator="equal">
      <formula>$O$8</formula>
    </cfRule>
    <cfRule type="cellIs" dxfId="1002" priority="440" operator="equal">
      <formula>$O$7</formula>
    </cfRule>
    <cfRule type="duplicateValues" dxfId="1001" priority="470"/>
    <cfRule type="cellIs" dxfId="1000" priority="441" operator="equal">
      <formula>$O$6</formula>
    </cfRule>
    <cfRule type="cellIs" dxfId="999" priority="419" operator="equal">
      <formula>$O$13</formula>
    </cfRule>
    <cfRule type="cellIs" dxfId="998" priority="438" operator="equal">
      <formula>$O$9</formula>
    </cfRule>
  </conditionalFormatting>
  <conditionalFormatting sqref="H36">
    <cfRule type="duplicateValues" dxfId="996" priority="422"/>
    <cfRule type="duplicateValues" dxfId="987" priority="433"/>
  </conditionalFormatting>
  <conditionalFormatting sqref="H38:H49 L38:L49 N38:N49 F38:F49">
    <cfRule type="cellIs" dxfId="985" priority="2020" operator="equal">
      <formula>$O$17</formula>
    </cfRule>
    <cfRule type="cellIs" dxfId="984" priority="2019" operator="equal">
      <formula>$O$18</formula>
    </cfRule>
  </conditionalFormatting>
  <conditionalFormatting sqref="H38:H49 L38:L50 N38:N50 F38:F49">
    <cfRule type="cellIs" dxfId="983" priority="2017" operator="equal">
      <formula>$O$5</formula>
    </cfRule>
    <cfRule type="cellIs" dxfId="982" priority="2012" operator="equal">
      <formula>$O$10</formula>
    </cfRule>
    <cfRule type="cellIs" dxfId="981" priority="2014" operator="equal">
      <formula>$O$8</formula>
    </cfRule>
    <cfRule type="cellIs" dxfId="980" priority="2016" operator="equal">
      <formula>$O$6</formula>
    </cfRule>
    <cfRule type="cellIs" dxfId="979" priority="2015" operator="equal">
      <formula>$O$7</formula>
    </cfRule>
    <cfRule type="cellIs" dxfId="978" priority="2013" operator="equal">
      <formula>$O$9</formula>
    </cfRule>
  </conditionalFormatting>
  <conditionalFormatting sqref="H38:H49">
    <cfRule type="duplicateValues" dxfId="977" priority="2004"/>
    <cfRule type="duplicateValues" dxfId="976" priority="2029"/>
  </conditionalFormatting>
  <conditionalFormatting sqref="H38:H50 H52:H53">
    <cfRule type="duplicateValues" dxfId="975" priority="1871"/>
  </conditionalFormatting>
  <conditionalFormatting sqref="H38:H50 L38:L50 N38:N50 F38:F50 F52:F53 H52:H53">
    <cfRule type="cellIs" dxfId="974" priority="2022" operator="equal">
      <formula>$O$15</formula>
    </cfRule>
    <cfRule type="cellIs" dxfId="973" priority="2021" operator="equal">
      <formula>$O$16</formula>
    </cfRule>
    <cfRule type="cellIs" dxfId="972" priority="2023" operator="equal">
      <formula>$O$14</formula>
    </cfRule>
  </conditionalFormatting>
  <conditionalFormatting sqref="H38:H50 L38:L50 N38:N50 F38:F50">
    <cfRule type="cellIs" dxfId="971" priority="2009" operator="equal">
      <formula>$O$13</formula>
    </cfRule>
    <cfRule type="cellIs" dxfId="970" priority="2010" operator="equal">
      <formula>$O$12</formula>
    </cfRule>
    <cfRule type="cellIs" dxfId="969" priority="2011" operator="equal">
      <formula>$O$11</formula>
    </cfRule>
  </conditionalFormatting>
  <conditionalFormatting sqref="H38:H53">
    <cfRule type="duplicateValues" dxfId="968" priority="1593"/>
  </conditionalFormatting>
  <conditionalFormatting sqref="H49 F49">
    <cfRule type="cellIs" dxfId="967" priority="1984" operator="equal">
      <formula>$O$5</formula>
    </cfRule>
    <cfRule type="cellIs" dxfId="964" priority="1982" operator="equal">
      <formula>$O$7</formula>
    </cfRule>
    <cfRule type="cellIs" dxfId="959" priority="1975" operator="equal">
      <formula>$O$17</formula>
    </cfRule>
    <cfRule type="cellIs" dxfId="958" priority="1974" operator="equal">
      <formula>$O$18</formula>
    </cfRule>
    <cfRule type="cellIs" dxfId="957" priority="1980" operator="equal">
      <formula>$O$9</formula>
    </cfRule>
    <cfRule type="cellIs" dxfId="956" priority="1981" operator="equal">
      <formula>$O$8</formula>
    </cfRule>
    <cfRule type="cellIs" dxfId="955" priority="1983" operator="equal">
      <formula>$O$6</formula>
    </cfRule>
    <cfRule type="cellIs" dxfId="954" priority="1967" operator="equal">
      <formula>$O$16</formula>
    </cfRule>
    <cfRule type="cellIs" dxfId="953" priority="1968" operator="equal">
      <formula>$O$15</formula>
    </cfRule>
    <cfRule type="cellIs" dxfId="952" priority="1969" operator="equal">
      <formula>$O$14</formula>
    </cfRule>
    <cfRule type="cellIs" dxfId="951" priority="1970" operator="equal">
      <formula>$O$13</formula>
    </cfRule>
    <cfRule type="cellIs" dxfId="950" priority="1971" operator="equal">
      <formula>$O$12</formula>
    </cfRule>
    <cfRule type="cellIs" dxfId="949" priority="1972" operator="equal">
      <formula>$O$11</formula>
    </cfRule>
    <cfRule type="cellIs" dxfId="948" priority="1973" operator="equal">
      <formula>$O$10</formula>
    </cfRule>
  </conditionalFormatting>
  <conditionalFormatting sqref="H49">
    <cfRule type="duplicateValues" dxfId="947" priority="1954"/>
    <cfRule type="duplicateValues" dxfId="946" priority="1946"/>
    <cfRule type="duplicateValues" dxfId="945" priority="1949"/>
    <cfRule type="duplicateValues" dxfId="944" priority="1948"/>
    <cfRule type="duplicateValues" dxfId="943" priority="1952"/>
    <cfRule type="duplicateValues" dxfId="942" priority="1953"/>
    <cfRule type="duplicateValues" dxfId="941" priority="1966"/>
  </conditionalFormatting>
  <conditionalFormatting sqref="H50 F50">
    <cfRule type="cellIs" dxfId="940" priority="1837" operator="equal">
      <formula>$O$14</formula>
    </cfRule>
    <cfRule type="cellIs" dxfId="938" priority="1836" operator="equal">
      <formula>$O$15</formula>
    </cfRule>
    <cfRule type="cellIs" dxfId="937" priority="1835" operator="equal">
      <formula>$O$16</formula>
    </cfRule>
    <cfRule type="cellIs" dxfId="934" priority="1843" operator="equal">
      <formula>$O$17</formula>
    </cfRule>
    <cfRule type="cellIs" dxfId="931" priority="1852" operator="equal">
      <formula>$O$5</formula>
    </cfRule>
    <cfRule type="cellIs" dxfId="930" priority="1851" operator="equal">
      <formula>$O$6</formula>
    </cfRule>
    <cfRule type="cellIs" dxfId="929" priority="1850" operator="equal">
      <formula>$O$7</formula>
    </cfRule>
    <cfRule type="cellIs" dxfId="928" priority="1849" operator="equal">
      <formula>$O$8</formula>
    </cfRule>
    <cfRule type="cellIs" dxfId="927" priority="1848" operator="equal">
      <formula>$O$9</formula>
    </cfRule>
    <cfRule type="cellIs" dxfId="926" priority="1842" operator="equal">
      <formula>$O$18</formula>
    </cfRule>
    <cfRule type="cellIs" dxfId="925" priority="1841" operator="equal">
      <formula>$O$10</formula>
    </cfRule>
    <cfRule type="cellIs" dxfId="924" priority="1840" operator="equal">
      <formula>$O$11</formula>
    </cfRule>
    <cfRule type="cellIs" dxfId="923" priority="1839" operator="equal">
      <formula>$O$12</formula>
    </cfRule>
    <cfRule type="cellIs" dxfId="922" priority="1838" operator="equal">
      <formula>$O$13</formula>
    </cfRule>
  </conditionalFormatting>
  <conditionalFormatting sqref="H50">
    <cfRule type="duplicateValues" dxfId="920" priority="1820"/>
    <cfRule type="duplicateValues" dxfId="919" priority="1821"/>
    <cfRule type="duplicateValues" dxfId="918" priority="1817"/>
    <cfRule type="duplicateValues" dxfId="917" priority="1814"/>
    <cfRule type="duplicateValues" dxfId="916" priority="1816"/>
    <cfRule type="duplicateValues" dxfId="915" priority="1822"/>
    <cfRule type="duplicateValues" dxfId="914" priority="1834"/>
  </conditionalFormatting>
  <conditionalFormatting sqref="H51 F51">
    <cfRule type="cellIs" dxfId="913" priority="1705" operator="equal">
      <formula>$O$7</formula>
    </cfRule>
    <cfRule type="cellIs" dxfId="912" priority="1706" operator="equal">
      <formula>$O$6</formula>
    </cfRule>
    <cfRule type="cellIs" dxfId="911" priority="1707" operator="equal">
      <formula>$O$5</formula>
    </cfRule>
    <cfRule type="cellIs" dxfId="909" priority="1704" operator="equal">
      <formula>$O$8</formula>
    </cfRule>
    <cfRule type="cellIs" dxfId="908" priority="1697" operator="equal">
      <formula>$O$18</formula>
    </cfRule>
    <cfRule type="cellIs" dxfId="907" priority="1698" operator="equal">
      <formula>$O$17</formula>
    </cfRule>
    <cfRule type="cellIs" dxfId="906" priority="1695" operator="equal">
      <formula>$O$11</formula>
    </cfRule>
    <cfRule type="cellIs" dxfId="905" priority="1694" operator="equal">
      <formula>$O$12</formula>
    </cfRule>
    <cfRule type="cellIs" dxfId="904" priority="1693" operator="equal">
      <formula>$O$13</formula>
    </cfRule>
    <cfRule type="cellIs" dxfId="903" priority="1692" operator="equal">
      <formula>$O$14</formula>
    </cfRule>
    <cfRule type="cellIs" dxfId="902" priority="1691" operator="equal">
      <formula>$O$15</formula>
    </cfRule>
    <cfRule type="cellIs" dxfId="899" priority="1703" operator="equal">
      <formula>$O$9</formula>
    </cfRule>
    <cfRule type="cellIs" dxfId="898" priority="1690" operator="equal">
      <formula>$O$16</formula>
    </cfRule>
    <cfRule type="cellIs" dxfId="894" priority="1696" operator="equal">
      <formula>$O$10</formula>
    </cfRule>
  </conditionalFormatting>
  <conditionalFormatting sqref="H51">
    <cfRule type="duplicateValues" dxfId="893" priority="1675"/>
    <cfRule type="duplicateValues" dxfId="892" priority="1676"/>
    <cfRule type="duplicateValues" dxfId="891" priority="1672"/>
    <cfRule type="duplicateValues" dxfId="890" priority="1689"/>
    <cfRule type="duplicateValues" dxfId="889" priority="1677"/>
    <cfRule type="duplicateValues" dxfId="888" priority="1669"/>
    <cfRule type="duplicateValues" dxfId="887" priority="1671"/>
    <cfRule type="duplicateValues" dxfId="886" priority="1714"/>
  </conditionalFormatting>
  <conditionalFormatting sqref="I21">
    <cfRule type="cellIs" dxfId="885" priority="1465" operator="equal">
      <formula>0</formula>
    </cfRule>
  </conditionalFormatting>
  <conditionalFormatting sqref="K18:K19 M18:M19">
    <cfRule type="duplicateValues" dxfId="884" priority="213"/>
    <cfRule type="cellIs" dxfId="883" priority="212" operator="equal">
      <formula>0</formula>
    </cfRule>
  </conditionalFormatting>
  <conditionalFormatting sqref="K34">
    <cfRule type="duplicateValues" dxfId="882" priority="1404"/>
  </conditionalFormatting>
  <conditionalFormatting sqref="K35">
    <cfRule type="duplicateValues" dxfId="881" priority="400"/>
  </conditionalFormatting>
  <conditionalFormatting sqref="K36">
    <cfRule type="duplicateValues" dxfId="880" priority="399"/>
    <cfRule type="duplicateValues" dxfId="879" priority="397"/>
    <cfRule type="duplicateValues" dxfId="878" priority="398"/>
  </conditionalFormatting>
  <conditionalFormatting sqref="K38">
    <cfRule type="duplicateValues" dxfId="877" priority="84"/>
    <cfRule type="duplicateValues" dxfId="876" priority="57"/>
  </conditionalFormatting>
  <conditionalFormatting sqref="K39">
    <cfRule type="duplicateValues" dxfId="875" priority="83"/>
    <cfRule type="duplicateValues" dxfId="874" priority="71"/>
  </conditionalFormatting>
  <conditionalFormatting sqref="K40">
    <cfRule type="duplicateValues" dxfId="873" priority="82"/>
    <cfRule type="duplicateValues" dxfId="872" priority="70"/>
  </conditionalFormatting>
  <conditionalFormatting sqref="K41">
    <cfRule type="duplicateValues" dxfId="871" priority="69"/>
    <cfRule type="duplicateValues" dxfId="870" priority="81"/>
  </conditionalFormatting>
  <conditionalFormatting sqref="K42">
    <cfRule type="duplicateValues" dxfId="869" priority="80"/>
    <cfRule type="duplicateValues" dxfId="868" priority="68"/>
  </conditionalFormatting>
  <conditionalFormatting sqref="K43">
    <cfRule type="duplicateValues" dxfId="867" priority="67"/>
    <cfRule type="duplicateValues" dxfId="866" priority="79"/>
  </conditionalFormatting>
  <conditionalFormatting sqref="K44">
    <cfRule type="duplicateValues" dxfId="865" priority="78"/>
    <cfRule type="duplicateValues" dxfId="864" priority="66"/>
  </conditionalFormatting>
  <conditionalFormatting sqref="K45">
    <cfRule type="duplicateValues" dxfId="863" priority="77"/>
    <cfRule type="duplicateValues" dxfId="862" priority="65"/>
  </conditionalFormatting>
  <conditionalFormatting sqref="K46">
    <cfRule type="duplicateValues" dxfId="861" priority="76"/>
    <cfRule type="duplicateValues" dxfId="860" priority="64"/>
  </conditionalFormatting>
  <conditionalFormatting sqref="K47">
    <cfRule type="duplicateValues" dxfId="859" priority="75"/>
    <cfRule type="duplicateValues" dxfId="858" priority="63"/>
  </conditionalFormatting>
  <conditionalFormatting sqref="K48">
    <cfRule type="duplicateValues" dxfId="857" priority="74"/>
    <cfRule type="duplicateValues" dxfId="856" priority="62"/>
  </conditionalFormatting>
  <conditionalFormatting sqref="K49">
    <cfRule type="duplicateValues" dxfId="855" priority="73"/>
    <cfRule type="duplicateValues" dxfId="854" priority="72"/>
    <cfRule type="duplicateValues" dxfId="853" priority="61"/>
  </conditionalFormatting>
  <conditionalFormatting sqref="K50">
    <cfRule type="duplicateValues" dxfId="852" priority="60"/>
    <cfRule type="duplicateValues" dxfId="851" priority="59"/>
  </conditionalFormatting>
  <conditionalFormatting sqref="K51">
    <cfRule type="duplicateValues" dxfId="850" priority="55"/>
    <cfRule type="duplicateValues" dxfId="849" priority="54"/>
  </conditionalFormatting>
  <conditionalFormatting sqref="K52">
    <cfRule type="duplicateValues" dxfId="848" priority="611"/>
    <cfRule type="duplicateValues" dxfId="847" priority="609"/>
  </conditionalFormatting>
  <conditionalFormatting sqref="K53">
    <cfRule type="duplicateValues" dxfId="846" priority="608"/>
    <cfRule type="duplicateValues" dxfId="845" priority="610"/>
  </conditionalFormatting>
  <conditionalFormatting sqref="K5:N5 E5:H5">
    <cfRule type="duplicateValues" dxfId="844" priority="1287"/>
  </conditionalFormatting>
  <conditionalFormatting sqref="K6:N6 E6:H6">
    <cfRule type="duplicateValues" dxfId="843" priority="1288"/>
  </conditionalFormatting>
  <conditionalFormatting sqref="K7:N7 E7:H7">
    <cfRule type="duplicateValues" dxfId="842" priority="1289"/>
  </conditionalFormatting>
  <conditionalFormatting sqref="K8:N8 E8:H8">
    <cfRule type="duplicateValues" dxfId="841" priority="1290"/>
  </conditionalFormatting>
  <conditionalFormatting sqref="K9:N9 E9:H9">
    <cfRule type="duplicateValues" dxfId="840" priority="1291"/>
  </conditionalFormatting>
  <conditionalFormatting sqref="K10:N10 E10:H10">
    <cfRule type="duplicateValues" dxfId="839" priority="1292"/>
  </conditionalFormatting>
  <conditionalFormatting sqref="K11:N11 E11:H11">
    <cfRule type="duplicateValues" dxfId="838" priority="1293"/>
  </conditionalFormatting>
  <conditionalFormatting sqref="K12:N12 E12:H12">
    <cfRule type="duplicateValues" dxfId="837" priority="1294"/>
  </conditionalFormatting>
  <conditionalFormatting sqref="K13:N13 E13:H13">
    <cfRule type="duplicateValues" dxfId="836" priority="1295"/>
  </conditionalFormatting>
  <conditionalFormatting sqref="K14:N14 E14:H14">
    <cfRule type="duplicateValues" dxfId="835" priority="1296"/>
  </conditionalFormatting>
  <conditionalFormatting sqref="K15:N15 E15:H15">
    <cfRule type="duplicateValues" dxfId="834" priority="1297"/>
  </conditionalFormatting>
  <conditionalFormatting sqref="K16:N16 E16:H16">
    <cfRule type="duplicateValues" dxfId="833" priority="1298"/>
  </conditionalFormatting>
  <conditionalFormatting sqref="K21:N34 F21:I21 F22:H34">
    <cfRule type="cellIs" dxfId="832" priority="1459" operator="equal">
      <formula>$O$8</formula>
    </cfRule>
    <cfRule type="cellIs" dxfId="831" priority="1457" operator="equal">
      <formula>$O$11</formula>
    </cfRule>
    <cfRule type="cellIs" dxfId="830" priority="1458" operator="equal">
      <formula>$O$9</formula>
    </cfRule>
    <cfRule type="cellIs" dxfId="829" priority="1462" operator="equal">
      <formula>$O$5</formula>
    </cfRule>
    <cfRule type="cellIs" dxfId="828" priority="1460" operator="equal">
      <formula>$O$7</formula>
    </cfRule>
    <cfRule type="cellIs" dxfId="827" priority="1461" operator="equal">
      <formula>$O$6</formula>
    </cfRule>
  </conditionalFormatting>
  <conditionalFormatting sqref="K21:N36">
    <cfRule type="cellIs" dxfId="826" priority="410" operator="equal">
      <formula>0</formula>
    </cfRule>
  </conditionalFormatting>
  <conditionalFormatting sqref="K23:N23 F23:H23">
    <cfRule type="duplicateValues" dxfId="825" priority="1476"/>
  </conditionalFormatting>
  <conditionalFormatting sqref="K31:N31 F31:H31">
    <cfRule type="duplicateValues" dxfId="824" priority="1468"/>
  </conditionalFormatting>
  <conditionalFormatting sqref="K34:N34">
    <cfRule type="duplicateValues" dxfId="823" priority="738"/>
  </conditionalFormatting>
  <conditionalFormatting sqref="K35:N36">
    <cfRule type="cellIs" dxfId="822" priority="406" operator="equal">
      <formula>$O$8</formula>
    </cfRule>
    <cfRule type="cellIs" dxfId="821" priority="409" operator="equal">
      <formula>$O$5</formula>
    </cfRule>
    <cfRule type="cellIs" dxfId="820" priority="407" operator="equal">
      <formula>$O$7</formula>
    </cfRule>
    <cfRule type="cellIs" dxfId="819" priority="408" operator="equal">
      <formula>$O$6</formula>
    </cfRule>
    <cfRule type="cellIs" dxfId="818" priority="404" operator="equal">
      <formula>$O$11</formula>
    </cfRule>
    <cfRule type="cellIs" dxfId="817" priority="405" operator="equal">
      <formula>$O$9</formula>
    </cfRule>
  </conditionalFormatting>
  <conditionalFormatting sqref="K38:N53">
    <cfRule type="cellIs" dxfId="816" priority="25" operator="equal">
      <formula>0</formula>
    </cfRule>
  </conditionalFormatting>
  <conditionalFormatting sqref="L5">
    <cfRule type="duplicateValues" dxfId="815" priority="1280"/>
    <cfRule type="duplicateValues" dxfId="814" priority="1279"/>
  </conditionalFormatting>
  <conditionalFormatting sqref="L5:L10 L12:L16">
    <cfRule type="duplicateValues" dxfId="813" priority="1275"/>
    <cfRule type="duplicateValues" dxfId="812" priority="1276"/>
    <cfRule type="duplicateValues" dxfId="811" priority="1283"/>
  </conditionalFormatting>
  <conditionalFormatting sqref="L5:L17 L21:L34">
    <cfRule type="duplicateValues" dxfId="810" priority="639"/>
  </conditionalFormatting>
  <conditionalFormatting sqref="L5:L17">
    <cfRule type="duplicateValues" dxfId="809" priority="1240"/>
  </conditionalFormatting>
  <conditionalFormatting sqref="L11">
    <cfRule type="duplicateValues" dxfId="808" priority="1272"/>
    <cfRule type="duplicateValues" dxfId="807" priority="1271"/>
  </conditionalFormatting>
  <conditionalFormatting sqref="L15">
    <cfRule type="duplicateValues" dxfId="806" priority="1267"/>
    <cfRule type="duplicateValues" dxfId="805" priority="1268"/>
  </conditionalFormatting>
  <conditionalFormatting sqref="L17">
    <cfRule type="duplicateValues" dxfId="804" priority="965"/>
    <cfRule type="cellIs" dxfId="803" priority="966" operator="equal">
      <formula>$O$18</formula>
    </cfRule>
    <cfRule type="cellIs" dxfId="802" priority="967" operator="equal">
      <formula>$O$10</formula>
    </cfRule>
    <cfRule type="cellIs" dxfId="801" priority="968" operator="equal">
      <formula>$O$17</formula>
    </cfRule>
    <cfRule type="cellIs" dxfId="800" priority="969" operator="equal">
      <formula>$O$16</formula>
    </cfRule>
    <cfRule type="cellIs" dxfId="799" priority="970" operator="equal">
      <formula>$O$15</formula>
    </cfRule>
    <cfRule type="cellIs" dxfId="798" priority="971" operator="equal">
      <formula>$O$14</formula>
    </cfRule>
    <cfRule type="cellIs" dxfId="797" priority="972" operator="equal">
      <formula>$O$13</formula>
    </cfRule>
    <cfRule type="cellIs" dxfId="796" priority="973" operator="equal">
      <formula>$O$12</formula>
    </cfRule>
    <cfRule type="cellIs" dxfId="795" priority="974" operator="equal">
      <formula>$O$11</formula>
    </cfRule>
    <cfRule type="cellIs" dxfId="794" priority="977" operator="equal">
      <formula>$O$9</formula>
    </cfRule>
    <cfRule type="cellIs" dxfId="793" priority="979" operator="equal">
      <formula>$O$8</formula>
    </cfRule>
    <cfRule type="cellIs" dxfId="792" priority="980" operator="equal">
      <formula>$O$7</formula>
    </cfRule>
    <cfRule type="cellIs" dxfId="791" priority="981" operator="equal">
      <formula>$O$6</formula>
    </cfRule>
    <cfRule type="cellIs" dxfId="790" priority="982" operator="equal">
      <formula>$O$5</formula>
    </cfRule>
    <cfRule type="duplicateValues" dxfId="789" priority="1111"/>
    <cfRule type="duplicateValues" dxfId="788" priority="1113"/>
    <cfRule type="cellIs" dxfId="787" priority="1114" operator="equal">
      <formula>$O$13</formula>
    </cfRule>
    <cfRule type="cellIs" dxfId="786" priority="1115" operator="equal">
      <formula>$O$12</formula>
    </cfRule>
    <cfRule type="cellIs" dxfId="785" priority="1116" operator="equal">
      <formula>$O$11</formula>
    </cfRule>
    <cfRule type="cellIs" dxfId="784" priority="1117" operator="equal">
      <formula>$O$10</formula>
    </cfRule>
    <cfRule type="cellIs" dxfId="783" priority="1118" operator="equal">
      <formula>$O$9</formula>
    </cfRule>
    <cfRule type="cellIs" dxfId="782" priority="1119" operator="equal">
      <formula>$O$8</formula>
    </cfRule>
    <cfRule type="cellIs" dxfId="781" priority="1120" operator="equal">
      <formula>$O$7</formula>
    </cfRule>
    <cfRule type="cellIs" dxfId="780" priority="1121" operator="equal">
      <formula>$O$6</formula>
    </cfRule>
    <cfRule type="cellIs" dxfId="779" priority="1122" operator="equal">
      <formula>$O$5</formula>
    </cfRule>
    <cfRule type="cellIs" dxfId="778" priority="1124" operator="equal">
      <formula>$O$18</formula>
    </cfRule>
    <cfRule type="cellIs" dxfId="777" priority="1125" operator="equal">
      <formula>$O$17</formula>
    </cfRule>
    <cfRule type="cellIs" dxfId="776" priority="1126" operator="equal">
      <formula>$O$16</formula>
    </cfRule>
    <cfRule type="cellIs" dxfId="775" priority="1127" operator="equal">
      <formula>$O$15</formula>
    </cfRule>
    <cfRule type="cellIs" dxfId="774" priority="1128" operator="equal">
      <formula>$O$14</formula>
    </cfRule>
    <cfRule type="duplicateValues" dxfId="773" priority="1138"/>
    <cfRule type="duplicateValues" dxfId="772" priority="1139"/>
    <cfRule type="cellIs" dxfId="771" priority="1140" operator="equal">
      <formula>$O$18</formula>
    </cfRule>
    <cfRule type="cellIs" dxfId="770" priority="1141" operator="equal">
      <formula>$O$17</formula>
    </cfRule>
    <cfRule type="cellIs" dxfId="769" priority="1142" operator="equal">
      <formula>$O$16</formula>
    </cfRule>
    <cfRule type="cellIs" dxfId="768" priority="1143" operator="equal">
      <formula>$O$15</formula>
    </cfRule>
    <cfRule type="cellIs" dxfId="767" priority="1144" operator="equal">
      <formula>$O$14</formula>
    </cfRule>
    <cfRule type="cellIs" dxfId="766" priority="1146" operator="equal">
      <formula>$O$13</formula>
    </cfRule>
    <cfRule type="cellIs" dxfId="765" priority="1147" operator="equal">
      <formula>$O$12</formula>
    </cfRule>
    <cfRule type="cellIs" dxfId="764" priority="1148" operator="equal">
      <formula>$O$11</formula>
    </cfRule>
    <cfRule type="cellIs" dxfId="763" priority="1150" operator="equal">
      <formula>$O$10</formula>
    </cfRule>
    <cfRule type="cellIs" dxfId="762" priority="1151" operator="equal">
      <formula>$O$9</formula>
    </cfRule>
    <cfRule type="cellIs" dxfId="761" priority="1152" operator="equal">
      <formula>$O$8</formula>
    </cfRule>
    <cfRule type="cellIs" dxfId="760" priority="1153" operator="equal">
      <formula>$O$7</formula>
    </cfRule>
    <cfRule type="cellIs" dxfId="759" priority="1154" operator="equal">
      <formula>$O$6</formula>
    </cfRule>
    <cfRule type="cellIs" dxfId="758" priority="1155" operator="equal">
      <formula>$O$5</formula>
    </cfRule>
    <cfRule type="duplicateValues" dxfId="757" priority="1156"/>
    <cfRule type="duplicateValues" dxfId="756" priority="1157"/>
    <cfRule type="cellIs" dxfId="755" priority="1158" operator="equal">
      <formula>$O$18</formula>
    </cfRule>
    <cfRule type="cellIs" dxfId="754" priority="1159" operator="equal">
      <formula>$O$10</formula>
    </cfRule>
    <cfRule type="cellIs" dxfId="753" priority="1160" operator="equal">
      <formula>$O$17</formula>
    </cfRule>
    <cfRule type="cellIs" dxfId="752" priority="1161" operator="equal">
      <formula>$O$16</formula>
    </cfRule>
    <cfRule type="cellIs" dxfId="751" priority="1162" operator="equal">
      <formula>$O$15</formula>
    </cfRule>
    <cfRule type="cellIs" dxfId="750" priority="1163" operator="equal">
      <formula>$O$14</formula>
    </cfRule>
    <cfRule type="cellIs" dxfId="749" priority="1164" operator="equal">
      <formula>$O$13</formula>
    </cfRule>
    <cfRule type="cellIs" dxfId="748" priority="1165" operator="equal">
      <formula>$O$12</formula>
    </cfRule>
    <cfRule type="cellIs" dxfId="747" priority="1166" operator="equal">
      <formula>$O$11</formula>
    </cfRule>
    <cfRule type="cellIs" dxfId="746" priority="1169" operator="equal">
      <formula>$O$9</formula>
    </cfRule>
    <cfRule type="cellIs" dxfId="745" priority="1171" operator="equal">
      <formula>$O$8</formula>
    </cfRule>
    <cfRule type="cellIs" dxfId="744" priority="1172" operator="equal">
      <formula>$O$7</formula>
    </cfRule>
    <cfRule type="cellIs" dxfId="743" priority="1173" operator="equal">
      <formula>$O$6</formula>
    </cfRule>
    <cfRule type="cellIs" dxfId="742" priority="1174" operator="equal">
      <formula>$O$5</formula>
    </cfRule>
    <cfRule type="duplicateValues" dxfId="741" priority="919"/>
    <cfRule type="duplicateValues" dxfId="740" priority="921"/>
    <cfRule type="cellIs" dxfId="739" priority="922" operator="equal">
      <formula>$O$13</formula>
    </cfRule>
    <cfRule type="cellIs" dxfId="738" priority="923" operator="equal">
      <formula>$O$12</formula>
    </cfRule>
    <cfRule type="cellIs" dxfId="737" priority="924" operator="equal">
      <formula>$O$11</formula>
    </cfRule>
    <cfRule type="cellIs" dxfId="736" priority="925" operator="equal">
      <formula>$O$10</formula>
    </cfRule>
    <cfRule type="cellIs" dxfId="735" priority="926" operator="equal">
      <formula>$O$9</formula>
    </cfRule>
    <cfRule type="cellIs" dxfId="734" priority="927" operator="equal">
      <formula>$O$8</formula>
    </cfRule>
    <cfRule type="cellIs" dxfId="733" priority="928" operator="equal">
      <formula>$O$7</formula>
    </cfRule>
    <cfRule type="cellIs" dxfId="732" priority="929" operator="equal">
      <formula>$O$6</formula>
    </cfRule>
    <cfRule type="cellIs" dxfId="731" priority="930" operator="equal">
      <formula>$O$5</formula>
    </cfRule>
    <cfRule type="cellIs" dxfId="730" priority="932" operator="equal">
      <formula>$O$18</formula>
    </cfRule>
    <cfRule type="cellIs" dxfId="729" priority="933" operator="equal">
      <formula>$O$17</formula>
    </cfRule>
    <cfRule type="cellIs" dxfId="728" priority="934" operator="equal">
      <formula>$O$16</formula>
    </cfRule>
    <cfRule type="cellIs" dxfId="727" priority="935" operator="equal">
      <formula>$O$15</formula>
    </cfRule>
    <cfRule type="cellIs" dxfId="726" priority="936" operator="equal">
      <formula>$O$14</formula>
    </cfRule>
    <cfRule type="duplicateValues" dxfId="725" priority="946"/>
    <cfRule type="duplicateValues" dxfId="724" priority="947"/>
    <cfRule type="cellIs" dxfId="723" priority="948" operator="equal">
      <formula>$O$18</formula>
    </cfRule>
    <cfRule type="cellIs" dxfId="722" priority="949" operator="equal">
      <formula>$O$17</formula>
    </cfRule>
    <cfRule type="cellIs" dxfId="721" priority="950" operator="equal">
      <formula>$O$16</formula>
    </cfRule>
    <cfRule type="cellIs" dxfId="720" priority="951" operator="equal">
      <formula>$O$15</formula>
    </cfRule>
    <cfRule type="cellIs" dxfId="719" priority="952" operator="equal">
      <formula>$O$14</formula>
    </cfRule>
    <cfRule type="cellIs" dxfId="718" priority="954" operator="equal">
      <formula>$O$13</formula>
    </cfRule>
    <cfRule type="cellIs" dxfId="717" priority="955" operator="equal">
      <formula>$O$12</formula>
    </cfRule>
    <cfRule type="cellIs" dxfId="716" priority="956" operator="equal">
      <formula>$O$11</formula>
    </cfRule>
    <cfRule type="cellIs" dxfId="715" priority="958" operator="equal">
      <formula>$O$10</formula>
    </cfRule>
    <cfRule type="cellIs" dxfId="714" priority="959" operator="equal">
      <formula>$O$9</formula>
    </cfRule>
    <cfRule type="cellIs" dxfId="713" priority="960" operator="equal">
      <formula>$O$8</formula>
    </cfRule>
    <cfRule type="cellIs" dxfId="712" priority="961" operator="equal">
      <formula>$O$7</formula>
    </cfRule>
    <cfRule type="cellIs" dxfId="711" priority="962" operator="equal">
      <formula>$O$6</formula>
    </cfRule>
    <cfRule type="cellIs" dxfId="710" priority="963" operator="equal">
      <formula>$O$5</formula>
    </cfRule>
    <cfRule type="duplicateValues" dxfId="709" priority="964"/>
  </conditionalFormatting>
  <conditionalFormatting sqref="L17:L19 N17:N19">
    <cfRule type="cellIs" dxfId="708" priority="197" operator="equal">
      <formula>0</formula>
    </cfRule>
  </conditionalFormatting>
  <conditionalFormatting sqref="L18:L19 N18:N19">
    <cfRule type="cellIs" dxfId="707" priority="185" operator="equal">
      <formula>$O$16</formula>
    </cfRule>
    <cfRule type="cellIs" dxfId="706" priority="189" operator="equal">
      <formula>$O$12</formula>
    </cfRule>
    <cfRule type="cellIs" dxfId="705" priority="190" operator="equal">
      <formula>$O$11</formula>
    </cfRule>
    <cfRule type="cellIs" dxfId="704" priority="191" operator="equal">
      <formula>$O$10</formula>
    </cfRule>
    <cfRule type="cellIs" dxfId="703" priority="192" operator="equal">
      <formula>$O$9</formula>
    </cfRule>
    <cfRule type="cellIs" dxfId="701" priority="193" operator="equal">
      <formula>$O$8</formula>
    </cfRule>
    <cfRule type="cellIs" dxfId="699" priority="195" operator="equal">
      <formula>$O$6</formula>
    </cfRule>
    <cfRule type="cellIs" dxfId="698" priority="196" operator="equal">
      <formula>$O$5</formula>
    </cfRule>
    <cfRule type="cellIs" dxfId="690" priority="183" operator="equal">
      <formula>$O$18</formula>
    </cfRule>
    <cfRule type="cellIs" dxfId="689" priority="184" operator="equal">
      <formula>$O$17</formula>
    </cfRule>
    <cfRule type="duplicateValues" dxfId="687" priority="199"/>
    <cfRule type="cellIs" dxfId="686" priority="186" operator="equal">
      <formula>$O$15</formula>
    </cfRule>
    <cfRule type="cellIs" dxfId="685" priority="187" operator="equal">
      <formula>$O$14</formula>
    </cfRule>
    <cfRule type="duplicateValues" dxfId="684" priority="200"/>
    <cfRule type="cellIs" dxfId="683" priority="188" operator="equal">
      <formula>$O$13</formula>
    </cfRule>
    <cfRule type="duplicateValues" dxfId="682" priority="198"/>
    <cfRule type="duplicateValues" dxfId="681" priority="215"/>
    <cfRule type="cellIs" dxfId="680" priority="194" operator="equal">
      <formula>$O$7</formula>
    </cfRule>
    <cfRule type="duplicateValues" dxfId="679" priority="182"/>
  </conditionalFormatting>
  <conditionalFormatting sqref="L21 L24:L31">
    <cfRule type="duplicateValues" dxfId="678" priority="1491"/>
  </conditionalFormatting>
  <conditionalFormatting sqref="L21">
    <cfRule type="duplicateValues" dxfId="676" priority="1484"/>
  </conditionalFormatting>
  <conditionalFormatting sqref="L21:L31">
    <cfRule type="duplicateValues" dxfId="675" priority="1512"/>
  </conditionalFormatting>
  <conditionalFormatting sqref="L21:L33">
    <cfRule type="duplicateValues" dxfId="673" priority="1436"/>
    <cfRule type="duplicateValues" dxfId="672" priority="1463"/>
  </conditionalFormatting>
  <conditionalFormatting sqref="L21:L34">
    <cfRule type="duplicateValues" dxfId="671" priority="1330"/>
    <cfRule type="duplicateValues" dxfId="670" priority="1519"/>
  </conditionalFormatting>
  <conditionalFormatting sqref="L22:L23">
    <cfRule type="duplicateValues" dxfId="669" priority="1489"/>
    <cfRule type="duplicateValues" dxfId="668" priority="1490"/>
    <cfRule type="duplicateValues" dxfId="667" priority="1492"/>
  </conditionalFormatting>
  <conditionalFormatting sqref="L27">
    <cfRule type="duplicateValues" dxfId="666" priority="838"/>
    <cfRule type="duplicateValues" dxfId="665" priority="837"/>
    <cfRule type="duplicateValues" dxfId="664" priority="836"/>
  </conditionalFormatting>
  <conditionalFormatting sqref="L32">
    <cfRule type="duplicateValues" dxfId="663" priority="848"/>
    <cfRule type="duplicateValues" dxfId="662" priority="847"/>
    <cfRule type="duplicateValues" dxfId="661" priority="846"/>
  </conditionalFormatting>
  <conditionalFormatting sqref="L32:L33">
    <cfRule type="duplicateValues" dxfId="660" priority="1508"/>
  </conditionalFormatting>
  <conditionalFormatting sqref="L34">
    <cfRule type="cellIs" dxfId="649" priority="1375" operator="equal">
      <formula>$O$11</formula>
    </cfRule>
    <cfRule type="cellIs" dxfId="648" priority="1412" operator="equal">
      <formula>$O$6</formula>
    </cfRule>
    <cfRule type="duplicateValues" dxfId="647" priority="737"/>
    <cfRule type="cellIs" dxfId="646" priority="1405" operator="equal">
      <formula>$O$13</formula>
    </cfRule>
    <cfRule type="cellIs" dxfId="645" priority="1406" operator="equal">
      <formula>$O$12</formula>
    </cfRule>
    <cfRule type="cellIs" dxfId="644" priority="1407" operator="equal">
      <formula>$O$11</formula>
    </cfRule>
    <cfRule type="duplicateValues" dxfId="643" priority="748"/>
    <cfRule type="cellIs" dxfId="642" priority="1408" operator="equal">
      <formula>$O$10</formula>
    </cfRule>
    <cfRule type="cellIs" dxfId="641" priority="1409" operator="equal">
      <formula>$O$9</formula>
    </cfRule>
    <cfRule type="cellIs" dxfId="640" priority="1344" operator="equal">
      <formula>$O$12</formula>
    </cfRule>
    <cfRule type="cellIs" dxfId="639" priority="1343" operator="equal">
      <formula>$O$13</formula>
    </cfRule>
    <cfRule type="cellIs" dxfId="638" priority="1376" operator="equal">
      <formula>$O$10</formula>
    </cfRule>
    <cfRule type="duplicateValues" dxfId="637" priority="720"/>
    <cfRule type="cellIs" dxfId="636" priority="1377" operator="equal">
      <formula>$O$9</formula>
    </cfRule>
    <cfRule type="cellIs" dxfId="635" priority="1374" operator="equal">
      <formula>$O$12</formula>
    </cfRule>
    <cfRule type="cellIs" dxfId="634" priority="1345" operator="equal">
      <formula>$O$11</formula>
    </cfRule>
    <cfRule type="cellIs" dxfId="633" priority="1346" operator="equal">
      <formula>$O$10</formula>
    </cfRule>
    <cfRule type="cellIs" dxfId="632" priority="1347" operator="equal">
      <formula>$O$9</formula>
    </cfRule>
    <cfRule type="cellIs" dxfId="631" priority="1348" operator="equal">
      <formula>$O$8</formula>
    </cfRule>
    <cfRule type="cellIs" dxfId="630" priority="1349" operator="equal">
      <formula>$O$7</formula>
    </cfRule>
    <cfRule type="cellIs" dxfId="629" priority="1350" operator="equal">
      <formula>$O$6</formula>
    </cfRule>
    <cfRule type="cellIs" dxfId="628" priority="1351" operator="equal">
      <formula>$O$5</formula>
    </cfRule>
    <cfRule type="duplicateValues" dxfId="627" priority="1352"/>
    <cfRule type="cellIs" dxfId="626" priority="1378" operator="equal">
      <formula>$O$8</formula>
    </cfRule>
    <cfRule type="cellIs" dxfId="625" priority="1379" operator="equal">
      <formula>$O$7</formula>
    </cfRule>
    <cfRule type="cellIs" dxfId="624" priority="1380" operator="equal">
      <formula>$O$6</formula>
    </cfRule>
    <cfRule type="cellIs" dxfId="623" priority="1381" operator="equal">
      <formula>$O$5</formula>
    </cfRule>
    <cfRule type="duplicateValues" dxfId="622" priority="1382"/>
    <cfRule type="cellIs" dxfId="621" priority="1410" operator="equal">
      <formula>$O$8</formula>
    </cfRule>
    <cfRule type="cellIs" dxfId="620" priority="1411" operator="equal">
      <formula>$O$7</formula>
    </cfRule>
    <cfRule type="cellIs" dxfId="619" priority="1413" operator="equal">
      <formula>$O$5</formula>
    </cfRule>
    <cfRule type="duplicateValues" dxfId="618" priority="1414"/>
    <cfRule type="cellIs" dxfId="617" priority="1373" operator="equal">
      <formula>$O$13</formula>
    </cfRule>
  </conditionalFormatting>
  <conditionalFormatting sqref="L35">
    <cfRule type="duplicateValues" dxfId="614" priority="394"/>
    <cfRule type="duplicateValues" dxfId="609" priority="384"/>
    <cfRule type="duplicateValues" dxfId="608" priority="385"/>
  </conditionalFormatting>
  <conditionalFormatting sqref="L35:L36">
    <cfRule type="cellIs" dxfId="603" priority="351" operator="equal">
      <formula>$O$13</formula>
    </cfRule>
    <cfRule type="cellIs" dxfId="602" priority="347" operator="equal">
      <formula>$O$17</formula>
    </cfRule>
    <cfRule type="cellIs" dxfId="601" priority="346" operator="equal">
      <formula>$O$18</formula>
    </cfRule>
    <cfRule type="cellIs" dxfId="600" priority="353" operator="equal">
      <formula>$O$11</formula>
    </cfRule>
    <cfRule type="cellIs" dxfId="599" priority="352" operator="equal">
      <formula>$O$12</formula>
    </cfRule>
    <cfRule type="duplicateValues" dxfId="598" priority="411"/>
    <cfRule type="cellIs" dxfId="597" priority="350" operator="equal">
      <formula>$O$14</formula>
    </cfRule>
    <cfRule type="duplicateValues" dxfId="596" priority="402"/>
    <cfRule type="cellIs" dxfId="595" priority="349" operator="equal">
      <formula>$O$15</formula>
    </cfRule>
    <cfRule type="cellIs" dxfId="594" priority="345" operator="equal">
      <formula>$O$10</formula>
    </cfRule>
    <cfRule type="cellIs" dxfId="593" priority="370" operator="equal">
      <formula>$O$9</formula>
    </cfRule>
    <cfRule type="cellIs" dxfId="592" priority="374" operator="equal">
      <formula>$O$5</formula>
    </cfRule>
    <cfRule type="cellIs" dxfId="591" priority="373" operator="equal">
      <formula>$O$6</formula>
    </cfRule>
    <cfRule type="cellIs" dxfId="590" priority="372" operator="equal">
      <formula>$O$7</formula>
    </cfRule>
    <cfRule type="cellIs" dxfId="589" priority="371" operator="equal">
      <formula>$O$8</formula>
    </cfRule>
    <cfRule type="cellIs" dxfId="588" priority="348" operator="equal">
      <formula>$O$16</formula>
    </cfRule>
  </conditionalFormatting>
  <conditionalFormatting sqref="L36">
    <cfRule type="duplicateValues" dxfId="587" priority="354"/>
    <cfRule type="duplicateValues" dxfId="585" priority="365"/>
  </conditionalFormatting>
  <conditionalFormatting sqref="L38:L49">
    <cfRule type="duplicateValues" dxfId="575" priority="2003"/>
    <cfRule type="duplicateValues" dxfId="574" priority="2028"/>
  </conditionalFormatting>
  <conditionalFormatting sqref="L38:L50">
    <cfRule type="duplicateValues" dxfId="573" priority="1870"/>
  </conditionalFormatting>
  <conditionalFormatting sqref="L38:L51">
    <cfRule type="duplicateValues" dxfId="572" priority="1592"/>
  </conditionalFormatting>
  <conditionalFormatting sqref="L49">
    <cfRule type="duplicateValues" dxfId="568" priority="1916"/>
    <cfRule type="duplicateValues" dxfId="567" priority="1915"/>
    <cfRule type="duplicateValues" dxfId="566" priority="1914"/>
    <cfRule type="duplicateValues" dxfId="565" priority="1913"/>
    <cfRule type="cellIs" dxfId="561" priority="1941" operator="equal">
      <formula>$O$5</formula>
    </cfRule>
    <cfRule type="cellIs" dxfId="560" priority="1940" operator="equal">
      <formula>$O$6</formula>
    </cfRule>
    <cfRule type="cellIs" dxfId="559" priority="1939" operator="equal">
      <formula>$O$7</formula>
    </cfRule>
    <cfRule type="cellIs" dxfId="558" priority="1938" operator="equal">
      <formula>$O$8</formula>
    </cfRule>
    <cfRule type="cellIs" dxfId="557" priority="1937" operator="equal">
      <formula>$O$9</formula>
    </cfRule>
    <cfRule type="cellIs" dxfId="556" priority="1932" operator="equal">
      <formula>$O$17</formula>
    </cfRule>
    <cfRule type="cellIs" dxfId="555" priority="1931" operator="equal">
      <formula>$O$18</formula>
    </cfRule>
    <cfRule type="cellIs" dxfId="554" priority="1930" operator="equal">
      <formula>$O$10</formula>
    </cfRule>
    <cfRule type="cellIs" dxfId="553" priority="1929" operator="equal">
      <formula>$O$11</formula>
    </cfRule>
    <cfRule type="cellIs" dxfId="552" priority="1928" operator="equal">
      <formula>$O$12</formula>
    </cfRule>
    <cfRule type="cellIs" dxfId="551" priority="1927" operator="equal">
      <formula>$O$13</formula>
    </cfRule>
    <cfRule type="cellIs" dxfId="550" priority="1926" operator="equal">
      <formula>$O$14</formula>
    </cfRule>
    <cfRule type="cellIs" dxfId="549" priority="1925" operator="equal">
      <formula>$O$15</formula>
    </cfRule>
    <cfRule type="cellIs" dxfId="548" priority="1924" operator="equal">
      <formula>$O$16</formula>
    </cfRule>
    <cfRule type="duplicateValues" dxfId="547" priority="1923"/>
    <cfRule type="duplicateValues" dxfId="546" priority="1921"/>
    <cfRule type="duplicateValues" dxfId="541" priority="1910"/>
  </conditionalFormatting>
  <conditionalFormatting sqref="L50">
    <cfRule type="cellIs" dxfId="536" priority="1809" operator="equal">
      <formula>$O$5</formula>
    </cfRule>
    <cfRule type="cellIs" dxfId="535" priority="1808" operator="equal">
      <formula>$O$6</formula>
    </cfRule>
    <cfRule type="cellIs" dxfId="534" priority="1807" operator="equal">
      <formula>$O$7</formula>
    </cfRule>
    <cfRule type="cellIs" dxfId="533" priority="1806" operator="equal">
      <formula>$O$8</formula>
    </cfRule>
    <cfRule type="cellIs" dxfId="532" priority="1805" operator="equal">
      <formula>$O$9</formula>
    </cfRule>
    <cfRule type="cellIs" dxfId="531" priority="1800" operator="equal">
      <formula>$O$17</formula>
    </cfRule>
    <cfRule type="cellIs" dxfId="530" priority="1799" operator="equal">
      <formula>$O$18</formula>
    </cfRule>
    <cfRule type="cellIs" dxfId="529" priority="1798" operator="equal">
      <formula>$O$10</formula>
    </cfRule>
    <cfRule type="cellIs" dxfId="528" priority="1797" operator="equal">
      <formula>$O$11</formula>
    </cfRule>
    <cfRule type="cellIs" dxfId="527" priority="1796" operator="equal">
      <formula>$O$12</formula>
    </cfRule>
    <cfRule type="cellIs" dxfId="526" priority="1795" operator="equal">
      <formula>$O$13</formula>
    </cfRule>
    <cfRule type="cellIs" dxfId="525" priority="1794" operator="equal">
      <formula>$O$14</formula>
    </cfRule>
    <cfRule type="cellIs" dxfId="524" priority="1793" operator="equal">
      <formula>$O$15</formula>
    </cfRule>
    <cfRule type="cellIs" dxfId="523" priority="1792" operator="equal">
      <formula>$O$16</formula>
    </cfRule>
    <cfRule type="duplicateValues" dxfId="522" priority="1791"/>
    <cfRule type="duplicateValues" dxfId="521" priority="1789"/>
    <cfRule type="duplicateValues" dxfId="517" priority="1784"/>
    <cfRule type="duplicateValues" dxfId="516" priority="1783"/>
    <cfRule type="duplicateValues" dxfId="515" priority="1781"/>
    <cfRule type="duplicateValues" dxfId="513" priority="1782"/>
    <cfRule type="duplicateValues" dxfId="511" priority="1778"/>
  </conditionalFormatting>
  <conditionalFormatting sqref="L51 N51">
    <cfRule type="cellIs" dxfId="509" priority="1721" operator="equal">
      <formula>$O$8</formula>
    </cfRule>
    <cfRule type="cellIs" dxfId="508" priority="1720" operator="equal">
      <formula>$O$9</formula>
    </cfRule>
    <cfRule type="cellIs" dxfId="507" priority="1718" operator="equal">
      <formula>$O$11</formula>
    </cfRule>
    <cfRule type="cellIs" dxfId="506" priority="1717" operator="equal">
      <formula>$O$12</formula>
    </cfRule>
    <cfRule type="cellIs" dxfId="505" priority="1719" operator="equal">
      <formula>$O$10</formula>
    </cfRule>
    <cfRule type="cellIs" dxfId="504" priority="1722" operator="equal">
      <formula>$O$7</formula>
    </cfRule>
    <cfRule type="cellIs" dxfId="503" priority="1716" operator="equal">
      <formula>$O$13</formula>
    </cfRule>
    <cfRule type="cellIs" dxfId="502" priority="1723" operator="equal">
      <formula>$O$6</formula>
    </cfRule>
    <cfRule type="cellIs" dxfId="501" priority="1724" operator="equal">
      <formula>$O$5</formula>
    </cfRule>
  </conditionalFormatting>
  <conditionalFormatting sqref="L51">
    <cfRule type="duplicateValues" dxfId="497" priority="1639"/>
    <cfRule type="duplicateValues" dxfId="496" priority="1638"/>
    <cfRule type="duplicateValues" dxfId="495" priority="1637"/>
    <cfRule type="duplicateValues" dxfId="494" priority="1636"/>
    <cfRule type="cellIs" dxfId="491" priority="1648" operator="equal">
      <formula>$O$15</formula>
    </cfRule>
    <cfRule type="cellIs" dxfId="489" priority="1654" operator="equal">
      <formula>$O$18</formula>
    </cfRule>
    <cfRule type="duplicateValues" dxfId="488" priority="1633"/>
    <cfRule type="cellIs" dxfId="487" priority="1647" operator="equal">
      <formula>$O$16</formula>
    </cfRule>
    <cfRule type="cellIs" dxfId="486" priority="1655" operator="equal">
      <formula>$O$17</formula>
    </cfRule>
    <cfRule type="duplicateValues" dxfId="485" priority="1646"/>
    <cfRule type="cellIs" dxfId="484" priority="1653" operator="equal">
      <formula>$O$10</formula>
    </cfRule>
    <cfRule type="cellIs" dxfId="483" priority="1652" operator="equal">
      <formula>$O$11</formula>
    </cfRule>
    <cfRule type="cellIs" dxfId="482" priority="1651" operator="equal">
      <formula>$O$12</formula>
    </cfRule>
    <cfRule type="cellIs" dxfId="481" priority="1650" operator="equal">
      <formula>$O$13</formula>
    </cfRule>
    <cfRule type="cellIs" dxfId="480" priority="1649" operator="equal">
      <formula>$O$14</formula>
    </cfRule>
    <cfRule type="cellIs" dxfId="477" priority="1661" operator="equal">
      <formula>$O$8</formula>
    </cfRule>
    <cfRule type="cellIs" dxfId="476" priority="1662" operator="equal">
      <formula>$O$7</formula>
    </cfRule>
    <cfRule type="cellIs" dxfId="475" priority="1663" operator="equal">
      <formula>$O$6</formula>
    </cfRule>
    <cfRule type="cellIs" dxfId="474" priority="1664" operator="equal">
      <formula>$O$5</formula>
    </cfRule>
    <cfRule type="duplicateValues" dxfId="472" priority="1713"/>
    <cfRule type="cellIs" dxfId="471" priority="1660" operator="equal">
      <formula>$O$9</formula>
    </cfRule>
    <cfRule type="duplicateValues" dxfId="470" priority="1644"/>
  </conditionalFormatting>
  <conditionalFormatting sqref="L52">
    <cfRule type="duplicateValues" dxfId="468" priority="576"/>
    <cfRule type="duplicateValues" dxfId="467" priority="579"/>
  </conditionalFormatting>
  <conditionalFormatting sqref="L52:L53 N52:N53">
    <cfRule type="cellIs" dxfId="466" priority="619" operator="equal">
      <formula>$O$14</formula>
    </cfRule>
    <cfRule type="cellIs" dxfId="465" priority="621" operator="equal">
      <formula>$O$12</formula>
    </cfRule>
    <cfRule type="cellIs" dxfId="464" priority="618" operator="equal">
      <formula>$O$15</formula>
    </cfRule>
    <cfRule type="cellIs" dxfId="463" priority="617" operator="equal">
      <formula>$O$16</formula>
    </cfRule>
    <cfRule type="cellIs" dxfId="462" priority="622" operator="equal">
      <formula>$O$11</formula>
    </cfRule>
    <cfRule type="cellIs" dxfId="461" priority="620" operator="equal">
      <formula>$O$13</formula>
    </cfRule>
  </conditionalFormatting>
  <conditionalFormatting sqref="L52:L53">
    <cfRule type="cellIs" dxfId="460" priority="589" operator="equal">
      <formula>$O$5</formula>
    </cfRule>
    <cfRule type="cellIs" dxfId="459" priority="591" operator="equal">
      <formula>$O$18</formula>
    </cfRule>
    <cfRule type="cellIs" dxfId="458" priority="592" operator="equal">
      <formula>$O$17</formula>
    </cfRule>
    <cfRule type="duplicateValues" dxfId="457" priority="593"/>
    <cfRule type="containsText" dxfId="456" priority="574" operator="containsText" text="(SV)">
      <formula>NOT(ISERROR(SEARCH("(SV)",L52)))</formula>
    </cfRule>
    <cfRule type="containsText" dxfId="451" priority="573" operator="containsText" text="(HEM)">
      <formula>NOT(ISERROR(SEARCH("(HEM)",L52)))</formula>
    </cfRule>
    <cfRule type="duplicateValues" dxfId="444" priority="613"/>
    <cfRule type="duplicateValues" dxfId="443" priority="614"/>
    <cfRule type="duplicateValues" dxfId="442" priority="616"/>
    <cfRule type="duplicateValues" dxfId="441" priority="577"/>
    <cfRule type="duplicateValues" dxfId="440" priority="580"/>
    <cfRule type="cellIs" dxfId="439" priority="581" operator="equal">
      <formula>$O$13</formula>
    </cfRule>
    <cfRule type="cellIs" dxfId="438" priority="582" operator="equal">
      <formula>$O$12</formula>
    </cfRule>
    <cfRule type="cellIs" dxfId="437" priority="583" operator="equal">
      <formula>$O$11</formula>
    </cfRule>
    <cfRule type="cellIs" dxfId="436" priority="584" operator="equal">
      <formula>$O$10</formula>
    </cfRule>
    <cfRule type="cellIs" dxfId="435" priority="585" operator="equal">
      <formula>$O$9</formula>
    </cfRule>
    <cfRule type="cellIs" dxfId="434" priority="586" operator="equal">
      <formula>$O$8</formula>
    </cfRule>
    <cfRule type="cellIs" dxfId="433" priority="587" operator="equal">
      <formula>$O$7</formula>
    </cfRule>
    <cfRule type="cellIs" dxfId="432" priority="588" operator="equal">
      <formula>$O$6</formula>
    </cfRule>
  </conditionalFormatting>
  <conditionalFormatting sqref="L53">
    <cfRule type="duplicateValues" dxfId="431" priority="575"/>
    <cfRule type="duplicateValues" dxfId="430" priority="578"/>
  </conditionalFormatting>
  <conditionalFormatting sqref="M34">
    <cfRule type="duplicateValues" dxfId="429" priority="1393"/>
  </conditionalFormatting>
  <conditionalFormatting sqref="M35">
    <cfRule type="duplicateValues" dxfId="428" priority="342"/>
  </conditionalFormatting>
  <conditionalFormatting sqref="M36">
    <cfRule type="duplicateValues" dxfId="427" priority="341"/>
    <cfRule type="duplicateValues" dxfId="426" priority="340"/>
    <cfRule type="duplicateValues" dxfId="425" priority="339"/>
  </conditionalFormatting>
  <conditionalFormatting sqref="M38">
    <cfRule type="duplicateValues" dxfId="424" priority="26"/>
    <cfRule type="duplicateValues" dxfId="423" priority="53"/>
  </conditionalFormatting>
  <conditionalFormatting sqref="M39">
    <cfRule type="duplicateValues" dxfId="422" priority="52"/>
    <cfRule type="duplicateValues" dxfId="421" priority="40"/>
  </conditionalFormatting>
  <conditionalFormatting sqref="M40">
    <cfRule type="duplicateValues" dxfId="420" priority="51"/>
    <cfRule type="duplicateValues" dxfId="419" priority="39"/>
  </conditionalFormatting>
  <conditionalFormatting sqref="M41">
    <cfRule type="duplicateValues" dxfId="418" priority="50"/>
    <cfRule type="duplicateValues" dxfId="417" priority="38"/>
  </conditionalFormatting>
  <conditionalFormatting sqref="M42">
    <cfRule type="duplicateValues" dxfId="416" priority="37"/>
    <cfRule type="duplicateValues" dxfId="415" priority="49"/>
  </conditionalFormatting>
  <conditionalFormatting sqref="M43">
    <cfRule type="duplicateValues" dxfId="414" priority="36"/>
    <cfRule type="duplicateValues" dxfId="413" priority="48"/>
  </conditionalFormatting>
  <conditionalFormatting sqref="M44">
    <cfRule type="duplicateValues" dxfId="412" priority="35"/>
    <cfRule type="duplicateValues" dxfId="411" priority="47"/>
  </conditionalFormatting>
  <conditionalFormatting sqref="M45">
    <cfRule type="duplicateValues" dxfId="410" priority="46"/>
    <cfRule type="duplicateValues" dxfId="409" priority="34"/>
  </conditionalFormatting>
  <conditionalFormatting sqref="M46">
    <cfRule type="duplicateValues" dxfId="408" priority="33"/>
    <cfRule type="duplicateValues" dxfId="407" priority="45"/>
  </conditionalFormatting>
  <conditionalFormatting sqref="M47">
    <cfRule type="duplicateValues" dxfId="406" priority="44"/>
    <cfRule type="duplicateValues" dxfId="405" priority="32"/>
  </conditionalFormatting>
  <conditionalFormatting sqref="M48">
    <cfRule type="duplicateValues" dxfId="404" priority="43"/>
    <cfRule type="duplicateValues" dxfId="403" priority="31"/>
  </conditionalFormatting>
  <conditionalFormatting sqref="M49">
    <cfRule type="duplicateValues" dxfId="402" priority="42"/>
    <cfRule type="duplicateValues" dxfId="401" priority="41"/>
    <cfRule type="duplicateValues" dxfId="400" priority="30"/>
  </conditionalFormatting>
  <conditionalFormatting sqref="M50">
    <cfRule type="duplicateValues" dxfId="399" priority="29"/>
    <cfRule type="duplicateValues" dxfId="398" priority="28"/>
  </conditionalFormatting>
  <conditionalFormatting sqref="M51">
    <cfRule type="duplicateValues" dxfId="397" priority="24"/>
    <cfRule type="duplicateValues" dxfId="396" priority="23"/>
  </conditionalFormatting>
  <conditionalFormatting sqref="M52">
    <cfRule type="duplicateValues" dxfId="395" priority="607"/>
    <cfRule type="duplicateValues" dxfId="394" priority="605"/>
  </conditionalFormatting>
  <conditionalFormatting sqref="M53">
    <cfRule type="duplicateValues" dxfId="393" priority="606"/>
    <cfRule type="duplicateValues" dxfId="392" priority="604"/>
  </conditionalFormatting>
  <conditionalFormatting sqref="N5:N14 N16">
    <cfRule type="duplicateValues" dxfId="391" priority="1274"/>
    <cfRule type="duplicateValues" dxfId="390" priority="1273"/>
  </conditionalFormatting>
  <conditionalFormatting sqref="N5:N16">
    <cfRule type="duplicateValues" dxfId="384" priority="1258"/>
  </conditionalFormatting>
  <conditionalFormatting sqref="N5:N17 N21:N34">
    <cfRule type="duplicateValues" dxfId="383" priority="638"/>
  </conditionalFormatting>
  <conditionalFormatting sqref="N5:N17">
    <cfRule type="duplicateValues" dxfId="382" priority="1239"/>
  </conditionalFormatting>
  <conditionalFormatting sqref="N15">
    <cfRule type="duplicateValues" dxfId="381" priority="1266"/>
    <cfRule type="duplicateValues" dxfId="380" priority="1265"/>
  </conditionalFormatting>
  <conditionalFormatting sqref="N17">
    <cfRule type="duplicateValues" dxfId="374" priority="1047"/>
    <cfRule type="cellIs" dxfId="373" priority="918" operator="equal">
      <formula>$O$5</formula>
    </cfRule>
    <cfRule type="cellIs" dxfId="372" priority="917" operator="equal">
      <formula>$O$6</formula>
    </cfRule>
    <cfRule type="cellIs" dxfId="371" priority="916" operator="equal">
      <formula>$O$7</formula>
    </cfRule>
    <cfRule type="cellIs" dxfId="370" priority="915" operator="equal">
      <formula>$O$8</formula>
    </cfRule>
    <cfRule type="cellIs" dxfId="369" priority="913" operator="equal">
      <formula>$O$9</formula>
    </cfRule>
    <cfRule type="cellIs" dxfId="368" priority="910" operator="equal">
      <formula>$O$11</formula>
    </cfRule>
    <cfRule type="cellIs" dxfId="367" priority="909" operator="equal">
      <formula>$O$12</formula>
    </cfRule>
    <cfRule type="cellIs" dxfId="366" priority="908" operator="equal">
      <formula>$O$13</formula>
    </cfRule>
    <cfRule type="cellIs" dxfId="365" priority="907" operator="equal">
      <formula>$O$14</formula>
    </cfRule>
    <cfRule type="cellIs" dxfId="364" priority="906" operator="equal">
      <formula>$O$15</formula>
    </cfRule>
    <cfRule type="cellIs" dxfId="363" priority="905" operator="equal">
      <formula>$O$16</formula>
    </cfRule>
    <cfRule type="cellIs" dxfId="362" priority="904" operator="equal">
      <formula>$O$17</formula>
    </cfRule>
    <cfRule type="cellIs" dxfId="361" priority="903" operator="equal">
      <formula>$O$10</formula>
    </cfRule>
    <cfRule type="cellIs" dxfId="360" priority="902" operator="equal">
      <formula>$O$18</formula>
    </cfRule>
    <cfRule type="duplicateValues" dxfId="359" priority="901"/>
    <cfRule type="duplicateValues" dxfId="358" priority="900"/>
    <cfRule type="cellIs" dxfId="357" priority="899" operator="equal">
      <formula>$O$5</formula>
    </cfRule>
    <cfRule type="cellIs" dxfId="356" priority="898" operator="equal">
      <formula>$O$6</formula>
    </cfRule>
    <cfRule type="cellIs" dxfId="355" priority="897" operator="equal">
      <formula>$O$7</formula>
    </cfRule>
    <cfRule type="cellIs" dxfId="354" priority="896" operator="equal">
      <formula>$O$8</formula>
    </cfRule>
    <cfRule type="cellIs" dxfId="353" priority="895" operator="equal">
      <formula>$O$9</formula>
    </cfRule>
    <cfRule type="cellIs" dxfId="352" priority="894" operator="equal">
      <formula>$O$10</formula>
    </cfRule>
    <cfRule type="cellIs" dxfId="351" priority="892" operator="equal">
      <formula>$O$11</formula>
    </cfRule>
    <cfRule type="cellIs" dxfId="350" priority="891" operator="equal">
      <formula>$O$12</formula>
    </cfRule>
    <cfRule type="cellIs" dxfId="349" priority="890" operator="equal">
      <formula>$O$13</formula>
    </cfRule>
    <cfRule type="cellIs" dxfId="348" priority="888" operator="equal">
      <formula>$O$14</formula>
    </cfRule>
    <cfRule type="cellIs" dxfId="347" priority="887" operator="equal">
      <formula>$O$15</formula>
    </cfRule>
    <cfRule type="cellIs" dxfId="346" priority="886" operator="equal">
      <formula>$O$16</formula>
    </cfRule>
    <cfRule type="cellIs" dxfId="345" priority="885" operator="equal">
      <formula>$O$17</formula>
    </cfRule>
    <cfRule type="cellIs" dxfId="344" priority="884" operator="equal">
      <formula>$O$18</formula>
    </cfRule>
    <cfRule type="duplicateValues" dxfId="343" priority="883"/>
    <cfRule type="duplicateValues" dxfId="342" priority="882"/>
    <cfRule type="cellIs" dxfId="341" priority="872" operator="equal">
      <formula>$O$14</formula>
    </cfRule>
    <cfRule type="cellIs" dxfId="340" priority="871" operator="equal">
      <formula>$O$15</formula>
    </cfRule>
    <cfRule type="cellIs" dxfId="339" priority="870" operator="equal">
      <formula>$O$16</formula>
    </cfRule>
    <cfRule type="cellIs" dxfId="338" priority="869" operator="equal">
      <formula>$O$17</formula>
    </cfRule>
    <cfRule type="cellIs" dxfId="337" priority="868" operator="equal">
      <formula>$O$18</formula>
    </cfRule>
    <cfRule type="cellIs" dxfId="336" priority="866" operator="equal">
      <formula>$O$5</formula>
    </cfRule>
    <cfRule type="cellIs" dxfId="335" priority="865" operator="equal">
      <formula>$O$6</formula>
    </cfRule>
    <cfRule type="cellIs" dxfId="334" priority="864" operator="equal">
      <formula>$O$7</formula>
    </cfRule>
    <cfRule type="cellIs" dxfId="333" priority="863" operator="equal">
      <formula>$O$8</formula>
    </cfRule>
    <cfRule type="cellIs" dxfId="332" priority="862" operator="equal">
      <formula>$O$9</formula>
    </cfRule>
    <cfRule type="cellIs" dxfId="331" priority="861" operator="equal">
      <formula>$O$10</formula>
    </cfRule>
    <cfRule type="cellIs" dxfId="330" priority="860" operator="equal">
      <formula>$O$11</formula>
    </cfRule>
    <cfRule type="cellIs" dxfId="329" priority="859" operator="equal">
      <formula>$O$12</formula>
    </cfRule>
    <cfRule type="cellIs" dxfId="328" priority="858" operator="equal">
      <formula>$O$13</formula>
    </cfRule>
    <cfRule type="duplicateValues" dxfId="327" priority="857"/>
    <cfRule type="duplicateValues" dxfId="326" priority="855"/>
    <cfRule type="cellIs" dxfId="325" priority="1096" operator="equal">
      <formula>$O$17</formula>
    </cfRule>
    <cfRule type="cellIs" dxfId="324" priority="1095" operator="equal">
      <formula>$O$10</formula>
    </cfRule>
    <cfRule type="cellIs" dxfId="323" priority="1094" operator="equal">
      <formula>$O$18</formula>
    </cfRule>
    <cfRule type="duplicateValues" dxfId="322" priority="1093"/>
    <cfRule type="duplicateValues" dxfId="321" priority="1092"/>
    <cfRule type="cellIs" dxfId="320" priority="1091" operator="equal">
      <formula>$O$5</formula>
    </cfRule>
    <cfRule type="cellIs" dxfId="319" priority="1090" operator="equal">
      <formula>$O$6</formula>
    </cfRule>
    <cfRule type="cellIs" dxfId="318" priority="1089" operator="equal">
      <formula>$O$7</formula>
    </cfRule>
    <cfRule type="cellIs" dxfId="317" priority="1088" operator="equal">
      <formula>$O$8</formula>
    </cfRule>
    <cfRule type="cellIs" dxfId="316" priority="1087" operator="equal">
      <formula>$O$9</formula>
    </cfRule>
    <cfRule type="cellIs" dxfId="315" priority="1086" operator="equal">
      <formula>$O$10</formula>
    </cfRule>
    <cfRule type="cellIs" dxfId="314" priority="1084" operator="equal">
      <formula>$O$11</formula>
    </cfRule>
    <cfRule type="cellIs" dxfId="313" priority="1083" operator="equal">
      <formula>$O$12</formula>
    </cfRule>
    <cfRule type="cellIs" dxfId="312" priority="1082" operator="equal">
      <formula>$O$13</formula>
    </cfRule>
    <cfRule type="cellIs" dxfId="311" priority="1080" operator="equal">
      <formula>$O$14</formula>
    </cfRule>
    <cfRule type="cellIs" dxfId="310" priority="1079" operator="equal">
      <formula>$O$15</formula>
    </cfRule>
    <cfRule type="cellIs" dxfId="309" priority="1078" operator="equal">
      <formula>$O$16</formula>
    </cfRule>
    <cfRule type="cellIs" dxfId="308" priority="1077" operator="equal">
      <formula>$O$17</formula>
    </cfRule>
    <cfRule type="cellIs" dxfId="307" priority="1076" operator="equal">
      <formula>$O$18</formula>
    </cfRule>
    <cfRule type="duplicateValues" dxfId="306" priority="1075"/>
    <cfRule type="duplicateValues" dxfId="305" priority="1074"/>
    <cfRule type="cellIs" dxfId="304" priority="1064" operator="equal">
      <formula>$O$14</formula>
    </cfRule>
    <cfRule type="cellIs" dxfId="303" priority="1063" operator="equal">
      <formula>$O$15</formula>
    </cfRule>
    <cfRule type="cellIs" dxfId="302" priority="1062" operator="equal">
      <formula>$O$16</formula>
    </cfRule>
    <cfRule type="cellIs" dxfId="301" priority="1061" operator="equal">
      <formula>$O$17</formula>
    </cfRule>
    <cfRule type="cellIs" dxfId="300" priority="1060" operator="equal">
      <formula>$O$18</formula>
    </cfRule>
    <cfRule type="cellIs" dxfId="299" priority="1058" operator="equal">
      <formula>$O$5</formula>
    </cfRule>
    <cfRule type="cellIs" dxfId="298" priority="1057" operator="equal">
      <formula>$O$6</formula>
    </cfRule>
    <cfRule type="cellIs" dxfId="297" priority="1056" operator="equal">
      <formula>$O$7</formula>
    </cfRule>
    <cfRule type="cellIs" dxfId="296" priority="1055" operator="equal">
      <formula>$O$8</formula>
    </cfRule>
    <cfRule type="cellIs" dxfId="295" priority="1054" operator="equal">
      <formula>$O$9</formula>
    </cfRule>
    <cfRule type="cellIs" dxfId="294" priority="1053" operator="equal">
      <formula>$O$10</formula>
    </cfRule>
    <cfRule type="cellIs" dxfId="293" priority="1052" operator="equal">
      <formula>$O$11</formula>
    </cfRule>
    <cfRule type="cellIs" dxfId="292" priority="1051" operator="equal">
      <formula>$O$12</formula>
    </cfRule>
    <cfRule type="cellIs" dxfId="291" priority="1050" operator="equal">
      <formula>$O$13</formula>
    </cfRule>
    <cfRule type="duplicateValues" dxfId="290" priority="1049"/>
    <cfRule type="cellIs" dxfId="289" priority="1110" operator="equal">
      <formula>$O$5</formula>
    </cfRule>
    <cfRule type="cellIs" dxfId="288" priority="1109" operator="equal">
      <formula>$O$6</formula>
    </cfRule>
    <cfRule type="cellIs" dxfId="287" priority="1108" operator="equal">
      <formula>$O$7</formula>
    </cfRule>
    <cfRule type="cellIs" dxfId="286" priority="1107" operator="equal">
      <formula>$O$8</formula>
    </cfRule>
    <cfRule type="cellIs" dxfId="285" priority="1105" operator="equal">
      <formula>$O$9</formula>
    </cfRule>
    <cfRule type="cellIs" dxfId="284" priority="1102" operator="equal">
      <formula>$O$11</formula>
    </cfRule>
    <cfRule type="cellIs" dxfId="283" priority="1101" operator="equal">
      <formula>$O$12</formula>
    </cfRule>
    <cfRule type="cellIs" dxfId="282" priority="1100" operator="equal">
      <formula>$O$13</formula>
    </cfRule>
    <cfRule type="cellIs" dxfId="281" priority="1099" operator="equal">
      <formula>$O$14</formula>
    </cfRule>
    <cfRule type="cellIs" dxfId="280" priority="1098" operator="equal">
      <formula>$O$15</formula>
    </cfRule>
    <cfRule type="cellIs" dxfId="279" priority="1097" operator="equal">
      <formula>$O$16</formula>
    </cfRule>
  </conditionalFormatting>
  <conditionalFormatting sqref="N21 N24:N31">
    <cfRule type="duplicateValues" dxfId="278" priority="1487"/>
  </conditionalFormatting>
  <conditionalFormatting sqref="N21">
    <cfRule type="duplicateValues" dxfId="277" priority="808"/>
    <cfRule type="duplicateValues" dxfId="275" priority="814"/>
    <cfRule type="duplicateValues" dxfId="274" priority="815"/>
    <cfRule type="duplicateValues" dxfId="273" priority="812"/>
    <cfRule type="duplicateValues" dxfId="272" priority="810"/>
    <cfRule type="duplicateValues" dxfId="270" priority="809"/>
    <cfRule type="duplicateValues" dxfId="269" priority="1483"/>
    <cfRule type="duplicateValues" dxfId="268" priority="813"/>
  </conditionalFormatting>
  <conditionalFormatting sqref="N21:N31">
    <cfRule type="duplicateValues" dxfId="267" priority="1511"/>
  </conditionalFormatting>
  <conditionalFormatting sqref="N21:N33 H21:H33 L21:L33 F21:F33">
    <cfRule type="cellIs" dxfId="266" priority="1452" operator="equal">
      <formula>$O$15</formula>
    </cfRule>
    <cfRule type="cellIs" dxfId="265" priority="1453" operator="equal">
      <formula>$O$14</formula>
    </cfRule>
    <cfRule type="cellIs" dxfId="264" priority="1451" operator="equal">
      <formula>$O$16</formula>
    </cfRule>
  </conditionalFormatting>
  <conditionalFormatting sqref="N21:N33 H21:H33 L21:L33 F21:F34">
    <cfRule type="cellIs" dxfId="263" priority="1444" operator="equal">
      <formula>$O$8</formula>
    </cfRule>
    <cfRule type="cellIs" dxfId="262" priority="1447" operator="equal">
      <formula>$O$5</formula>
    </cfRule>
    <cfRule type="cellIs" dxfId="261" priority="1446" operator="equal">
      <formula>$O$6</formula>
    </cfRule>
    <cfRule type="cellIs" dxfId="260" priority="1445" operator="equal">
      <formula>$O$7</formula>
    </cfRule>
    <cfRule type="cellIs" dxfId="259" priority="1443" operator="equal">
      <formula>$O$9</formula>
    </cfRule>
    <cfRule type="cellIs" dxfId="258" priority="1441" operator="equal">
      <formula>$O$11</formula>
    </cfRule>
    <cfRule type="cellIs" dxfId="257" priority="1440" operator="equal">
      <formula>$O$12</formula>
    </cfRule>
    <cfRule type="cellIs" dxfId="256" priority="1439" operator="equal">
      <formula>$O$13</formula>
    </cfRule>
  </conditionalFormatting>
  <conditionalFormatting sqref="N21:N33">
    <cfRule type="duplicateValues" dxfId="255" priority="1438"/>
    <cfRule type="duplicateValues" dxfId="254" priority="1434"/>
    <cfRule type="duplicateValues" dxfId="253" priority="1435"/>
  </conditionalFormatting>
  <conditionalFormatting sqref="N21:N34 H21:H33 L21:L34 F21:F33">
    <cfRule type="cellIs" dxfId="252" priority="1450" operator="equal">
      <formula>$O$17</formula>
    </cfRule>
    <cfRule type="cellIs" dxfId="251" priority="1449" operator="equal">
      <formula>$O$18</formula>
    </cfRule>
  </conditionalFormatting>
  <conditionalFormatting sqref="N21:N34 H21:H33 L21:L34 F21:F34">
    <cfRule type="cellIs" dxfId="250" priority="1442" operator="equal">
      <formula>$O$10</formula>
    </cfRule>
  </conditionalFormatting>
  <conditionalFormatting sqref="N21:N34">
    <cfRule type="duplicateValues" dxfId="249" priority="1329"/>
    <cfRule type="duplicateValues" dxfId="248" priority="853"/>
  </conditionalFormatting>
  <conditionalFormatting sqref="N22:N23">
    <cfRule type="duplicateValues" dxfId="247" priority="1488"/>
    <cfRule type="duplicateValues" dxfId="246" priority="1486"/>
    <cfRule type="duplicateValues" dxfId="245" priority="1485"/>
  </conditionalFormatting>
  <conditionalFormatting sqref="N27">
    <cfRule type="duplicateValues" dxfId="244" priority="833"/>
    <cfRule type="duplicateValues" dxfId="243" priority="834"/>
    <cfRule type="duplicateValues" dxfId="242" priority="835"/>
  </conditionalFormatting>
  <conditionalFormatting sqref="N32">
    <cfRule type="duplicateValues" dxfId="241" priority="845"/>
    <cfRule type="duplicateValues" dxfId="240" priority="843"/>
    <cfRule type="duplicateValues" dxfId="239" priority="844"/>
  </conditionalFormatting>
  <conditionalFormatting sqref="N32:N33">
    <cfRule type="duplicateValues" dxfId="238" priority="1507"/>
  </conditionalFormatting>
  <conditionalFormatting sqref="N34 L34">
    <cfRule type="cellIs" dxfId="237" priority="729" operator="equal">
      <formula>$O$6</formula>
    </cfRule>
    <cfRule type="cellIs" dxfId="236" priority="722" operator="equal">
      <formula>$O$13</formula>
    </cfRule>
    <cfRule type="cellIs" dxfId="235" priority="730" operator="equal">
      <formula>$O$5</formula>
    </cfRule>
    <cfRule type="cellIs" dxfId="234" priority="723" operator="equal">
      <formula>$O$12</formula>
    </cfRule>
    <cfRule type="cellIs" dxfId="233" priority="724" operator="equal">
      <formula>$O$11</formula>
    </cfRule>
    <cfRule type="cellIs" dxfId="232" priority="725" operator="equal">
      <formula>$O$10</formula>
    </cfRule>
    <cfRule type="cellIs" dxfId="231" priority="726" operator="equal">
      <formula>$O$9</formula>
    </cfRule>
    <cfRule type="cellIs" dxfId="230" priority="727" operator="equal">
      <formula>$O$8</formula>
    </cfRule>
    <cfRule type="cellIs" dxfId="229" priority="733" operator="equal">
      <formula>$O$14</formula>
    </cfRule>
    <cfRule type="cellIs" dxfId="228" priority="728" operator="equal">
      <formula>$O$7</formula>
    </cfRule>
    <cfRule type="cellIs" dxfId="227" priority="732" operator="equal">
      <formula>$O$15</formula>
    </cfRule>
    <cfRule type="cellIs" dxfId="226" priority="731" operator="equal">
      <formula>$O$16</formula>
    </cfRule>
  </conditionalFormatting>
  <conditionalFormatting sqref="N34">
    <cfRule type="cellIs" dxfId="225" priority="1400" operator="equal">
      <formula>$O$7</formula>
    </cfRule>
    <cfRule type="cellIs" dxfId="224" priority="1399" operator="equal">
      <formula>$O$8</formula>
    </cfRule>
    <cfRule type="cellIs" dxfId="223" priority="1398" operator="equal">
      <formula>$O$9</formula>
    </cfRule>
    <cfRule type="cellIs" dxfId="222" priority="1397" operator="equal">
      <formula>$O$10</formula>
    </cfRule>
    <cfRule type="cellIs" dxfId="221" priority="1396" operator="equal">
      <formula>$O$11</formula>
    </cfRule>
    <cfRule type="duplicateValues" dxfId="220" priority="747"/>
    <cfRule type="cellIs" dxfId="219" priority="1395" operator="equal">
      <formula>$O$12</formula>
    </cfRule>
    <cfRule type="cellIs" dxfId="218" priority="1394" operator="equal">
      <formula>$O$13</formula>
    </cfRule>
    <cfRule type="duplicateValues" dxfId="217" priority="1372"/>
    <cfRule type="cellIs" dxfId="216" priority="1371" operator="equal">
      <formula>$O$5</formula>
    </cfRule>
    <cfRule type="cellIs" dxfId="215" priority="1370" operator="equal">
      <formula>$O$6</formula>
    </cfRule>
    <cfRule type="cellIs" dxfId="214" priority="1369" operator="equal">
      <formula>$O$7</formula>
    </cfRule>
    <cfRule type="cellIs" dxfId="213" priority="1368" operator="equal">
      <formula>$O$8</formula>
    </cfRule>
    <cfRule type="cellIs" dxfId="212" priority="1367" operator="equal">
      <formula>$O$9</formula>
    </cfRule>
    <cfRule type="cellIs" dxfId="211" priority="1366" operator="equal">
      <formula>$O$10</formula>
    </cfRule>
    <cfRule type="cellIs" dxfId="210" priority="1365" operator="equal">
      <formula>$O$11</formula>
    </cfRule>
    <cfRule type="cellIs" dxfId="209" priority="1364" operator="equal">
      <formula>$O$12</formula>
    </cfRule>
    <cfRule type="duplicateValues" dxfId="208" priority="1342"/>
    <cfRule type="cellIs" dxfId="207" priority="1341" operator="equal">
      <formula>$O$5</formula>
    </cfRule>
    <cfRule type="cellIs" dxfId="206" priority="1340" operator="equal">
      <formula>$O$6</formula>
    </cfRule>
    <cfRule type="cellIs" dxfId="205" priority="1339" operator="equal">
      <formula>$O$7</formula>
    </cfRule>
    <cfRule type="cellIs" dxfId="204" priority="1338" operator="equal">
      <formula>$O$8</formula>
    </cfRule>
    <cfRule type="cellIs" dxfId="203" priority="1337" operator="equal">
      <formula>$O$9</formula>
    </cfRule>
    <cfRule type="cellIs" dxfId="202" priority="1336" operator="equal">
      <formula>$O$10</formula>
    </cfRule>
    <cfRule type="cellIs" dxfId="201" priority="1335" operator="equal">
      <formula>$O$11</formula>
    </cfRule>
    <cfRule type="cellIs" dxfId="200" priority="1334" operator="equal">
      <formula>$O$12</formula>
    </cfRule>
    <cfRule type="cellIs" dxfId="199" priority="1333" operator="equal">
      <formula>$O$13</formula>
    </cfRule>
    <cfRule type="duplicateValues" dxfId="198" priority="721"/>
    <cfRule type="duplicateValues" dxfId="197" priority="719"/>
    <cfRule type="duplicateValues" dxfId="196" priority="718"/>
    <cfRule type="cellIs" dxfId="195" priority="1363" operator="equal">
      <formula>$O$13</formula>
    </cfRule>
    <cfRule type="duplicateValues" dxfId="194" priority="1403"/>
    <cfRule type="cellIs" dxfId="193" priority="1402" operator="equal">
      <formula>$O$5</formula>
    </cfRule>
    <cfRule type="cellIs" dxfId="192" priority="1401" operator="equal">
      <formula>$O$6</formula>
    </cfRule>
  </conditionalFormatting>
  <conditionalFormatting sqref="N35">
    <cfRule type="duplicateValues" dxfId="190" priority="336"/>
    <cfRule type="duplicateValues" dxfId="186" priority="327"/>
    <cfRule type="duplicateValues" dxfId="185" priority="326"/>
  </conditionalFormatting>
  <conditionalFormatting sqref="N35:N36">
    <cfRule type="cellIs" dxfId="178" priority="316" operator="equal">
      <formula>$O$5</formula>
    </cfRule>
    <cfRule type="duplicateValues" dxfId="177" priority="403"/>
    <cfRule type="cellIs" dxfId="176" priority="290" operator="equal">
      <formula>$O$16</formula>
    </cfRule>
    <cfRule type="duplicateValues" dxfId="175" priority="344"/>
    <cfRule type="duplicateValues" dxfId="174" priority="343"/>
    <cfRule type="cellIs" dxfId="173" priority="289" operator="equal">
      <formula>$O$17</formula>
    </cfRule>
    <cfRule type="cellIs" dxfId="172" priority="288" operator="equal">
      <formula>$O$18</formula>
    </cfRule>
    <cfRule type="cellIs" dxfId="171" priority="287" operator="equal">
      <formula>$O$10</formula>
    </cfRule>
    <cfRule type="cellIs" dxfId="170" priority="291" operator="equal">
      <formula>$O$15</formula>
    </cfRule>
    <cfRule type="cellIs" dxfId="169" priority="295" operator="equal">
      <formula>$O$11</formula>
    </cfRule>
    <cfRule type="cellIs" dxfId="168" priority="292" operator="equal">
      <formula>$O$14</formula>
    </cfRule>
    <cfRule type="cellIs" dxfId="167" priority="294" operator="equal">
      <formula>$O$12</formula>
    </cfRule>
    <cfRule type="cellIs" dxfId="166" priority="293" operator="equal">
      <formula>$O$13</formula>
    </cfRule>
    <cfRule type="duplicateValues" dxfId="165" priority="412"/>
    <cfRule type="cellIs" dxfId="164" priority="312" operator="equal">
      <formula>$O$9</formula>
    </cfRule>
    <cfRule type="duplicateValues" dxfId="163" priority="401"/>
    <cfRule type="cellIs" dxfId="162" priority="313" operator="equal">
      <formula>$O$8</formula>
    </cfRule>
    <cfRule type="cellIs" dxfId="161" priority="314" operator="equal">
      <formula>$O$7</formula>
    </cfRule>
    <cfRule type="cellIs" dxfId="160" priority="315" operator="equal">
      <formula>$O$6</formula>
    </cfRule>
  </conditionalFormatting>
  <conditionalFormatting sqref="N36">
    <cfRule type="duplicateValues" dxfId="157" priority="307"/>
    <cfRule type="duplicateValues" dxfId="156" priority="296"/>
  </conditionalFormatting>
  <conditionalFormatting sqref="N38:N49">
    <cfRule type="duplicateValues" dxfId="147" priority="2002"/>
    <cfRule type="duplicateValues" dxfId="146" priority="2027"/>
  </conditionalFormatting>
  <conditionalFormatting sqref="N38:N50">
    <cfRule type="duplicateValues" dxfId="145" priority="1869"/>
  </conditionalFormatting>
  <conditionalFormatting sqref="N38:N51">
    <cfRule type="duplicateValues" dxfId="144" priority="1591"/>
    <cfRule type="duplicateValues" dxfId="143" priority="1583"/>
  </conditionalFormatting>
  <conditionalFormatting sqref="N49">
    <cfRule type="duplicateValues" dxfId="140" priority="1880"/>
    <cfRule type="duplicateValues" dxfId="139" priority="1879"/>
    <cfRule type="duplicateValues" dxfId="138" priority="1878"/>
    <cfRule type="duplicateValues" dxfId="135" priority="1874"/>
    <cfRule type="duplicateValues" dxfId="134" priority="1887"/>
    <cfRule type="cellIs" dxfId="133" priority="1888" operator="equal">
      <formula>$O$16</formula>
    </cfRule>
    <cfRule type="cellIs" dxfId="132" priority="1889" operator="equal">
      <formula>$O$15</formula>
    </cfRule>
    <cfRule type="cellIs" dxfId="131" priority="1890" operator="equal">
      <formula>$O$14</formula>
    </cfRule>
    <cfRule type="cellIs" dxfId="130" priority="1892" operator="equal">
      <formula>$O$12</formula>
    </cfRule>
    <cfRule type="cellIs" dxfId="129" priority="1893" operator="equal">
      <formula>$O$11</formula>
    </cfRule>
    <cfRule type="cellIs" dxfId="127" priority="1904" operator="equal">
      <formula>$O$6</formula>
    </cfRule>
    <cfRule type="cellIs" dxfId="126" priority="1905" operator="equal">
      <formula>$O$5</formula>
    </cfRule>
    <cfRule type="cellIs" dxfId="125" priority="1903" operator="equal">
      <formula>$O$7</formula>
    </cfRule>
    <cfRule type="cellIs" dxfId="124" priority="1891" operator="equal">
      <formula>$O$13</formula>
    </cfRule>
    <cfRule type="duplicateValues" dxfId="122" priority="1877"/>
    <cfRule type="duplicateValues" dxfId="118" priority="1885"/>
    <cfRule type="cellIs" dxfId="117" priority="1901" operator="equal">
      <formula>$O$9</formula>
    </cfRule>
    <cfRule type="cellIs" dxfId="116" priority="1896" operator="equal">
      <formula>$O$17</formula>
    </cfRule>
    <cfRule type="cellIs" dxfId="115" priority="1895" operator="equal">
      <formula>$O$18</formula>
    </cfRule>
    <cfRule type="cellIs" dxfId="113" priority="1894" operator="equal">
      <formula>$O$10</formula>
    </cfRule>
    <cfRule type="cellIs" dxfId="112" priority="1902" operator="equal">
      <formula>$O$8</formula>
    </cfRule>
  </conditionalFormatting>
  <conditionalFormatting sqref="N50">
    <cfRule type="duplicateValues" dxfId="110" priority="1745"/>
    <cfRule type="duplicateValues" dxfId="109" priority="1746"/>
    <cfRule type="duplicateValues" dxfId="108" priority="1747"/>
    <cfRule type="duplicateValues" dxfId="107" priority="1748"/>
    <cfRule type="duplicateValues" dxfId="102" priority="1753"/>
    <cfRule type="duplicateValues" dxfId="101" priority="1755"/>
    <cfRule type="cellIs" dxfId="100" priority="1756" operator="equal">
      <formula>$O$16</formula>
    </cfRule>
    <cfRule type="cellIs" dxfId="99" priority="1757" operator="equal">
      <formula>$O$15</formula>
    </cfRule>
    <cfRule type="cellIs" dxfId="98" priority="1758" operator="equal">
      <formula>$O$14</formula>
    </cfRule>
    <cfRule type="cellIs" dxfId="97" priority="1759" operator="equal">
      <formula>$O$13</formula>
    </cfRule>
    <cfRule type="cellIs" dxfId="96" priority="1760" operator="equal">
      <formula>$O$12</formula>
    </cfRule>
    <cfRule type="cellIs" dxfId="95" priority="1761" operator="equal">
      <formula>$O$11</formula>
    </cfRule>
    <cfRule type="cellIs" dxfId="94" priority="1762" operator="equal">
      <formula>$O$10</formula>
    </cfRule>
    <cfRule type="cellIs" dxfId="93" priority="1763" operator="equal">
      <formula>$O$18</formula>
    </cfRule>
    <cfRule type="cellIs" dxfId="92" priority="1764" operator="equal">
      <formula>$O$17</formula>
    </cfRule>
    <cfRule type="cellIs" dxfId="91" priority="1769" operator="equal">
      <formula>$O$9</formula>
    </cfRule>
    <cfRule type="cellIs" dxfId="90" priority="1770" operator="equal">
      <formula>$O$8</formula>
    </cfRule>
    <cfRule type="cellIs" dxfId="89" priority="1771" operator="equal">
      <formula>$O$7</formula>
    </cfRule>
    <cfRule type="cellIs" dxfId="88" priority="1772" operator="equal">
      <formula>$O$6</formula>
    </cfRule>
    <cfRule type="cellIs" dxfId="87" priority="1773" operator="equal">
      <formula>$O$5</formula>
    </cfRule>
    <cfRule type="duplicateValues" dxfId="82" priority="1742"/>
  </conditionalFormatting>
  <conditionalFormatting sqref="N51">
    <cfRule type="cellIs" dxfId="80" priority="1626" operator="equal">
      <formula>$O$7</formula>
    </cfRule>
    <cfRule type="duplicateValues" dxfId="79" priority="1712"/>
    <cfRule type="cellIs" dxfId="75" priority="1619" operator="equal">
      <formula>$O$17</formula>
    </cfRule>
    <cfRule type="duplicateValues" dxfId="73" priority="1597"/>
    <cfRule type="cellIs" dxfId="72" priority="1624" operator="equal">
      <formula>$O$9</formula>
    </cfRule>
    <cfRule type="cellIs" dxfId="70" priority="1628" operator="equal">
      <formula>$O$5</formula>
    </cfRule>
    <cfRule type="cellIs" dxfId="69" priority="1625" operator="equal">
      <formula>$O$8</formula>
    </cfRule>
    <cfRule type="cellIs" dxfId="68" priority="1627" operator="equal">
      <formula>$O$6</formula>
    </cfRule>
    <cfRule type="cellIs" dxfId="67" priority="1618" operator="equal">
      <formula>$O$18</formula>
    </cfRule>
    <cfRule type="cellIs" dxfId="66" priority="1617" operator="equal">
      <formula>$O$10</formula>
    </cfRule>
    <cfRule type="cellIs" dxfId="65" priority="1616" operator="equal">
      <formula>$O$11</formula>
    </cfRule>
    <cfRule type="cellIs" dxfId="64" priority="1615" operator="equal">
      <formula>$O$12</formula>
    </cfRule>
    <cfRule type="cellIs" dxfId="63" priority="1614" operator="equal">
      <formula>$O$13</formula>
    </cfRule>
    <cfRule type="cellIs" dxfId="62" priority="1613" operator="equal">
      <formula>$O$14</formula>
    </cfRule>
    <cfRule type="cellIs" dxfId="61" priority="1612" operator="equal">
      <formula>$O$15</formula>
    </cfRule>
    <cfRule type="cellIs" dxfId="60" priority="1611" operator="equal">
      <formula>$O$16</formula>
    </cfRule>
    <cfRule type="duplicateValues" dxfId="59" priority="1610"/>
    <cfRule type="duplicateValues" dxfId="58" priority="1608"/>
    <cfRule type="duplicateValues" dxfId="53" priority="1603"/>
    <cfRule type="duplicateValues" dxfId="52" priority="1602"/>
    <cfRule type="duplicateValues" dxfId="51" priority="1601"/>
    <cfRule type="duplicateValues" dxfId="50" priority="1600"/>
  </conditionalFormatting>
  <conditionalFormatting sqref="N52">
    <cfRule type="duplicateValues" dxfId="48" priority="545"/>
    <cfRule type="duplicateValues" dxfId="47" priority="542"/>
  </conditionalFormatting>
  <conditionalFormatting sqref="N52:N53">
    <cfRule type="cellIs" dxfId="46" priority="555" operator="equal">
      <formula>$O$5</formula>
    </cfRule>
    <cfRule type="cellIs" dxfId="45" priority="554" operator="equal">
      <formula>$O$6</formula>
    </cfRule>
    <cfRule type="cellIs" dxfId="44" priority="553" operator="equal">
      <formula>$O$7</formula>
    </cfRule>
    <cfRule type="cellIs" dxfId="43" priority="552" operator="equal">
      <formula>$O$8</formula>
    </cfRule>
    <cfRule type="cellIs" dxfId="42" priority="551" operator="equal">
      <formula>$O$9</formula>
    </cfRule>
    <cfRule type="cellIs" dxfId="41" priority="549" operator="equal">
      <formula>$O$11</formula>
    </cfRule>
    <cfRule type="duplicateValues" dxfId="40" priority="612"/>
    <cfRule type="cellIs" dxfId="39" priority="550" operator="equal">
      <formula>$O$10</formula>
    </cfRule>
    <cfRule type="cellIs" dxfId="37" priority="548" operator="equal">
      <formula>$O$12</formula>
    </cfRule>
    <cfRule type="cellIs" dxfId="36" priority="547" operator="equal">
      <formula>$O$13</formula>
    </cfRule>
    <cfRule type="duplicateValues" dxfId="35" priority="546"/>
    <cfRule type="duplicateValues" dxfId="34" priority="543"/>
    <cfRule type="containsText" dxfId="33" priority="540" operator="containsText" text="(SV)">
      <formula>NOT(ISERROR(SEARCH("(SV)",N52)))</formula>
    </cfRule>
    <cfRule type="containsText" dxfId="32" priority="539" operator="containsText" text="(HEM)">
      <formula>NOT(ISERROR(SEARCH("(HEM)",N52)))</formula>
    </cfRule>
    <cfRule type="duplicateValues" dxfId="31" priority="570"/>
    <cfRule type="duplicateValues" dxfId="27" priority="615"/>
    <cfRule type="duplicateValues" dxfId="24" priority="572"/>
    <cfRule type="duplicateValues" dxfId="23" priority="571"/>
    <cfRule type="duplicateValues" dxfId="18" priority="559"/>
    <cfRule type="cellIs" dxfId="17" priority="558" operator="equal">
      <formula>$O$17</formula>
    </cfRule>
    <cfRule type="cellIs" dxfId="16" priority="557" operator="equal">
      <formula>$O$18</formula>
    </cfRule>
  </conditionalFormatting>
  <conditionalFormatting sqref="N53">
    <cfRule type="duplicateValues" dxfId="15" priority="541"/>
    <cfRule type="duplicateValues" dxfId="14" priority="544"/>
  </conditionalFormatting>
  <conditionalFormatting sqref="R26">
    <cfRule type="duplicateValues" dxfId="13" priority="7891"/>
    <cfRule type="duplicateValues" dxfId="12" priority="7892"/>
    <cfRule type="duplicateValues" dxfId="11" priority="7893"/>
    <cfRule type="duplicateValues" dxfId="10" priority="7894"/>
  </conditionalFormatting>
  <conditionalFormatting sqref="S64:S70 U63 V4:V59">
    <cfRule type="colorScale" priority="9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59">
    <cfRule type="dataBar" priority="7929">
      <dataBar>
        <cfvo type="num" val="0"/>
        <cfvo type="num" val="16"/>
        <color rgb="FF00FF30"/>
      </dataBar>
      <extLst>
        <ext xmlns:x14="http://schemas.microsoft.com/office/spreadsheetml/2009/9/main" uri="{B025F937-C7B1-47D3-B67F-A62EFF666E3E}">
          <x14:id>{63E584A4-B4BD-4FF0-A2DD-F617B647D7B8}</x14:id>
        </ext>
      </extLst>
    </cfRule>
  </conditionalFormatting>
  <dataValidations count="61">
    <dataValidation type="list" allowBlank="1" showInputMessage="1" sqref="N17 H17 F17 L17" xr:uid="{00000000-0002-0000-0300-000000000000}">
      <formula1>$Y$100:$Y$107</formula1>
    </dataValidation>
    <dataValidation type="list" allowBlank="1" showInputMessage="1" sqref="F25 H25 L25 N25" xr:uid="{00000000-0002-0000-0300-000001000000}">
      <formula1>$I$88:$I$95</formula1>
    </dataValidation>
    <dataValidation type="list" allowBlank="1" showInputMessage="1" sqref="F23 H23 L23 N23" xr:uid="{00000000-0002-0000-0300-000002000000}">
      <formula1>$E$88:$E$95</formula1>
    </dataValidation>
    <dataValidation type="list" allowBlank="1" showInputMessage="1" sqref="F21 L21 H21 N21" xr:uid="{00000000-0002-0000-0300-000003000000}">
      <formula1>$A$88:$A$95</formula1>
    </dataValidation>
    <dataValidation type="list" allowBlank="1" showInputMessage="1" sqref="F33 L33 H33 N33" xr:uid="{00000000-0002-0000-0300-000004000000}">
      <formula1>$Y$88:$Y$95</formula1>
    </dataValidation>
    <dataValidation type="list" allowBlank="1" showInputMessage="1" sqref="F31 L31 H31 N31" xr:uid="{00000000-0002-0000-0300-000005000000}">
      <formula1>$U$88:$U$95</formula1>
    </dataValidation>
    <dataValidation type="list" allowBlank="1" showInputMessage="1" sqref="F30 L30 H30 N30" xr:uid="{00000000-0002-0000-0300-000006000000}">
      <formula1>$S$88:$S$95</formula1>
    </dataValidation>
    <dataValidation type="list" allowBlank="1" showInputMessage="1" sqref="F29 L29 H29 N29" xr:uid="{00000000-0002-0000-0300-000007000000}">
      <formula1>$Q$88:$Q$94</formula1>
    </dataValidation>
    <dataValidation type="list" allowBlank="1" showInputMessage="1" sqref="F28 L28 H28 N28" xr:uid="{00000000-0002-0000-0300-000008000000}">
      <formula1>$O$88:$O$95</formula1>
    </dataValidation>
    <dataValidation type="list" allowBlank="1" showInputMessage="1" sqref="F22 L22 H22 N22" xr:uid="{00000000-0002-0000-0300-000009000000}">
      <formula1>$C$88:$C$95</formula1>
    </dataValidation>
    <dataValidation type="list" allowBlank="1" showInputMessage="1" sqref="F26 N26 L26 H26" xr:uid="{00000000-0002-0000-0300-00000A000000}">
      <formula1>$K$88:$K$94</formula1>
    </dataValidation>
    <dataValidation type="list" allowBlank="1" showInputMessage="1" sqref="H24 N24 L24 F24" xr:uid="{00000000-0002-0000-0300-00000B000000}">
      <formula1>$G$88:$G$94</formula1>
    </dataValidation>
    <dataValidation type="list" allowBlank="1" showInputMessage="1" sqref="F15 N15 L15 H15" xr:uid="{00000000-0002-0000-0300-00000C000000}">
      <formula1>$U$100:$U$107</formula1>
    </dataValidation>
    <dataValidation type="list" allowBlank="1" showInputMessage="1" sqref="F10 N10 L10 H10" xr:uid="{00000000-0002-0000-0300-00000D000000}">
      <formula1>$K$100:$K$107</formula1>
    </dataValidation>
    <dataValidation type="list" allowBlank="1" showInputMessage="1" sqref="F9 N9 L9 H9" xr:uid="{00000000-0002-0000-0300-00000E000000}">
      <formula1>$I$100:$I$107</formula1>
    </dataValidation>
    <dataValidation type="list" allowBlank="1" showInputMessage="1" sqref="F8 N8 L8 H8" xr:uid="{00000000-0002-0000-0300-00000F000000}">
      <formula1>$G$100:$G$107</formula1>
    </dataValidation>
    <dataValidation type="list" allowBlank="1" showInputMessage="1" sqref="F6 N6 L6 H6" xr:uid="{00000000-0002-0000-0300-000010000000}">
      <formula1>$C$100:$C$107</formula1>
    </dataValidation>
    <dataValidation type="list" allowBlank="1" showInputMessage="1" sqref="F7 N7 L7 H7" xr:uid="{00000000-0002-0000-0300-000011000000}">
      <formula1>$E$100:$E$107</formula1>
    </dataValidation>
    <dataValidation type="list" allowBlank="1" showInputMessage="1" sqref="L16 N16 H16 F16 R26" xr:uid="{00000000-0002-0000-0300-000012000000}">
      <formula1>$W$100:$W$107</formula1>
    </dataValidation>
    <dataValidation type="list" allowBlank="1" showInputMessage="1" sqref="F13 N13 L13 H13" xr:uid="{00000000-0002-0000-0300-000013000000}">
      <formula1>$Q$100:$Q$107</formula1>
    </dataValidation>
    <dataValidation type="list" allowBlank="1" showInputMessage="1" sqref="F12 N12 L12 H12" xr:uid="{00000000-0002-0000-0300-000014000000}">
      <formula1>$O$100:$O$107</formula1>
    </dataValidation>
    <dataValidation type="list" allowBlank="1" showInputMessage="1" sqref="F11 L11 N11 H11" xr:uid="{00000000-0002-0000-0300-000015000000}">
      <formula1>$M$100:$M$107</formula1>
    </dataValidation>
    <dataValidation type="list" allowBlank="1" showInputMessage="1" sqref="F5 H5 L5 N5" xr:uid="{00000000-0002-0000-0300-000016000000}">
      <formula1>$A$100:$A$107</formula1>
    </dataValidation>
    <dataValidation type="list" allowBlank="1" showInputMessage="1" sqref="F14 H14 L14 N14" xr:uid="{00000000-0002-0000-0300-000017000000}">
      <formula1>$S$100:$S$106</formula1>
    </dataValidation>
    <dataValidation type="list" allowBlank="1" showInputMessage="1" sqref="H50" xr:uid="{00000000-0002-0000-0300-000018000000}">
      <formula1>$Y$74:$Y$81</formula1>
    </dataValidation>
    <dataValidation type="list" allowBlank="1" showInputMessage="1" sqref="H49" xr:uid="{00000000-0002-0000-0300-000019000000}">
      <formula1>$W$74:$W$81</formula1>
    </dataValidation>
    <dataValidation type="list" allowBlank="1" showInputMessage="1" sqref="H48" xr:uid="{00000000-0002-0000-0300-00001A000000}">
      <formula1>$U$74:$U$81</formula1>
    </dataValidation>
    <dataValidation type="list" allowBlank="1" showInputMessage="1" sqref="H47" xr:uid="{00000000-0002-0000-0300-00001B000000}">
      <formula1>$S$74:$S$81</formula1>
    </dataValidation>
    <dataValidation type="list" allowBlank="1" showInputMessage="1" sqref="H46" xr:uid="{00000000-0002-0000-0300-00001C000000}">
      <formula1>$Q$74:$Q$81</formula1>
    </dataValidation>
    <dataValidation type="list" allowBlank="1" showInputMessage="1" sqref="H45" xr:uid="{00000000-0002-0000-0300-00001D000000}">
      <formula1>$O$74:$O$81</formula1>
    </dataValidation>
    <dataValidation type="list" allowBlank="1" showInputMessage="1" sqref="H44" xr:uid="{00000000-0002-0000-0300-00001E000000}">
      <formula1>$M$74:$M$81</formula1>
    </dataValidation>
    <dataValidation type="list" allowBlank="1" showInputMessage="1" sqref="H43" xr:uid="{00000000-0002-0000-0300-00001F000000}">
      <formula1>$K$74:$K$81</formula1>
    </dataValidation>
    <dataValidation type="list" allowBlank="1" showInputMessage="1" sqref="H42" xr:uid="{00000000-0002-0000-0300-000020000000}">
      <formula1>$I$74:$I$81</formula1>
    </dataValidation>
    <dataValidation type="list" allowBlank="1" showInputMessage="1" sqref="H41" xr:uid="{00000000-0002-0000-0300-000021000000}">
      <formula1>$G$74:$G$81</formula1>
    </dataValidation>
    <dataValidation type="list" allowBlank="1" showInputMessage="1" sqref="H40" xr:uid="{00000000-0002-0000-0300-000022000000}">
      <formula1>$E$74:$E$81</formula1>
    </dataValidation>
    <dataValidation type="list" allowBlank="1" showInputMessage="1" sqref="H39" xr:uid="{00000000-0002-0000-0300-000023000000}">
      <formula1>$C$74:$C$81</formula1>
    </dataValidation>
    <dataValidation type="list" allowBlank="1" showInputMessage="1" sqref="F55:F68 H38 F38:F53" xr:uid="{00000000-0002-0000-0300-000024000000}">
      <formula1>$A$74:$A$81</formula1>
    </dataValidation>
    <dataValidation type="list" allowBlank="1" showInputMessage="1" sqref="F34 N34 L34 H34" xr:uid="{00000000-0002-0000-0300-000025000000}">
      <formula1>$AA$88:$AA$94</formula1>
    </dataValidation>
    <dataValidation type="list" allowBlank="1" showInputMessage="1" sqref="F32 H32 L32 N32" xr:uid="{00000000-0002-0000-0300-000026000000}">
      <formula1>$W$88:$W$95</formula1>
    </dataValidation>
    <dataValidation type="list" allowBlank="1" showInputMessage="1" sqref="F27 H27 L27 N27" xr:uid="{00000000-0002-0000-0300-000027000000}">
      <formula1>$M$88:$M$95</formula1>
    </dataValidation>
    <dataValidation type="list" allowBlank="1" showInputMessage="1" showErrorMessage="1" sqref="N51 L51" xr:uid="{00000000-0002-0000-0300-000028000000}">
      <formula1>$AA$74:$AA$79</formula1>
    </dataValidation>
    <dataValidation type="list" allowBlank="1" showInputMessage="1" showErrorMessage="1" sqref="N50 L50" xr:uid="{00000000-0002-0000-0300-000029000000}">
      <formula1>$Y$74:$Y$79</formula1>
    </dataValidation>
    <dataValidation type="list" allowBlank="1" showInputMessage="1" showErrorMessage="1" sqref="N49 L49" xr:uid="{00000000-0002-0000-0300-00002A000000}">
      <formula1>$W$74:$W$79</formula1>
    </dataValidation>
    <dataValidation type="list" allowBlank="1" showInputMessage="1" showErrorMessage="1" sqref="N48 L48" xr:uid="{00000000-0002-0000-0300-00002B000000}">
      <formula1>$U$74:$U$79</formula1>
    </dataValidation>
    <dataValidation type="list" allowBlank="1" showInputMessage="1" showErrorMessage="1" sqref="N47 L47" xr:uid="{00000000-0002-0000-0300-00002C000000}">
      <formula1>$S$74:$S$79</formula1>
    </dataValidation>
    <dataValidation type="list" allowBlank="1" showInputMessage="1" showErrorMessage="1" sqref="N46 L46" xr:uid="{00000000-0002-0000-0300-00002D000000}">
      <formula1>$Q$74:$Q$79</formula1>
    </dataValidation>
    <dataValidation type="list" allowBlank="1" showInputMessage="1" showErrorMessage="1" sqref="N45 L45" xr:uid="{00000000-0002-0000-0300-00002E000000}">
      <formula1>$O$74:$O$79</formula1>
    </dataValidation>
    <dataValidation type="list" allowBlank="1" showInputMessage="1" showErrorMessage="1" sqref="N44 L44" xr:uid="{00000000-0002-0000-0300-00002F000000}">
      <formula1>$M$74:$M$79</formula1>
    </dataValidation>
    <dataValidation type="list" allowBlank="1" showInputMessage="1" showErrorMessage="1" sqref="N43 L43" xr:uid="{00000000-0002-0000-0300-000030000000}">
      <formula1>$K$74:$K$79</formula1>
    </dataValidation>
    <dataValidation type="list" allowBlank="1" showInputMessage="1" showErrorMessage="1" sqref="N42 L42" xr:uid="{00000000-0002-0000-0300-000031000000}">
      <formula1>$I$74:$I$79</formula1>
    </dataValidation>
    <dataValidation type="list" allowBlank="1" showInputMessage="1" showErrorMessage="1" sqref="N41 L41" xr:uid="{00000000-0002-0000-0300-000032000000}">
      <formula1>$G$74:$G$79</formula1>
    </dataValidation>
    <dataValidation type="list" allowBlank="1" showInputMessage="1" showErrorMessage="1" sqref="N40 L40" xr:uid="{00000000-0002-0000-0300-000033000000}">
      <formula1>$E$74:$E$79</formula1>
    </dataValidation>
    <dataValidation type="list" allowBlank="1" showInputMessage="1" showErrorMessage="1" sqref="N39 L39" xr:uid="{00000000-0002-0000-0300-000034000000}">
      <formula1>$C$74:$C$79</formula1>
    </dataValidation>
    <dataValidation type="list" allowBlank="1" showInputMessage="1" showErrorMessage="1" sqref="N38 L38" xr:uid="{00000000-0002-0000-0300-000035000000}">
      <formula1>$A$74:$A$79</formula1>
    </dataValidation>
    <dataValidation type="list" allowBlank="1" showInputMessage="1" showErrorMessage="1" sqref="K52:K53 M52:M53" xr:uid="{00000000-0002-0000-0300-000036000000}">
      <formula1>$AD$74:$AD$83</formula1>
    </dataValidation>
    <dataValidation type="list" allowBlank="1" showInputMessage="1" showErrorMessage="1" sqref="L52:L53 N52:N53" xr:uid="{00000000-0002-0000-0300-000037000000}">
      <formula1>$AC$74:$AC$83</formula1>
    </dataValidation>
    <dataValidation type="list" allowBlank="1" showInputMessage="1" showErrorMessage="1" sqref="N35:N36 H35:H36 L35:L36" xr:uid="{00000000-0002-0000-0300-000038000000}">
      <formula1>$AC$88:$AC$95</formula1>
    </dataValidation>
    <dataValidation type="list" allowBlank="1" showInputMessage="1" showErrorMessage="1" sqref="E35:E36 G35:G36 K35:K36 M35:M36" xr:uid="{00000000-0002-0000-0300-000039000000}">
      <formula1>$AD$88:$AD$95</formula1>
    </dataValidation>
    <dataValidation type="list" allowBlank="1" showInputMessage="1" showErrorMessage="1" sqref="F18:F19 L18:L19 H18:H19 N18:N19" xr:uid="{00000000-0002-0000-0300-00003A000000}">
      <formula1>$AA$100:$AA$107</formula1>
    </dataValidation>
    <dataValidation type="list" allowBlank="1" showInputMessage="1" showErrorMessage="1" sqref="E18:E19 K18:K19 G18:G19 M18:M19" xr:uid="{00000000-0002-0000-0300-00003B000000}">
      <formula1>$AB$100:$AB$107</formula1>
    </dataValidation>
    <dataValidation type="list" allowBlank="1" showInputMessage="1" showErrorMessage="1" sqref="F35:F36" xr:uid="{00000000-0002-0000-0300-00003C000000}">
      <formula1>$AC$88:$AC$96</formula1>
    </dataValidation>
  </dataValidations>
  <pageMargins left="0.75" right="0.75" top="0.28000000000000003" bottom="0.17" header="0.5" footer="0.5"/>
  <pageSetup scale="77" orientation="landscape" r:id="rId1"/>
  <rowBreaks count="1" manualBreakCount="1">
    <brk id="35" max="16383" man="1"/>
  </rowBreaks>
  <colBreaks count="1" manualBreakCount="1">
    <brk id="16" max="1048575" man="1"/>
  </colBreak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27" operator="containsText" id="{7AE5E553-B18A-48F3-BF19-54D30257BAF8}">
            <xm:f>NOT(ISERROR(SEARCH($O$15,F5)))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7" operator="containsText" id="{E85DB5E5-6B65-4E74-80D7-D6D3B2489F66}">
            <xm:f>NOT(ISERROR(SEARCH($O$14,F5)))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6" operator="containsText" id="{D7C57387-2AAB-45B9-BE70-821053215702}">
            <xm:f>NOT(ISERROR(SEARCH($O$13,F5)))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5" operator="containsText" id="{A5F87BC8-5595-48EE-86CD-FD4E23AAD813}">
            <xm:f>NOT(ISERROR(SEARCH($O$12,F5)))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4" operator="containsText" id="{25B583BE-0FC3-448D-AF39-E6F50AFB7EEB}">
            <xm:f>NOT(ISERROR(SEARCH($O$11,F5)))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F5:F16 H5:H16 L5:L16 N5:N14 N16</xm:sqref>
        </x14:conditionalFormatting>
        <x14:conditionalFormatting xmlns:xm="http://schemas.microsoft.com/office/excel/2006/main">
          <x14:cfRule type="containsText" priority="1303" operator="containsText" id="{796D78E4-088C-447C-A3CC-F1348276811A}">
            <xm:f>NOT(ISERROR(SEARCH($O$9,F5)))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2" operator="containsText" id="{21D6617B-841D-4AA9-8692-31F71B5F3101}">
            <xm:f>NOT(ISERROR(SEARCH($O$8,F5)))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1" operator="containsText" id="{335376FA-FB0B-4E83-B32B-B3A4AF7D3B8D}">
            <xm:f>NOT(ISERROR(SEARCH($O$7,F5)))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9" operator="containsText" id="{FB8FA4F5-4B2F-49C1-B660-0CD70CD497C2}">
            <xm:f>NOT(ISERROR(SEARCH($O$5,F5)))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0" operator="containsText" id="{3644944F-468E-4213-A08B-377DD0D72AA0}">
            <xm:f>NOT(ISERROR(SEARCH($O$6,F5)))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F5:F16 H5:H16 L5:L16</xm:sqref>
        </x14:conditionalFormatting>
        <x14:conditionalFormatting xmlns:xm="http://schemas.microsoft.com/office/excel/2006/main">
          <x14:cfRule type="containsText" priority="272" operator="containsText" id="{5A945874-7211-4AA7-95E9-5E1D50A1D1CD}">
            <xm:f>NOT(ISERROR(SEARCH($O$5,F18)))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73" operator="containsText" id="{6CD7D420-E010-45E2-A7C5-415914F64D26}">
            <xm:f>NOT(ISERROR(SEARCH($O$6,F18)))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74" operator="containsText" id="{23042E29-4132-4326-9423-88784C186C3E}">
            <xm:f>NOT(ISERROR(SEARCH($O$7,F18)))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75" operator="containsText" id="{D767A78F-2EEB-4802-89EF-5FA72973DEFB}">
            <xm:f>NOT(ISERROR(SEARCH($O$8,F18)))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76" operator="containsText" id="{A74EE760-9DA4-43D3-9DFE-EC2FD3702D3A}">
            <xm:f>NOT(ISERROR(SEARCH($O$9,F18)))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77" operator="containsText" id="{10D51E40-DD04-4A01-92BD-DC2B7B78F5DF}">
            <xm:f>NOT(ISERROR(SEARCH($O$11,F18)))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78" operator="containsText" id="{8C4B0ED7-FBA0-41D3-9079-5D092923064C}">
            <xm:f>NOT(ISERROR(SEARCH($O$12,F18)))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79" operator="containsText" id="{2CC1570D-F6BC-4384-8684-B4BF2C9FE299}">
            <xm:f>NOT(ISERROR(SEARCH($O$13,F18)))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81" operator="containsText" id="{46C8543A-3B2B-4496-802D-07C2C9090BE7}">
            <xm:f>NOT(ISERROR(SEARCH($O$15,F18)))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80" operator="containsText" id="{4E3D66A6-E367-4F3D-8056-0399E52EE067}">
            <xm:f>NOT(ISERROR(SEARCH($O$14,F18)))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516" operator="containsText" id="{874DAF76-AD3D-4808-9DF5-46737D1A48F1}">
            <xm:f>NOT(ISERROR(SEARCH($O$15,F21)))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517" operator="containsText" id="{E536A603-8566-4765-9A97-6C4E5D25D3CE}">
            <xm:f>NOT(ISERROR(SEARCH($O$11,F21)))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F21:F33 H21:H33 L21:L33 N21:N33</xm:sqref>
        </x14:conditionalFormatting>
        <x14:conditionalFormatting xmlns:xm="http://schemas.microsoft.com/office/excel/2006/main">
          <x14:cfRule type="containsText" priority="832" operator="containsText" id="{92524844-5ECF-494E-91D2-C5F5A2A2EB60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28" operator="containsText" id="{B8B30E62-5D7F-4708-B7CB-F687560F1CCB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07" operator="containsText" id="{C2DB9795-A38E-446F-8D02-CAF7CF789EF1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03" operator="containsText" id="{A8003429-3108-4BC7-8EFE-2D99E12EAB66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800" operator="containsText" id="{C88CDBE1-32E6-48B5-8A60-B140382108D6}">
            <xm:f>NOT(ISERROR(SEARCH($O$15,F34)))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799" operator="containsText" id="{CBB19C7A-B5CD-4DD9-81D7-30BAF3981061}">
            <xm:f>NOT(ISERROR(SEARCH($O$5,F34)))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98" operator="containsText" id="{0CC977EA-3AF6-4A18-8DA1-A572B5A87AC6}">
            <xm:f>NOT(ISERROR(SEARCH($O$6,F34)))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97" operator="containsText" id="{E1656154-F867-48C5-8417-E9D03CB9D4C4}">
            <xm:f>NOT(ISERROR(SEARCH($O$7,F34)))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96" operator="containsText" id="{EABC0770-EEC6-476C-BDF5-AE1AB355A6E7}">
            <xm:f>NOT(ISERROR(SEARCH($O$8,F34)))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95" operator="containsText" id="{540875D8-3AA2-4BDA-8738-C02F326F185D}">
            <xm:f>NOT(ISERROR(SEARCH($O$9,F34)))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94" operator="containsText" id="{3E0B0485-2622-449F-AC55-7F01D865658B}">
            <xm:f>NOT(ISERROR(SEARCH($O$12,F34)))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93" operator="containsText" id="{19D5ADD9-1EEC-4FAE-85B1-D2B4BC17B8EE}">
            <xm:f>NOT(ISERROR(SEARCH($O$13,F34)))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92" operator="containsText" id="{AAFF81F0-6A01-418C-B0F3-DA8F0C5CEDC9}">
            <xm:f>NOT(ISERROR(SEARCH($O$14,F34)))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801" operator="containsText" id="{E05260F4-049E-4B2B-AA09-8608EA0E086E}">
            <xm:f>NOT(ISERROR(SEARCH($O$11,F34)))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512" operator="containsText" id="{A9480F65-E4B7-4C1D-97BC-687DC51741AF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13" operator="containsText" id="{E7515524-5137-433A-84E8-39F75263DB5A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15" operator="containsText" id="{022A4461-8140-41F0-A151-7EC883E5233E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17" operator="containsText" id="{A3AADF3E-1C41-42A7-9E0F-C02C84FC1539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18" operator="containsText" id="{1E102CCD-416E-4D9A-B4BA-4619B35230AB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19" operator="containsText" id="{1D62C4AF-A76D-4A24-B36C-D5F17686B4AF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21" operator="containsText" id="{9CC60B94-0122-4084-9828-DD7EB0BF6CA4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22" operator="containsText" id="{34DD3E77-184C-4DBF-B1F7-20ECB6FABE57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16" operator="containsText" id="{A2769A60-F7C4-4B4F-8CFE-0A521A1DA468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14" operator="containsText" id="{9B7A21AF-0B77-4EC4-B0B3-4B8FA4013865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84" operator="containsText" id="{08E9ED80-D07E-41C7-BF18-8D36117EB972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85" operator="containsText" id="{5F35C553-E565-4091-BC54-720B1ED3A540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86" operator="containsText" id="{F99D70A5-D9D7-4B0F-9C7E-C11A418E2FE5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87" operator="containsText" id="{18C7C94E-8A35-4F48-B42A-E4B0C4C45508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88" operator="containsText" id="{C472F126-1075-4863-9819-115FFBA8AB25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89" operator="containsText" id="{4FAD450A-3A02-4957-9010-D9158E2F3CB6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90" operator="containsText" id="{4E011010-19BC-4D1F-8E5A-E62B8199C90A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81" operator="containsText" id="{D64734D8-8751-4307-942E-FF66DB9D92BE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82" operator="containsText" id="{DB372F33-D15C-4E25-BD41-F4C2855E5C8B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83" operator="containsText" id="{32D2E977-17B0-479A-856B-AE307CF8D979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2041" operator="containsText" id="{D48A6525-4613-44F7-95F8-33CAC590281E}">
            <xm:f>NOT(ISERROR(SEARCH($O$13,F38)))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7" operator="containsText" id="{171EB97D-1BBC-43C4-9EEA-BE8885669CCF}">
            <xm:f>NOT(ISERROR(SEARCH($O$12,F38)))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2" operator="containsText" id="{8CBEFDDB-1C7D-480E-9E7D-C17BFD0F68BA}">
            <xm:f>NOT(ISERROR(SEARCH($O$5,F38)))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3" operator="containsText" id="{CEFA3E6C-0D21-4427-87A4-1B3817D3AA50}">
            <xm:f>NOT(ISERROR(SEARCH($O$6,F38)))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4" operator="containsText" id="{44511F40-B7A3-4DD7-AE1A-7CDE4A3AE419}">
            <xm:f>NOT(ISERROR(SEARCH($O$8,F38)))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5" operator="containsText" id="{0841519C-5596-45B3-AADA-CF46AFF00637}">
            <xm:f>NOT(ISERROR(SEARCH($O$9,F38)))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6" operator="containsText" id="{0D2B2E2C-73D1-42BA-8672-C881122BAD37}">
            <xm:f>NOT(ISERROR(SEARCH($O$11,F38)))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8" operator="containsText" id="{520D14E6-B37D-4720-B340-647335867359}">
            <xm:f>NOT(ISERROR(SEARCH($O$14,F38)))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9" operator="containsText" id="{2CAF56AB-A3FF-426F-922C-5E838F8D0646}">
            <xm:f>NOT(ISERROR(SEARCH($O$15,F38)))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40" operator="containsText" id="{4FB523CE-DD97-48CA-A13F-379F081C4CBB}">
            <xm:f>NOT(ISERROR(SEARCH($O$7,F38)))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1959" operator="containsText" id="{C3CBF0F7-F1BC-451C-8AF7-1412F319C524}">
            <xm:f>NOT(ISERROR(SEARCH($O$6,F49)))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960" operator="containsText" id="{3951B38C-2109-420A-8475-22E3939125BE}">
            <xm:f>NOT(ISERROR(SEARCH($O$7,F49)))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61" operator="containsText" id="{69BA8A95-D3B5-480E-BA99-8D175F4E9A8F}">
            <xm:f>NOT(ISERROR(SEARCH($O$8,F49)))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62" operator="containsText" id="{81C248DF-CF60-4F61-846F-24869F38C7A2}">
            <xm:f>NOT(ISERROR(SEARCH($O$9,F49)))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1829" operator="containsText" id="{98192188-D872-48B2-8D32-49B7A7EE6B6A}">
            <xm:f>NOT(ISERROR(SEARCH($O$8,F50)))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830" operator="containsText" id="{D09ED612-1B3C-4F76-AA79-690E513DEAF8}">
            <xm:f>NOT(ISERROR(SEARCH($O$9,F50)))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8" operator="containsText" id="{0A2107E2-FDA9-4AD4-976F-7F1017A057E6}">
            <xm:f>NOT(ISERROR(SEARCH($O$7,F50)))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827" operator="containsText" id="{48E035B3-BF05-4E91-B053-6E69A4BD3952}">
            <xm:f>NOT(ISERROR(SEARCH($O$6,F50)))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684" operator="containsText" id="{30DA918E-67A5-4421-8230-E63802363C92}">
            <xm:f>NOT(ISERROR(SEARCH($O$8,F51)))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685" operator="containsText" id="{3E326A5A-8908-4507-BB7B-1D8AC4EBD1D0}">
            <xm:f>NOT(ISERROR(SEARCH($O$9,F51)))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683" operator="containsText" id="{F8C6E6F6-4E6F-4569-A7D4-751FC7847C58}">
            <xm:f>NOT(ISERROR(SEARCH($O$7,F51)))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682" operator="containsText" id="{9B394B67-6BCE-4F2C-803F-40ECAC96B413}">
            <xm:f>NOT(ISERROR(SEARCH($O$6,F51)))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3823" operator="containsText" id="{D93BC92C-9E4C-44B3-BC9D-EFE0EBDFF2DA}">
            <xm:f>NOT(ISERROR(SEARCH($O$15,F55)))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824" operator="containsText" id="{75BEC43F-D7B0-45EF-8AEB-FDD5E2884E33}">
            <xm:f>NOT(ISERROR(SEARCH($O$7,F55)))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825" operator="containsText" id="{4363B033-971B-4BD6-85F4-0D919B43142A}">
            <xm:f>NOT(ISERROR(SEARCH($O$13,F55)))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816" operator="containsText" id="{2736C1AB-39F4-4748-AD8A-F4351C4BB6F1}">
            <xm:f>NOT(ISERROR(SEARCH($O$5,F55)))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817" operator="containsText" id="{7F38BFBD-A151-4F34-ACB3-5311E169EB59}">
            <xm:f>NOT(ISERROR(SEARCH($O$6,F55)))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818" operator="containsText" id="{91FA7150-3EF4-4F3A-A1CC-0966E727019F}">
            <xm:f>NOT(ISERROR(SEARCH($O$8,F55)))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819" operator="containsText" id="{10E53373-8FFF-4221-9FAE-267EDF965234}">
            <xm:f>NOT(ISERROR(SEARCH($O$9,F55)))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820" operator="containsText" id="{26AFB60C-715E-441B-8DA7-9CFA6A5E0D8F}">
            <xm:f>NOT(ISERROR(SEARCH($O$11,F55)))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821" operator="containsText" id="{50F10907-2A3F-49F0-895B-23E6B9AA45EC}">
            <xm:f>NOT(ISERROR(SEARCH($O$12,F55)))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822" operator="containsText" id="{5DB1D85D-34ED-40D2-978D-3D7489EB0B9E}">
            <xm:f>NOT(ISERROR(SEARCH($O$14,F55)))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F55:F66</xm:sqref>
        </x14:conditionalFormatting>
        <x14:conditionalFormatting xmlns:xm="http://schemas.microsoft.com/office/excel/2006/main">
          <x14:cfRule type="containsText" priority="3756" operator="containsText" id="{B225A4EC-4455-4B25-B4D5-B258D22BFD5C}">
            <xm:f>NOT(ISERROR(SEARCH($O$9,F66)))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755" operator="containsText" id="{00EE14BA-88C3-416F-BA6A-4FDEE563D7E7}">
            <xm:f>NOT(ISERROR(SEARCH($O$8,F66)))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754" operator="containsText" id="{F971D938-49DE-40B1-BA8D-D3411A406054}">
            <xm:f>NOT(ISERROR(SEARCH($O$7,F66)))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753" operator="containsText" id="{12CA2F94-1602-4F0E-9EE0-45441EB4D56A}">
            <xm:f>NOT(ISERROR(SEARCH($O$6,F66)))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781" operator="containsText" id="{6907F236-CAB8-49A4-8E3D-3C34AA878796}">
            <xm:f>NOT(ISERROR(SEARCH($O$5,F66)))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780" operator="containsText" id="{B143B1FD-5957-4C43-98B4-AD2F57B0775B}">
            <xm:f>NOT(ISERROR(SEARCH($O$15,F66)))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779" operator="containsText" id="{E12E58A3-E6E7-4D10-97C3-99EA245C950C}">
            <xm:f>NOT(ISERROR(SEARCH($O$12,F66)))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778" operator="containsText" id="{5CF15EF8-6AB1-4F37-ADC3-4E73D76CEDBA}">
            <xm:f>NOT(ISERROR(SEARCH($O$11,F66)))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748" operator="containsText" id="{D0B90CA6-FAD3-4F6A-9578-7CC3AE832943}">
            <xm:f>NOT(ISERROR(SEARCH($O$13,F66)))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747" operator="containsText" id="{A4080114-4731-4796-888F-144D8FD1C24A}">
            <xm:f>NOT(ISERROR(SEARCH($O$14,F66)))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F66</xm:sqref>
        </x14:conditionalFormatting>
        <x14:conditionalFormatting xmlns:xm="http://schemas.microsoft.com/office/excel/2006/main">
          <x14:cfRule type="containsText" priority="3703" operator="containsText" id="{CD17929F-5FD5-4688-ABA0-07FF0FEF737B}">
            <xm:f>NOT(ISERROR(SEARCH($O$6,F67)))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704" operator="containsText" id="{B2315E6F-5E31-43CC-87FD-C59669871AEA}">
            <xm:f>NOT(ISERROR(SEARCH($O$7,F67)))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705" operator="containsText" id="{12780FE4-29E8-4A8F-BAFA-6BF0C11A59D5}">
            <xm:f>NOT(ISERROR(SEARCH($O$8,F67)))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706" operator="containsText" id="{E8C5259F-EBE4-467A-9CF3-2E14DFD15830}">
            <xm:f>NOT(ISERROR(SEARCH($O$9,F67)))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697" operator="containsText" id="{A1D612DC-FE9B-4E74-9CA0-127D19BF5337}">
            <xm:f>NOT(ISERROR(SEARCH($O$14,F67)))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698" operator="containsText" id="{4105E8BA-8E46-4CA4-AA1B-377F3504B907}">
            <xm:f>NOT(ISERROR(SEARCH($O$13,F67)))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728" operator="containsText" id="{C2F6C5E3-2561-459F-999D-4896FAAE901D}">
            <xm:f>NOT(ISERROR(SEARCH($O$11,F67)))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729" operator="containsText" id="{75B95AD1-E45E-4DE2-BCEF-9AFAC89502DE}">
            <xm:f>NOT(ISERROR(SEARCH($O$12,F67)))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730" operator="containsText" id="{5D6A1C19-4F10-4C7A-9F41-C31152A320F4}">
            <xm:f>NOT(ISERROR(SEARCH($O$15,F67)))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731" operator="containsText" id="{B3E1CC5E-7DCB-4A74-B58A-221650B1C61C}">
            <xm:f>NOT(ISERROR(SEARCH($O$5,F67)))</xm:f>
            <xm:f>$O$5</xm:f>
            <x14:dxf>
              <fill>
                <patternFill>
                  <bgColor rgb="FFFF0000"/>
                </patternFill>
              </fill>
            </x14:dxf>
          </x14:cfRule>
          <xm:sqref>F67</xm:sqref>
        </x14:conditionalFormatting>
        <x14:conditionalFormatting xmlns:xm="http://schemas.microsoft.com/office/excel/2006/main">
          <x14:cfRule type="containsText" priority="3649" operator="containsText" id="{5CC2F33D-9DB8-4223-8061-E2B2EF3EBDD9}">
            <xm:f>NOT(ISERROR(SEARCH($O$14,F68)))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650" operator="containsText" id="{BB026243-99FB-477E-8BF6-58AC924F5438}">
            <xm:f>NOT(ISERROR(SEARCH($O$13,F68)))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655" operator="containsText" id="{6BCE3B6E-1FCC-4986-91CF-B980468F44B0}">
            <xm:f>NOT(ISERROR(SEARCH($O$6,F68)))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656" operator="containsText" id="{21926261-DE24-4D0A-8E8B-BB699064D499}">
            <xm:f>NOT(ISERROR(SEARCH($O$7,F68)))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657" operator="containsText" id="{548033C7-0005-4095-ABAE-DB3EC67536DC}">
            <xm:f>NOT(ISERROR(SEARCH($O$8,F68)))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658" operator="containsText" id="{AFA668D7-6EA2-4EB2-A6EB-D6B2C4100F3B}">
            <xm:f>NOT(ISERROR(SEARCH($O$9,F68)))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683" operator="containsText" id="{96F51986-A981-45F7-903B-5B8A12D984C7}">
            <xm:f>NOT(ISERROR(SEARCH($O$5,F68)))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682" operator="containsText" id="{E1076F5E-3174-4B69-BC18-CA1CF22380D5}">
            <xm:f>NOT(ISERROR(SEARCH($O$15,F68)))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681" operator="containsText" id="{6180D0E3-077C-44D9-A8EF-B0504B465929}">
            <xm:f>NOT(ISERROR(SEARCH($O$12,F68)))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680" operator="containsText" id="{F244498C-A965-4B57-A237-7A9998A1BBCA}">
            <xm:f>NOT(ISERROR(SEARCH($O$11,F68)))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F68</xm:sqref>
        </x14:conditionalFormatting>
        <x14:conditionalFormatting xmlns:xm="http://schemas.microsoft.com/office/excel/2006/main">
          <x14:cfRule type="containsText" priority="244" operator="containsText" id="{99399718-83C8-4E73-9AC5-072BD9C8BC6D}">
            <xm:f>NOT(ISERROR(SEARCH($O$13,H18)))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46" operator="containsText" id="{AB8FEEE0-26F5-4479-9F27-0EAEEC9F39FC}">
            <xm:f>NOT(ISERROR(SEARCH($O$15,H18)))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45" operator="containsText" id="{44F719BE-AA52-43BC-82DF-9FCEFAC91C47}">
            <xm:f>NOT(ISERROR(SEARCH($O$14,H18)))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43" operator="containsText" id="{3A7FDF1A-651A-4807-9614-DF2788E7DF72}">
            <xm:f>NOT(ISERROR(SEARCH($O$12,H18)))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42" operator="containsText" id="{F7ABC74F-A8A9-4FD2-9731-BA65E0A3A2CA}">
            <xm:f>NOT(ISERROR(SEARCH($O$11,H18)))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41" operator="containsText" id="{326ED88D-75D3-47F7-8268-5FC99C78BDED}">
            <xm:f>NOT(ISERROR(SEARCH($O$9,H18)))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40" operator="containsText" id="{E421B2F7-E882-48EB-A275-0DEFAEE80EFA}">
            <xm:f>NOT(ISERROR(SEARCH($O$8,H18)))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39" operator="containsText" id="{ECDF41DF-8F1E-4C7E-87F6-8390DEC2B82E}">
            <xm:f>NOT(ISERROR(SEARCH($O$7,H18)))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37" operator="containsText" id="{48AFC2F4-1C7A-4D44-9A37-26811872ADDC}">
            <xm:f>NOT(ISERROR(SEARCH($O$5,H18)))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38" operator="containsText" id="{DB9CB791-CF9F-4068-B259-A53CA343E075}">
            <xm:f>NOT(ISERROR(SEARCH($O$6,H18)))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499" operator="containsText" id="{1307CE18-6D21-461D-94D7-5603C5AA50C9}">
            <xm:f>NOT(ISERROR(SEARCH($O$12,F21)))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2" operator="containsText" id="{374C3323-39EC-4025-8D4E-F438F260BF98}">
            <xm:f>NOT(ISERROR(SEARCH($O$7,F21)))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0" operator="containsText" id="{BE2954B8-6D87-4750-8FB0-69A16A6CD0B5}">
            <xm:f>NOT(ISERROR(SEARCH($O$9,F21)))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3" operator="containsText" id="{84F9AF23-54AF-4DAD-8A59-2F6018B60F6A}">
            <xm:f>NOT(ISERROR(SEARCH($O$6,F21)))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504" operator="containsText" id="{F1B6A166-8080-4C51-A250-A6B4888EB515}">
            <xm:f>NOT(ISERROR(SEARCH($O$5,F21)))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497" operator="containsText" id="{835350A9-CC6A-48E8-9840-A7002A150875}">
            <xm:f>NOT(ISERROR(SEARCH($O$14,F21)))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498" operator="containsText" id="{7F569531-23B9-4339-80DE-D15515E7C145}">
            <xm:f>NOT(ISERROR(SEARCH($O$13,F21)))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H21:H33 L21:L33 N21:N33 F21:F33</xm:sqref>
        </x14:conditionalFormatting>
        <x14:conditionalFormatting xmlns:xm="http://schemas.microsoft.com/office/excel/2006/main">
          <x14:cfRule type="containsText" priority="1522" operator="containsText" id="{8177E295-A679-4020-838B-BACC4C316CB6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480" operator="containsText" id="{533D41E8-C9AF-40A1-A458-C209F058EBE6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818" operator="containsText" id="{6DA19FCB-0CD6-49E6-98C9-A4263DD48B7C}">
            <xm:f>NOT(ISERROR(SEARCH($O$8,H23)))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840" operator="containsText" id="{9233AF4C-425C-4D76-81E1-4EB214739C1D}">
            <xm:f>NOT(ISERROR(SEARCH($O$8,H27)))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850" operator="containsText" id="{2E5B7E3C-0E0B-4F28-9366-207067862391}">
            <xm:f>NOT(ISERROR(SEARCH($O$8,H32)))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H32</xm:sqref>
        </x14:conditionalFormatting>
        <x14:conditionalFormatting xmlns:xm="http://schemas.microsoft.com/office/excel/2006/main">
          <x14:cfRule type="containsText" priority="779" operator="containsText" id="{61FA6E43-8C09-4D13-84CE-DB43EE89C2BC}">
            <xm:f>NOT(ISERROR(SEARCH($O$15,H34)))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780" operator="containsText" id="{B03616FE-B6E2-4DD3-B1E4-9EE2CFBF2B5C}">
            <xm:f>NOT(ISERROR(SEARCH($O$11,H34)))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771" operator="containsText" id="{6B67F827-4D4A-4AF3-8558-97DF92F12971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72" operator="containsText" id="{99AE9209-1877-4E63-A18B-1445421F8811}">
            <xm:f>NOT(ISERROR(SEARCH($O$14,H34)))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73" operator="containsText" id="{617870BB-7F54-474D-BAA6-28A7CF9A086C}">
            <xm:f>NOT(ISERROR(SEARCH($O$13,H34)))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74" operator="containsText" id="{7B4511CE-F15B-45CC-972B-56662101C3F5}">
            <xm:f>NOT(ISERROR(SEARCH($O$12,H34)))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75" operator="containsText" id="{C41AAB3B-2F6B-4086-AF15-502DF2AF24AA}">
            <xm:f>NOT(ISERROR(SEARCH($O$9,H34)))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76" operator="containsText" id="{AA591F7B-F154-4262-B29F-C671C5078555}">
            <xm:f>NOT(ISERROR(SEARCH($O$7,H34)))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77" operator="containsText" id="{09FFCEA4-BAEF-437C-A908-1749CF8B8AA7}">
            <xm:f>NOT(ISERROR(SEARCH($O$6,H34)))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778" operator="containsText" id="{48AFABFE-822B-4E85-8FBD-D12AA41E7263}">
            <xm:f>NOT(ISERROR(SEARCH($O$5,H34)))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459" operator="containsText" id="{B97518BC-F35A-4B8F-9253-BE8D44DAE590}">
            <xm:f>NOT(ISERROR(SEARCH($O$7,H35)))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61" operator="containsText" id="{28EAE3C0-0B00-472C-AACA-A40CC73AD24B}">
            <xm:f>NOT(ISERROR(SEARCH($O$5,H35)))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55" operator="containsText" id="{ACE9DC54-7319-43B8-B310-E0D7D865EAFE}">
            <xm:f>NOT(ISERROR(SEARCH($O$13,H35)))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456" operator="containsText" id="{A433AD7E-7643-408C-992D-5340FC3D347C}">
            <xm:f>NOT(ISERROR(SEARCH($O$12,H35)))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58" operator="containsText" id="{919F3D37-A1F5-4205-9C0B-9DE7E0C690CB}">
            <xm:f>NOT(ISERROR(SEARCH($O$8,H35)))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57" operator="containsText" id="{42A5278F-446D-43BD-9A19-0EB8718ADEF0}">
            <xm:f>NOT(ISERROR(SEARCH($O$9,H35)))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60" operator="containsText" id="{3909E729-69E6-4D9E-BEDF-6FEBA484C7C7}">
            <xm:f>NOT(ISERROR(SEARCH($O$6,H35)))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64" operator="containsText" id="{A0475172-B303-4F61-B653-7713FF0F0D25}">
            <xm:f>NOT(ISERROR(SEARCH($O$11,H35)))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54" operator="containsText" id="{D6F26854-2DD0-45F1-9930-677A50B1F49E}">
            <xm:f>NOT(ISERROR(SEARCH($O$14,H35)))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63" operator="containsText" id="{71BD1231-4664-4A1A-93AE-9D985A0C6648}">
            <xm:f>NOT(ISERROR(SEARCH($O$15,H35)))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23" operator="containsText" id="{3E854492-4190-4A64-BF53-2C5678520702}">
            <xm:f>NOT(ISERROR(SEARCH($O$14,H36)))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430" operator="containsText" id="{1A58032B-0F02-45CF-9B45-B9A6B59BE392}">
            <xm:f>NOT(ISERROR(SEARCH($O$5,H36)))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425" operator="containsText" id="{A59B7AF3-7804-4001-A565-71193A22FEFF}">
            <xm:f>NOT(ISERROR(SEARCH($O$12,H36)))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426" operator="containsText" id="{6055480F-E5F3-4F9C-8BED-BC8CB1DFD24A}">
            <xm:f>NOT(ISERROR(SEARCH($O$9,H36)))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27" operator="containsText" id="{F59BCA4F-7C34-40E1-9EBD-6853561687F6}">
            <xm:f>NOT(ISERROR(SEARCH($O$8,H36)))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428" operator="containsText" id="{B425A4F7-8703-4074-A664-D983BCA3A9AC}">
            <xm:f>NOT(ISERROR(SEARCH($O$7,H36)))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429" operator="containsText" id="{3DA65427-9D2A-4B71-8128-D63F19980575}">
            <xm:f>NOT(ISERROR(SEARCH($O$6,H36)))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431" operator="containsText" id="{75B753EA-FD68-4AEE-A640-D941F837997D}">
            <xm:f>NOT(ISERROR(SEARCH($O$15,H36)))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432" operator="containsText" id="{FAC12725-65F3-408D-BE69-5B447461BD24}">
            <xm:f>NOT(ISERROR(SEARCH($O$11,H36)))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424" operator="containsText" id="{8DB5D608-1416-4DD7-89F9-5F9A3CECD181}">
            <xm:f>NOT(ISERROR(SEARCH($O$13,H36)))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986" operator="containsText" id="{FF4C6FEB-BF3B-45C3-AC48-32CCD9797CC0}">
            <xm:f>NOT(ISERROR(SEARCH($O$12,F49)))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8" operator="containsText" id="{4A68ECDF-61A5-4059-B9AA-42322D4693A8}">
            <xm:f>NOT(ISERROR(SEARCH($O$5,F49)))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5" operator="containsText" id="{EE074428-5EB2-429D-BCE8-8DAA412F5BCF}">
            <xm:f>NOT(ISERROR(SEARCH($O$11,F49)))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950" operator="containsText" id="{2CB2E9DA-E603-4145-95DA-007F5C52AE83}">
            <xm:f>NOT(ISERROR(SEARCH($O$14,F49)))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87" operator="containsText" id="{8F3505C7-EC3D-44D1-A052-AA6D35CF122A}">
            <xm:f>NOT(ISERROR(SEARCH($O$15,F49)))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51" operator="containsText" id="{EF38004E-5A9B-4E05-8AAA-5DE192B515C4}">
            <xm:f>NOT(ISERROR(SEARCH($O$13,F49)))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1855" operator="containsText" id="{32D81D6F-AD75-4DE8-A6AB-C1226E62EC0A}">
            <xm:f>NOT(ISERROR(SEARCH($O$15,F50)))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9" operator="containsText" id="{A3BDB395-CD67-4116-90E8-9DA1CF5587D2}">
            <xm:f>NOT(ISERROR(SEARCH($O$13,F50)))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8" operator="containsText" id="{0C1DF86B-9441-493A-A147-06F9E43FBC5B}">
            <xm:f>NOT(ISERROR(SEARCH($O$14,F50)))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854" operator="containsText" id="{B6DE5C19-78A5-4801-995B-EA24E8F008DD}">
            <xm:f>NOT(ISERROR(SEARCH($O$12,F50)))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53" operator="containsText" id="{963DAE12-A081-482F-8ACD-AABBFE5D9A9C}">
            <xm:f>NOT(ISERROR(SEARCH($O$11,F50)))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856" operator="containsText" id="{4C1BC14D-83E0-4C73-88D7-E5236DC93651}">
            <xm:f>NOT(ISERROR(SEARCH($O$5,F50)))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708" operator="containsText" id="{C8755C1A-33A8-44D9-B066-B7CD028CDB39}">
            <xm:f>NOT(ISERROR(SEARCH($O$11,F51)))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1" operator="containsText" id="{5DECA3A5-7582-45A5-A1ED-C834E678E059}">
            <xm:f>NOT(ISERROR(SEARCH($O$5,F51)))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710" operator="containsText" id="{EB713C10-6CFB-4DED-8DD3-082C33EF031B}">
            <xm:f>NOT(ISERROR(SEARCH($O$15,F51)))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73" operator="containsText" id="{6FC162AB-BE20-4D7D-82E9-4BCB767DD5D2}">
            <xm:f>NOT(ISERROR(SEARCH($O$14,F51)))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674" operator="containsText" id="{83694F58-6AA5-48C1-B6A9-989E8D4B857F}">
            <xm:f>NOT(ISERROR(SEARCH($O$13,F51)))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709" operator="containsText" id="{7388346D-D97A-41FA-9F27-950F1665C525}">
            <xm:f>NOT(ISERROR(SEARCH($O$12,F51)))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211" operator="containsText" id="{A9A50EDD-ACFF-44D0-BEBA-56F229DBF32A}">
            <xm:f>NOT(ISERROR(SEARCH($O$15,L18)))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6" operator="containsText" id="{6EA37D2E-753F-43C4-893D-502858FDD3CA}">
            <xm:f>NOT(ISERROR(SEARCH($O$9,L18)))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10" operator="containsText" id="{78A94BDD-1701-466E-992F-7CF42A01FA98}">
            <xm:f>NOT(ISERROR(SEARCH($O$14,L18)))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207" operator="containsText" id="{86D19BFB-8B8B-4081-8B03-B607B4B812B9}">
            <xm:f>NOT(ISERROR(SEARCH($O$11,L18)))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209" operator="containsText" id="{6A50BAE9-4077-4725-B6C1-685F0B87D103}">
            <xm:f>NOT(ISERROR(SEARCH($O$13,L18)))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208" operator="containsText" id="{5C763EA6-71EC-4F0F-8541-E8836FAC9C6D}">
            <xm:f>NOT(ISERROR(SEARCH($O$12,L18)))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205" operator="containsText" id="{829E2252-C29A-4B88-8D94-7EB20AE245B3}">
            <xm:f>NOT(ISERROR(SEARCH($O$8,L18)))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204" operator="containsText" id="{A740DA20-542C-4C99-9F6C-DAF85789CCB0}">
            <xm:f>NOT(ISERROR(SEARCH($O$7,L18)))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203" operator="containsText" id="{6BA06751-5916-4714-AC5B-1B27801FC029}">
            <xm:f>NOT(ISERROR(SEARCH($O$6,L18)))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02" operator="containsText" id="{DF4795D5-E2A8-4484-A92C-EC7889C38541}">
            <xm:f>NOT(ISERROR(SEARCH($O$5,L18)))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L18:L19 N18:N19</xm:sqref>
        </x14:conditionalFormatting>
        <x14:conditionalFormatting xmlns:xm="http://schemas.microsoft.com/office/excel/2006/main">
          <x14:cfRule type="containsText" priority="1479" operator="containsText" id="{708D67F7-E19E-4909-B6D0-688CF4BF172A}">
            <xm:f>NOT(ISERROR(SEARCH($O$8,L21)))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1501" operator="containsText" id="{1DC2490D-8D6C-4E2D-955F-DB7331B85F86}">
            <xm:f>NOT(ISERROR(SEARCH($O$8,F21)))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L21:L33 N21:N33 F21:F33</xm:sqref>
        </x14:conditionalFormatting>
        <x14:conditionalFormatting xmlns:xm="http://schemas.microsoft.com/office/excel/2006/main">
          <x14:cfRule type="containsText" priority="740" operator="containsText" id="{9869EE2B-83BB-406B-891E-ED7B97370149}">
            <xm:f>NOT(ISERROR(SEARCH($O$13,L34)))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746" operator="containsText" id="{7FA070CB-A44F-4DF1-A564-C3BDFC2C96A3}">
            <xm:f>NOT(ISERROR(SEARCH($O$5,L34)))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743" operator="containsText" id="{00477350-6F18-4F5C-BF61-840E4545E9A3}">
            <xm:f>NOT(ISERROR(SEARCH($O$8,L34)))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744" operator="containsText" id="{06E85390-2FFB-4634-B875-14F9ADBFFA99}">
            <xm:f>NOT(ISERROR(SEARCH($O$7,L34)))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741" operator="containsText" id="{DA6A2A9C-BE8C-4C8B-A196-D3F0391BE921}">
            <xm:f>NOT(ISERROR(SEARCH($O$12,L34)))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742" operator="containsText" id="{93D72C20-4116-4AA3-A192-D3AFFC691278}">
            <xm:f>NOT(ISERROR(SEARCH($O$9,L34)))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49" operator="containsText" id="{B116A9FC-54B4-434C-8A5B-E7BAC3A27076}">
            <xm:f>NOT(ISERROR(SEARCH($O$15,L34)))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750" operator="containsText" id="{5567DA9D-6B9C-435F-973D-1E2FD158A4AC}">
            <xm:f>NOT(ISERROR(SEARCH($O$11,L34)))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739" operator="containsText" id="{E72EF95A-7EE6-415D-AD8C-7BBF89601EB0}">
            <xm:f>NOT(ISERROR(SEARCH($O$14,L34)))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745" operator="containsText" id="{8145D670-43C3-478F-B0AD-C9260AA3FCA1}">
            <xm:f>NOT(ISERROR(SEARCH($O$6,L34)))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392" operator="containsText" id="{D8700837-B594-4AF8-A8DC-ACDFDF65C7E4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93" operator="containsText" id="{7DD163E1-D02E-4146-A5E6-11C181691809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95" operator="containsText" id="{254312B5-B3AF-4917-9EE4-14FC423CD89D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96" operator="containsText" id="{9225461F-A4C1-4D1F-94B1-920BFCA685BA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90" operator="containsText" id="{02AE3D3E-4C5A-4B00-8958-A712692CFBF0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91" operator="containsText" id="{CFEC544E-E188-4E8E-B7E8-CA1041FBC43F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86" operator="containsText" id="{4243D625-6E9D-4269-830F-B87080FB664B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87" operator="containsText" id="{353AE85B-58A1-4E66-AF7A-1037D683CD1B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88" operator="containsText" id="{9B5EF8AA-C3E1-47FB-A1DA-38CC4E3CC991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89" operator="containsText" id="{40A9262C-DEC2-4AF8-8753-FB2982933670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59" operator="containsText" id="{F2168A07-1503-41B3-812C-80A396286F02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64" operator="containsText" id="{53A41F92-7C2A-4442-8003-5331EDFD9BFB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63" operator="containsText" id="{71492725-4C9D-48AA-A37C-36F40D4E9854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62" operator="containsText" id="{CD239AA2-F7C4-4D9D-AE3B-0E5DD65C70F5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61" operator="containsText" id="{7687835F-EB55-433F-B9A6-794E82759285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60" operator="containsText" id="{E71BCFE8-29CF-4805-AE0C-C232B608B8EF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58" operator="containsText" id="{AEBA93B7-76E9-42E2-AA7F-B1253C28B39A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57" operator="containsText" id="{03F9B637-FDB7-4AC8-8C09-F375F844DAAE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56" operator="containsText" id="{4CF3D7FB-46CF-4688-91D8-D82F6CAF43B1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55" operator="containsText" id="{D8DBCADE-CF13-48F0-9A1E-C61B09FFC502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1919" operator="containsText" id="{E0A33BD4-9173-4CF7-A761-5B21C76E1904}">
            <xm:f>NOT(ISERROR(SEARCH($O$8,L49)))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8" operator="containsText" id="{72E5261A-4241-48BF-9F5E-4712266F28A7}">
            <xm:f>NOT(ISERROR(SEARCH($O$7,L49)))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7" operator="containsText" id="{5381156D-5742-4662-938A-43ECA001D5B0}">
            <xm:f>NOT(ISERROR(SEARCH($O$6,L49)))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2" operator="containsText" id="{D4B56E2E-0A9F-43C1-9D87-0FA5D5AC89B5}">
            <xm:f>NOT(ISERROR(SEARCH($O$13,L49)))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911" operator="containsText" id="{ED372AE9-FBF3-4D1E-A850-7C289AB1E908}">
            <xm:f>NOT(ISERROR(SEARCH($O$14,L49)))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2" operator="containsText" id="{81A163A2-1202-46EA-9D50-7BA0980E5E1B}">
            <xm:f>NOT(ISERROR(SEARCH($O$11,L49)))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3" operator="containsText" id="{C4A2FC5C-CB99-4476-A78F-0C8F10BF5C7D}">
            <xm:f>NOT(ISERROR(SEARCH($O$12,L49)))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4" operator="containsText" id="{0B7FD173-00C4-4C27-ACD9-40832908954C}">
            <xm:f>NOT(ISERROR(SEARCH($O$15,L49)))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45" operator="containsText" id="{E1DBD114-B554-4B09-9CA1-D772011FFDE5}">
            <xm:f>NOT(ISERROR(SEARCH($O$5,L49)))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20" operator="containsText" id="{0F95753F-86EC-443A-B238-AC157A65F7CD}">
            <xm:f>NOT(ISERROR(SEARCH($O$9,L49)))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813" operator="containsText" id="{77981AA6-CEE0-4266-A0D0-C808B94BE048}">
            <xm:f>NOT(ISERROR(SEARCH($O$5,L50)))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2" operator="containsText" id="{64E1AE37-604A-433B-9F71-4709023DD341}">
            <xm:f>NOT(ISERROR(SEARCH($O$15,L50)))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1" operator="containsText" id="{C87F3B0F-3807-4FAF-9F39-433EA505566B}">
            <xm:f>NOT(ISERROR(SEARCH($O$12,L50)))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10" operator="containsText" id="{CA2E1BFA-BAFE-4B4F-9785-B9D61DFE58F1}">
            <xm:f>NOT(ISERROR(SEARCH($O$11,L50)))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788" operator="containsText" id="{F53DEAC9-CD62-4F0F-B1E8-81E3E9843913}">
            <xm:f>NOT(ISERROR(SEARCH($O$9,L50)))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786" operator="containsText" id="{4DAA2D69-1F5B-4559-A525-7D9597369AD8}">
            <xm:f>NOT(ISERROR(SEARCH($O$7,L50)))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785" operator="containsText" id="{BBFD0309-86CE-4200-9745-67825FC3149C}">
            <xm:f>NOT(ISERROR(SEARCH($O$6,L50)))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780" operator="containsText" id="{CBD01AC7-A9B3-425E-8592-5AA54C280933}">
            <xm:f>NOT(ISERROR(SEARCH($O$13,L50)))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779" operator="containsText" id="{2948D94E-D68A-439B-9403-006F003F7227}">
            <xm:f>NOT(ISERROR(SEARCH($O$14,L50)))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787" operator="containsText" id="{8D5A94EB-289B-40C3-97D2-779555146E4A}">
            <xm:f>NOT(ISERROR(SEARCH($O$8,L50)))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643" operator="containsText" id="{C576C645-B723-4368-8C1C-2CB7C0778A51}">
            <xm:f>NOT(ISERROR(SEARCH($O$9,L51)))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2" operator="containsText" id="{7F2A4F9B-876D-4FF3-8299-C75CECAD02DD}">
            <xm:f>NOT(ISERROR(SEARCH($O$8,L51)))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1" operator="containsText" id="{96BE38B1-3E3C-4938-9BB7-910E3F3223A3}">
            <xm:f>NOT(ISERROR(SEARCH($O$7,L51)))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667" operator="containsText" id="{CF1EE349-FBE1-4A33-B205-D639071CFF09}">
            <xm:f>NOT(ISERROR(SEARCH($O$15,L51)))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68" operator="containsText" id="{C0461774-DCD7-494B-9392-44DA2D5EA0ED}">
            <xm:f>NOT(ISERROR(SEARCH($O$5,L51)))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40" operator="containsText" id="{8BFAE9B1-22C0-43EF-8241-85ACA77FA318}">
            <xm:f>NOT(ISERROR(SEARCH($O$6,L51)))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635" operator="containsText" id="{83F46BD4-9FFD-42BC-8C51-597A34D82E4D}">
            <xm:f>NOT(ISERROR(SEARCH($O$13,L51)))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634" operator="containsText" id="{7C5249D7-23D4-4F0D-A0A8-753514845CB6}">
            <xm:f>NOT(ISERROR(SEARCH($O$14,L51)))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665" operator="containsText" id="{758E7A5B-B544-44B3-9B66-15B4874F2422}">
            <xm:f>NOT(ISERROR(SEARCH($O$11,L51)))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666" operator="containsText" id="{92790DF5-F5B4-4D5B-8D3D-FA5F30790654}">
            <xm:f>NOT(ISERROR(SEARCH($O$12,L51)))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594" operator="containsText" id="{BD3F8464-732A-49A3-9F14-5A293714E000}">
            <xm:f>NOT(ISERROR(SEARCH($O$5,L52)))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595" operator="containsText" id="{F1725F09-5EEA-4ED7-A79B-4A3342E40F8F}">
            <xm:f>NOT(ISERROR(SEARCH($O$6,L52)))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96" operator="containsText" id="{E24D5DD0-FDB1-4B82-B74F-7C834EEAC5AE}">
            <xm:f>NOT(ISERROR(SEARCH($O$8,L52)))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603" operator="containsText" id="{E0D5ED94-B26A-42FD-BF86-DB352C98F7CD}">
            <xm:f>NOT(ISERROR(SEARCH($O$13,L52)))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97" operator="containsText" id="{3373349A-293B-42A9-943F-50720B5EE253}">
            <xm:f>NOT(ISERROR(SEARCH($O$9,L52)))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02" operator="containsText" id="{3FDAE642-11EF-49FE-BA27-A5A3815F1A7B}">
            <xm:f>NOT(ISERROR(SEARCH($O$7,L52)))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98" operator="containsText" id="{EBBBBFB0-2899-4456-BE6A-0B59585E4F62}">
            <xm:f>NOT(ISERROR(SEARCH($O$11,L52)))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99" operator="containsText" id="{712F52FB-E366-4744-9100-A8CEBF325AE1}">
            <xm:f>NOT(ISERROR(SEARCH($O$12,L52)))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600" operator="containsText" id="{0AEC0652-911C-4DD3-BCB6-3EACA4839BF0}">
            <xm:f>NOT(ISERROR(SEARCH($O$14,L52)))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601" operator="containsText" id="{2A4553E6-73A4-4A26-B9BE-CC5F9D7AEBC4}">
            <xm:f>NOT(ISERROR(SEARCH($O$15,L52)))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1310" operator="containsText" id="{BAA4C824-301B-438D-B6DF-7E20D6177328}">
            <xm:f>NOT(ISERROR(SEARCH($O$7,N5)))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9" operator="containsText" id="{F2851A04-2C43-450D-984C-BE2F149E588D}">
            <xm:f>NOT(ISERROR(SEARCH($O$6,N5)))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8" operator="containsText" id="{D68986C6-D2C2-43EF-818F-0F4C7BBF0013}">
            <xm:f>NOT(ISERROR(SEARCH($O$5,N5)))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312" operator="containsText" id="{A9A98F4A-1517-4CD9-BC88-9A819AED5DDE}">
            <xm:f>NOT(ISERROR(SEARCH($O$9,N5)))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311" operator="containsText" id="{B017EA7D-B3FF-49FC-8A54-2FA47451ADCB}">
            <xm:f>NOT(ISERROR(SEARCH($O$8,N5)))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N5:N16</xm:sqref>
        </x14:conditionalFormatting>
        <x14:conditionalFormatting xmlns:xm="http://schemas.microsoft.com/office/excel/2006/main">
          <x14:cfRule type="containsText" priority="1323" stopIfTrue="1" operator="containsText" id="{9EF10844-D0D1-4787-9803-7753C032EFC9}">
            <xm:f>NOT(ISERROR(SEARCH($O$11,N15)))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4" stopIfTrue="1" operator="containsText" id="{A9CED758-8156-4421-AEFD-E3E3FF40AF58}">
            <xm:f>NOT(ISERROR(SEARCH($O$12,N15)))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5" stopIfTrue="1" operator="containsText" id="{57F1922C-5E55-4D55-A333-F7EEAACEA02D}">
            <xm:f>NOT(ISERROR(SEARCH($O$13,N15)))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6" stopIfTrue="1" operator="containsText" id="{361526BC-3296-491C-B876-C84D149FA64D}">
            <xm:f>NOT(ISERROR(SEARCH($O$14,N15)))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28" stopIfTrue="1" operator="containsText" id="{A49C9BD5-2D85-4D10-B7CC-6D8733287FF7}">
            <xm:f>NOT(ISERROR(SEARCH($O$15,N15)))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811" operator="containsText" id="{EB0E0C68-03C3-4BAB-A822-FEAA64BB1C18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521" operator="containsText" id="{61A569B8-8943-450B-BAEC-ECA96F207922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337" operator="containsText" id="{A43A00CF-1538-4311-9C19-841317663D34}">
            <xm:f>NOT(ISERROR(SEARCH($O$15,N35)))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35" operator="containsText" id="{22E31213-E6FB-4B1F-B95C-61F6393F1F64}">
            <xm:f>NOT(ISERROR(SEARCH($O$5,N35)))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333" operator="containsText" id="{539DD7B8-791E-4FC7-B15A-690EDA6DFDD6}">
            <xm:f>NOT(ISERROR(SEARCH($O$7,N35)))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28" operator="containsText" id="{FA0E6844-31ED-453C-92BF-B126A8CDA109}">
            <xm:f>NOT(ISERROR(SEARCH($O$14,N35)))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332" operator="containsText" id="{9078B1A8-AA2F-4CE0-83AD-E914CA1B3BCE}">
            <xm:f>NOT(ISERROR(SEARCH($O$8,N35)))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31" operator="containsText" id="{7F8324BA-CC1C-4ADE-BB65-207456313042}">
            <xm:f>NOT(ISERROR(SEARCH($O$9,N35)))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30" operator="containsText" id="{F2711D38-63BF-4DF0-B213-B2CB908CF21E}">
            <xm:f>NOT(ISERROR(SEARCH($O$12,N35)))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29" operator="containsText" id="{4C5349A3-7344-4816-A2D4-30A059336539}">
            <xm:f>NOT(ISERROR(SEARCH($O$13,N35)))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34" operator="containsText" id="{1BBBD920-E38F-4AAE-888C-9EC81239FA9D}">
            <xm:f>NOT(ISERROR(SEARCH($O$6,N35)))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338" operator="containsText" id="{2DF76B27-6F6B-4B44-A4F5-FD49D306ABDF}">
            <xm:f>NOT(ISERROR(SEARCH($O$11,N35)))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05" operator="containsText" id="{8348C4B9-E481-4784-BB1E-E73BE05DBB24}">
            <xm:f>NOT(ISERROR(SEARCH($O$15,N36)))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00" operator="containsText" id="{297BEB1F-F681-43FC-B071-09E1E89965DE}">
            <xm:f>NOT(ISERROR(SEARCH($O$9,N36)))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99" operator="containsText" id="{ADCB7316-E16F-45E9-90BB-C9E63B38FAD6}">
            <xm:f>NOT(ISERROR(SEARCH($O$12,N36)))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303" operator="containsText" id="{BB659AEC-65B6-4448-8457-2067392F4344}">
            <xm:f>NOT(ISERROR(SEARCH($O$6,N36)))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98" operator="containsText" id="{9E93491E-8221-47C6-A515-A63F52A9427E}">
            <xm:f>NOT(ISERROR(SEARCH($O$13,N36)))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306" operator="containsText" id="{B5C17954-5D06-482D-B501-C71EE76F6BB1}">
            <xm:f>NOT(ISERROR(SEARCH($O$11,N36)))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302" operator="containsText" id="{5B49B2FD-3AFE-4178-900D-03EDF6358473}">
            <xm:f>NOT(ISERROR(SEARCH($O$7,N36)))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301" operator="containsText" id="{E3A0DC03-144D-499B-A43A-CD3AABBB0216}">
            <xm:f>NOT(ISERROR(SEARCH($O$8,N36)))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304" operator="containsText" id="{EBE4B231-D626-416B-8FC1-D31A2C95CCBB}">
            <xm:f>NOT(ISERROR(SEARCH($O$5,N36)))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97" operator="containsText" id="{84FFBB37-F50D-4D3E-975E-E2F50E48603A}">
            <xm:f>NOT(ISERROR(SEARCH($O$14,N36)))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1882" operator="containsText" id="{B0787764-CF00-4375-95A1-9DDC2AA8B40E}">
            <xm:f>NOT(ISERROR(SEARCH($O$7,N49)))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881" operator="containsText" id="{2D64E772-1CC0-4336-84BA-0A3791268FDF}">
            <xm:f>NOT(ISERROR(SEARCH($O$6,N49)))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876" operator="containsText" id="{53AB262C-6699-4639-ADDB-9D79C18CC8E0}">
            <xm:f>NOT(ISERROR(SEARCH($O$13,N49)))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875" operator="containsText" id="{3039BE2F-61A5-48F1-943D-60D5C5B5549E}">
            <xm:f>NOT(ISERROR(SEARCH($O$14,N49)))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884" operator="containsText" id="{CAC6E3D4-1830-4FE4-BB84-3D6D2355A40B}">
            <xm:f>NOT(ISERROR(SEARCH($O$9,N49)))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6" operator="containsText" id="{214EBDC4-269A-4B65-844C-13E8BD56F586}">
            <xm:f>NOT(ISERROR(SEARCH($O$11,N49)))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9" operator="containsText" id="{95DE01AE-5FC1-49BE-ABC1-90AB0EC9F99C}">
            <xm:f>NOT(ISERROR(SEARCH($O$5,N49)))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7" operator="containsText" id="{AB6905AC-8979-4B13-BC31-01419BDDFEAF}">
            <xm:f>NOT(ISERROR(SEARCH($O$12,N49)))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883" operator="containsText" id="{1BAD9E19-A9DD-43DA-8337-BB7985393F30}">
            <xm:f>NOT(ISERROR(SEARCH($O$8,N49)))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908" operator="containsText" id="{8B4F48F0-6C35-4825-B7FE-962963886B8D}">
            <xm:f>NOT(ISERROR(SEARCH($O$15,N49)))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744" operator="containsText" id="{C2B11561-966B-4B4B-818D-F0942292B9DB}">
            <xm:f>NOT(ISERROR(SEARCH($O$13,N50)))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1749" operator="containsText" id="{90769633-F2D1-4F7F-8FF3-63922F303540}">
            <xm:f>NOT(ISERROR(SEARCH($O$6,N50)))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750" operator="containsText" id="{1BB03F94-0C8F-4B66-878B-D60C8322FF4F}">
            <xm:f>NOT(ISERROR(SEARCH($O$7,N50)))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751" operator="containsText" id="{69722BB6-5090-47E8-8B62-5C1BECA8D468}">
            <xm:f>NOT(ISERROR(SEARCH($O$8,N50)))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752" operator="containsText" id="{C7C33636-F2F5-4CCC-995F-FC106D6D5405}">
            <xm:f>NOT(ISERROR(SEARCH($O$9,N50)))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774" operator="containsText" id="{CD163DD7-FCB0-4F95-ACF5-60757340317E}">
            <xm:f>NOT(ISERROR(SEARCH($O$11,N50)))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775" operator="containsText" id="{01B96DA6-9F1B-4A86-BB1B-88B46529BED9}">
            <xm:f>NOT(ISERROR(SEARCH($O$12,N50)))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776" operator="containsText" id="{0FFCE723-A723-417C-93F3-D0959BFC9094}">
            <xm:f>NOT(ISERROR(SEARCH($O$15,N50)))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777" operator="containsText" id="{CBB12B7B-5EEC-46B0-9670-7DA77A334DD3}">
            <xm:f>NOT(ISERROR(SEARCH($O$5,N50)))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743" operator="containsText" id="{8F7C3AAE-A94E-4603-8C04-DA0E9B6F968D}">
            <xm:f>NOT(ISERROR(SEARCH($O$14,N50)))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632" operator="containsText" id="{5AE3ACD0-8929-46DC-B3FA-8F545ADD04A6}">
            <xm:f>NOT(ISERROR(SEARCH($O$5,N51)))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1631" operator="containsText" id="{B5BDBEC8-2DB6-4868-97C0-08DD9AC3CE13}">
            <xm:f>NOT(ISERROR(SEARCH($O$15,N51)))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598" operator="containsText" id="{18CBCE57-6219-4F9B-BA5F-6355F87D906E}">
            <xm:f>NOT(ISERROR(SEARCH($O$14,N51)))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1630" operator="containsText" id="{D5FE101E-3A32-4E60-9AAA-FA3C54B2817D}">
            <xm:f>NOT(ISERROR(SEARCH($O$12,N51)))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1629" operator="containsText" id="{2C76C2A8-BBD8-46F6-9272-510C7F21B5C4}">
            <xm:f>NOT(ISERROR(SEARCH($O$11,N51)))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1607" operator="containsText" id="{E489F266-709C-47F4-9568-8945BCD5F809}">
            <xm:f>NOT(ISERROR(SEARCH($O$9,N51)))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606" operator="containsText" id="{2F59EA07-4229-4F84-B18D-B5744A68F59C}">
            <xm:f>NOT(ISERROR(SEARCH($O$8,N51)))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1605" operator="containsText" id="{379059EC-A86F-4FF3-80E3-1BE2094A7DD0}">
            <xm:f>NOT(ISERROR(SEARCH($O$7,N51)))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1604" operator="containsText" id="{A2F28620-C3D6-4405-B08A-8505B0E5B1E2}">
            <xm:f>NOT(ISERROR(SEARCH($O$6,N51)))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1599" operator="containsText" id="{EB20BA8D-E4B8-49CF-850D-EF6A530ED3A1}">
            <xm:f>NOT(ISERROR(SEARCH($O$13,N51)))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566" operator="containsText" id="{26E13AD0-F4D2-4B99-ADD3-1B9FE1DE5836}">
            <xm:f>NOT(ISERROR(SEARCH($O$14,N52)))</xm:f>
            <xm:f>$O$14</xm:f>
            <x14:dxf>
              <fill>
                <patternFill>
                  <bgColor rgb="FFFF0000"/>
                </patternFill>
              </fill>
            </x14:dxf>
          </x14:cfRule>
          <x14:cfRule type="containsText" priority="569" operator="containsText" id="{DF3FDF70-F32B-4B39-B5A9-DF4739587436}">
            <xm:f>NOT(ISERROR(SEARCH($O$13,N52)))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568" operator="containsText" id="{48D276E8-0DAE-40E3-90D4-FB986010ABD3}">
            <xm:f>NOT(ISERROR(SEARCH($O$7,N52)))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567" operator="containsText" id="{C668E118-113D-4833-A3D5-CFEC5B9A613C}">
            <xm:f>NOT(ISERROR(SEARCH($O$15,N52)))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565" operator="containsText" id="{37DC6348-17AD-41E0-9F6D-A06AB4CF8246}">
            <xm:f>NOT(ISERROR(SEARCH($O$12,N52)))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564" operator="containsText" id="{180A9D53-2ED7-4200-94BF-091A2862AC95}">
            <xm:f>NOT(ISERROR(SEARCH($O$11,N52)))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563" operator="containsText" id="{5FD1B8CC-EBA2-4679-991D-B09F0A764AB2}">
            <xm:f>NOT(ISERROR(SEARCH($O$9,N52)))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62" operator="containsText" id="{71979CB3-67E3-4375-83C6-8155CBCD0F92}">
            <xm:f>NOT(ISERROR(SEARCH($O$8,N52)))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561" operator="containsText" id="{245BEE4D-745D-41E1-9DE2-F0EC8E0F353B}">
            <xm:f>NOT(ISERROR(SEARCH($O$6,N52)))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560" operator="containsText" id="{1C0DB6B6-257C-47A1-8958-632BAB5FCECA}">
            <xm:f>NOT(ISERROR(SEARCH($O$5,N52)))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8436" operator="containsText" id="{E1027950-E6BA-4092-9242-8F4DA73958AC}">
            <xm:f>NOT(ISERROR(SEARCH($O$15,R26)))</xm:f>
            <xm:f>$O$15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8427" operator="containsText" id="{21A3A0DA-6C39-4DC9-A475-DB8128EAA63E}">
            <xm:f>NOT(ISERROR(SEARCH($O$5,R26)))</xm:f>
            <xm:f>$O$5</xm:f>
            <x14:dxf>
              <fill>
                <patternFill>
                  <bgColor rgb="FFFF0000"/>
                </patternFill>
              </fill>
            </x14:dxf>
          </x14:cfRule>
          <x14:cfRule type="containsText" priority="8428" operator="containsText" id="{6032010F-9530-4329-BFEB-02F28238C40F}">
            <xm:f>NOT(ISERROR(SEARCH($O$6,R26)))</xm:f>
            <xm:f>$O$6</xm:f>
            <x14:dxf>
              <fill>
                <patternFill>
                  <bgColor rgb="FFFF0000"/>
                </patternFill>
              </fill>
            </x14:dxf>
          </x14:cfRule>
          <x14:cfRule type="containsText" priority="8429" operator="containsText" id="{9EE0AC6E-F363-4C90-B06A-4763E7DAE7B3}">
            <xm:f>NOT(ISERROR(SEARCH($O$7,R26)))</xm:f>
            <xm:f>$O$7</xm:f>
            <x14:dxf>
              <fill>
                <patternFill>
                  <bgColor rgb="FFFF0000"/>
                </patternFill>
              </fill>
            </x14:dxf>
          </x14:cfRule>
          <x14:cfRule type="containsText" priority="8430" operator="containsText" id="{769B4886-858B-48A4-9CC9-F58A8E328228}">
            <xm:f>NOT(ISERROR(SEARCH($O$8,R26)))</xm:f>
            <xm:f>$O$8</xm:f>
            <x14:dxf>
              <fill>
                <patternFill>
                  <bgColor rgb="FFFF0000"/>
                </patternFill>
              </fill>
            </x14:dxf>
          </x14:cfRule>
          <x14:cfRule type="containsText" priority="8431" operator="containsText" id="{55EFDDE8-0C8F-429E-B6BC-BD6B24D9CC1B}">
            <xm:f>NOT(ISERROR(SEARCH($O$9,R26)))</xm:f>
            <xm:f>$O$9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432" operator="containsText" id="{B99A78BD-BE39-4E3B-84E7-68548BC7DA11}">
            <xm:f>NOT(ISERROR(SEARCH($O$11,R26)))</xm:f>
            <xm:f>$O$11</xm:f>
            <x14:dxf>
              <fill>
                <patternFill>
                  <bgColor rgb="FFFF0000"/>
                </patternFill>
              </fill>
            </x14:dxf>
          </x14:cfRule>
          <x14:cfRule type="containsText" priority="8433" operator="containsText" id="{867DC21D-B91C-4AFC-9DB9-0FDCF3BFF7CF}">
            <xm:f>NOT(ISERROR(SEARCH($O$12,R26)))</xm:f>
            <xm:f>$O$12</xm:f>
            <x14:dxf>
              <fill>
                <patternFill>
                  <bgColor rgb="FFFF0000"/>
                </patternFill>
              </fill>
            </x14:dxf>
          </x14:cfRule>
          <x14:cfRule type="containsText" priority="8434" operator="containsText" id="{4666B06F-A19C-4F7F-B323-67ED8D51EEF5}">
            <xm:f>NOT(ISERROR(SEARCH($O$13,R26)))</xm:f>
            <xm:f>$O$13</xm:f>
            <x14:dxf>
              <fill>
                <patternFill>
                  <bgColor rgb="FFFF0000"/>
                </patternFill>
              </fill>
            </x14:dxf>
          </x14:cfRule>
          <x14:cfRule type="containsText" priority="8435" operator="containsText" id="{FF889C7A-2AC5-43E6-810C-43F9B7E95993}">
            <xm:f>NOT(ISERROR(SEARCH($O$14,R26)))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dataBar" id="{63E584A4-B4BD-4FF0-A2DD-F617B647D7B8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W4:W59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30"/>
  <sheetViews>
    <sheetView showGridLines="0" topLeftCell="B25" zoomScale="106" zoomScaleNormal="106" workbookViewId="0">
      <selection activeCell="M38" sqref="M38:M51"/>
    </sheetView>
  </sheetViews>
  <sheetFormatPr defaultColWidth="8.81640625" defaultRowHeight="14.5" x14ac:dyDescent="0.35"/>
  <cols>
    <col min="1" max="1" width="7.453125" customWidth="1"/>
    <col min="2" max="2" width="19.453125" bestFit="1" customWidth="1"/>
    <col min="3" max="3" width="9.26953125" customWidth="1"/>
    <col min="4" max="4" width="4.81640625" customWidth="1"/>
    <col min="7" max="7" width="10.54296875" customWidth="1"/>
    <col min="13" max="13" width="7.7265625" customWidth="1"/>
    <col min="14" max="14" width="8.7265625" customWidth="1"/>
    <col min="15" max="15" width="5.81640625" customWidth="1"/>
    <col min="16" max="16" width="11.81640625" customWidth="1"/>
    <col min="17" max="17" width="9.453125" customWidth="1"/>
    <col min="18" max="18" width="9.1796875" customWidth="1"/>
    <col min="19" max="19" width="11.1796875" customWidth="1"/>
    <col min="20" max="20" width="8" customWidth="1"/>
    <col min="21" max="37" width="9.453125" customWidth="1"/>
  </cols>
  <sheetData>
    <row r="1" spans="1:79" ht="19" thickBot="1" x14ac:dyDescent="0.4">
      <c r="A1" s="1"/>
      <c r="B1" s="1"/>
      <c r="C1" s="1"/>
      <c r="D1" s="1"/>
      <c r="E1" s="1"/>
      <c r="F1" s="1"/>
      <c r="G1" s="1"/>
      <c r="H1" s="2"/>
      <c r="I1" s="1"/>
      <c r="J1" s="1"/>
      <c r="AC1" s="379" t="s">
        <v>231</v>
      </c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1"/>
    </row>
    <row r="2" spans="1:79" ht="15" thickBot="1" x14ac:dyDescent="0.4">
      <c r="Y2" s="382" t="s">
        <v>1</v>
      </c>
      <c r="Z2" s="383"/>
      <c r="AA2" s="383"/>
      <c r="AB2" s="384"/>
      <c r="AC2" s="385" t="s">
        <v>2</v>
      </c>
      <c r="AD2" s="386"/>
      <c r="AE2" s="386"/>
      <c r="AF2" s="387"/>
      <c r="AG2" s="385" t="s">
        <v>3</v>
      </c>
      <c r="AH2" s="386"/>
      <c r="AI2" s="386"/>
      <c r="AJ2" s="387"/>
      <c r="AK2" s="385" t="s">
        <v>4</v>
      </c>
      <c r="AL2" s="386"/>
      <c r="AM2" s="386"/>
      <c r="AN2" s="387"/>
    </row>
    <row r="3" spans="1:79" ht="30" customHeight="1" thickBot="1" x14ac:dyDescent="0.4">
      <c r="A3" s="369" t="s">
        <v>5</v>
      </c>
      <c r="B3" s="370"/>
      <c r="C3" s="370"/>
      <c r="D3" s="370"/>
      <c r="E3" s="370"/>
      <c r="F3" s="370"/>
      <c r="G3" s="370"/>
      <c r="H3" s="370"/>
      <c r="I3" s="371">
        <f>Mon!I3+4</f>
        <v>44001</v>
      </c>
      <c r="J3" s="371"/>
      <c r="K3" s="371"/>
      <c r="L3" s="371"/>
      <c r="M3" s="371"/>
      <c r="N3" s="372"/>
      <c r="O3" s="120"/>
      <c r="P3" s="150" t="s">
        <v>6</v>
      </c>
      <c r="Q3" s="28"/>
      <c r="R3" s="28"/>
      <c r="S3" s="28"/>
      <c r="U3" s="168" t="s">
        <v>7</v>
      </c>
      <c r="V3" s="10" t="s">
        <v>8</v>
      </c>
      <c r="W3" s="168" t="s">
        <v>218</v>
      </c>
      <c r="X3" s="168" t="s">
        <v>7</v>
      </c>
      <c r="Y3" s="10" t="s">
        <v>9</v>
      </c>
      <c r="Z3" s="10" t="s">
        <v>10</v>
      </c>
      <c r="AA3" s="10" t="s">
        <v>11</v>
      </c>
      <c r="AB3" s="10" t="s">
        <v>12</v>
      </c>
      <c r="AC3" s="10" t="s">
        <v>13</v>
      </c>
      <c r="AD3" s="10" t="s">
        <v>14</v>
      </c>
      <c r="AE3" s="10" t="s">
        <v>15</v>
      </c>
      <c r="AF3" s="10" t="s">
        <v>16</v>
      </c>
      <c r="AG3" s="10" t="s">
        <v>17</v>
      </c>
      <c r="AH3" s="10" t="s">
        <v>18</v>
      </c>
      <c r="AI3" s="10" t="s">
        <v>19</v>
      </c>
      <c r="AJ3" s="10" t="s">
        <v>20</v>
      </c>
      <c r="AK3" s="10" t="s">
        <v>21</v>
      </c>
      <c r="AL3" s="10" t="s">
        <v>22</v>
      </c>
      <c r="AM3" s="10" t="s">
        <v>23</v>
      </c>
      <c r="AN3" s="10" t="s">
        <v>24</v>
      </c>
      <c r="BX3" s="364" t="s">
        <v>25</v>
      </c>
      <c r="BY3" s="365"/>
      <c r="BZ3" s="365"/>
      <c r="CA3" s="366"/>
    </row>
    <row r="4" spans="1:79" ht="18.75" customHeight="1" thickBot="1" x14ac:dyDescent="0.4">
      <c r="A4" s="101" t="s">
        <v>26</v>
      </c>
      <c r="B4" s="299"/>
      <c r="C4" s="94" t="s">
        <v>27</v>
      </c>
      <c r="D4" s="95" t="s">
        <v>136</v>
      </c>
      <c r="E4" s="352" t="s">
        <v>28</v>
      </c>
      <c r="F4" s="353"/>
      <c r="G4" s="354" t="s">
        <v>29</v>
      </c>
      <c r="H4" s="353"/>
      <c r="I4" s="354" t="s">
        <v>30</v>
      </c>
      <c r="J4" s="353"/>
      <c r="K4" s="354" t="s">
        <v>31</v>
      </c>
      <c r="L4" s="353"/>
      <c r="M4" s="354" t="s">
        <v>32</v>
      </c>
      <c r="N4" s="358"/>
      <c r="O4" s="121" t="s">
        <v>33</v>
      </c>
      <c r="P4" s="38" t="s">
        <v>33</v>
      </c>
      <c r="Q4" s="331"/>
      <c r="R4" s="75"/>
      <c r="S4" s="75"/>
      <c r="U4" s="165" t="str">
        <f>Mon!U4</f>
        <v>(AB)</v>
      </c>
      <c r="V4" s="9">
        <f>SUM(COUNTIF($E$5:$N$55,U4),IF(T4&lt;&gt;0,COUNTIF($E$5:$N$55,T4),0),IF(S4&lt;&gt;0,COUNTIF($E$5:$N$55,S4),0))</f>
        <v>1</v>
      </c>
      <c r="W4" s="36">
        <f>SUM(Mon!V4,Tue!V4,Wed!V4,Thur!V4,Fri!V4)</f>
        <v>6</v>
      </c>
      <c r="X4" s="165" t="str">
        <f>Mon!U4</f>
        <v>(AB)</v>
      </c>
      <c r="Y4" s="20">
        <f t="shared" ref="Y4:Y52" si="0">SUM((COUNTIF($E$5:$F$55,$U4)),IF($T4&lt;&gt;0,(COUNTIF($E$5:$F$55,$T4))),IF($S4&lt;&gt;0,(COUNTIF($E$5:$F$55,$S4))))</f>
        <v>0</v>
      </c>
      <c r="Z4" s="21">
        <f t="shared" ref="Z4:Z52" si="1">SUM(COUNTIF($G$5:$J$55,$U4),IF($T4&lt;&gt;0,(COUNTIF($G$5:$J$55,$T4))),IF($S4&lt;&gt;0,(COUNTIF($G$5:$J$55,$S4))))</f>
        <v>0</v>
      </c>
      <c r="AA4" s="21">
        <f t="shared" ref="AA4:AA52" si="2">SUM(COUNTIF($K$5:$L$55,$U4),IF($T4&lt;&gt;0,(COUNTIF($K$5:$L$55,$T4))),IF($S4&lt;&gt;0,(COUNTIF($K$5:$L$55,$S4))))</f>
        <v>0</v>
      </c>
      <c r="AB4" s="22">
        <f t="shared" ref="AB4:AB52" si="3">SUM(COUNTIF($M$5:$N$55,$U4),IF($T4&lt;&gt;0,(COUNTIF($M$5:$N$55,$T4))),IF($S4&lt;&gt;0,(COUNTIF($M$5:$N$55,$S4))))</f>
        <v>1</v>
      </c>
      <c r="AC4" s="25" t="str">
        <f>CONCATENATE(IF($U4=$F$5,$E$5,IF($U4=$F$6,$E$6,IF($U4=$F$7,$E$7,IF($U4=$F$8,$E$8,IF($U4=$F$9,$E$9,IF($U4=$F$10,$E$10,IF($U4=$F$11,$E$11,IF($U4=$F$12,$E$12,IF($U4=$F$13,$E$13,IF($U4=$F$14,$E$14,IF($U4=$F$15,$E$15,IF($U4=$F$16,$E$16,IF($U4=$F$17,$E$17,"")))))))))))))&amp;" "&amp;IF($U4=$F$5,"(A)",IF($U4=$F$6,"(B)",IF($U4=$F$7,"(C)",IF($U4=$F$8,"(D)",IF($U4=$F$9,"(E)",IF($U4=$F$10,"(F)",IF($U4=$F$11,"(G)",IF($U4=$F$12,"(H)",IF($U4=$F$13,"(I)",IF($U4=$F$14,"(J)",IF($U4=$F$15,"(K)",IF($U4=$F$16,"(L)",IF($U4=$F$17,"(L)",""))))))))))))))</f>
        <v xml:space="preserve"> </v>
      </c>
      <c r="AD4" s="26" t="str">
        <f>CONCATENATE(IF($U4=$H$5,$G$5,IF($U4=$H$6,$G$6,IF($U4=$H$7,$G$7,IF($U4=$H$8,$G$8,IF($U4=$H$9,$G$9,IF($U4=$H$10,$G$10,IF($U4=$H$11,$G$11,IF($U4=$H$12,$G$12,IF($U4=$H$13,$G$13,IF($U4=$H$14,$G$14,IF($U4=$H$15,$G$15,IF($U4=$H$16,$G$16,IF($U4=$H$17,$G$17,"")))))))))))))&amp;" "&amp;IF($U4=$H$5,"(A)",IF($U4=$H$6,"(B)",IF($U4=$H$7,"(C)",IF($U4=$H$8,"(D)",IF($U4=$H$9,"(E)",IF($U4=$H$10,"(F)",IF($U4=$H$11,"(G)",IF($U4=$H$12,"(H)",IF($U4=$H$13,"(I)",IF($U4=$H$14,"(J)",IF($U4=$H$15,"(K)",IF($U4=$H$16,"(L)",IF($U4=$H$17,"(L)",""))))))))))))))</f>
        <v xml:space="preserve"> </v>
      </c>
      <c r="AE4" s="26" t="str">
        <f>CONCATENATE(IF($U4=$L$5,$K$5,IF($U4=$L$6,$K$6,IF($U4=$L$7,$K$7,IF($U4=$L$8,$K$8,IF($U4=$L$9,$K$9,IF($U4=$L$10,$K$10,IF($U4=$L$11,$K$11,IF($U4=$L$12,$K$12,IF($U4=$L$13,$K$13,IF($U4=$L$14,$K$14,IF($U4=$L$15,$K$15,IF($U4=$L$16,$K$16,IF($U4=$L$17,$K$17,"")))))))))))))&amp;" "&amp;IF($U4=$L$5,"(A)",IF($U4=$L$6,"(B)",IF($U4=$L$7,"(C)",IF($U4=$L$8,"(D)",IF($U4=$L$9,"(E)",IF($U4=$L$10,"(F)",IF($U4=$L$11,"(G)",IF($U4=$L$12,"(H)",IF($U4=$L$13,"(I)",IF($U4=$L$14,"(J)",IF($U4=$L$15,"(K)",IF($U4=$L$16,"(L)",IF($U4=$L$17,"(L)",""))))))))))))))</f>
        <v xml:space="preserve"> </v>
      </c>
      <c r="AF4" s="27" t="str">
        <f>CONCATENATE(IF($U4=$N$5,$M$5,IF($U4=$N$6,$M$6,IF($U4=$N$7,$M$7,IF($U4=$N$8,$M$8,IF($U4=$N$9,$M$9,IF($U4=$N$10,$M$10,IF($U4=$N$11,$M$11,IF($U4=$N$12,$M$12,IF($U4=$N$13,$M$13,IF($U4=$N$14,$M$14,IF($U4=$N$15,$M$15,IF($U4=$N$16,$M$16,IF($U4=$N$17,$M$17,"")))))))))))))&amp;" "&amp;(IF($U4=$N$5,"(A)",IF($U4=$N$6,"(B)",IF($U4=$N$7,"(C)",IF($U4=$N$8,"(D)",IF($U4=$N$9,"(E)",IF($U4=$N$10,"(F)",IF($U4=$N$11,"(G)",IF($U4=$N$12,"(H)",IF($U4=$N$13,"(I)",IF($U4=$N$14,"(J)",IF($U4=$N$15,"(K)",IF($U4=$N$16,"(L)",IF($U4=$N$17,"(L)","")))))))))))))))</f>
        <v xml:space="preserve"> </v>
      </c>
      <c r="AG4" s="178" t="str">
        <f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f>
        <v xml:space="preserve"> </v>
      </c>
      <c r="AH4" s="177" t="str">
        <f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f>
        <v xml:space="preserve"> </v>
      </c>
      <c r="AI4" s="177" t="str">
        <f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f>
        <v xml:space="preserve"> </v>
      </c>
      <c r="AJ4" s="180" t="str">
        <f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f>
        <v xml:space="preserve"> </v>
      </c>
      <c r="AK4" s="178" t="str">
        <f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f>
        <v xml:space="preserve"> </v>
      </c>
      <c r="AL4" s="177" t="str">
        <f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f>
        <v xml:space="preserve"> </v>
      </c>
      <c r="AM4" s="177" t="str">
        <f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f>
        <v xml:space="preserve"> </v>
      </c>
      <c r="AN4" s="179" t="str">
        <f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f>
        <v>BT (J)</v>
      </c>
      <c r="BV4" t="s">
        <v>35</v>
      </c>
      <c r="BX4" s="4" t="s">
        <v>36</v>
      </c>
      <c r="BY4" s="4" t="s">
        <v>37</v>
      </c>
      <c r="BZ4" s="4" t="s">
        <v>38</v>
      </c>
      <c r="CA4" s="4" t="s">
        <v>39</v>
      </c>
    </row>
    <row r="5" spans="1:79" ht="18.75" customHeight="1" thickBot="1" x14ac:dyDescent="0.4">
      <c r="A5" s="373">
        <v>5</v>
      </c>
      <c r="B5" s="18" t="str">
        <f>Mon!B5</f>
        <v>F+ECOM</v>
      </c>
      <c r="C5" s="90" t="s">
        <v>41</v>
      </c>
      <c r="D5" s="91"/>
      <c r="E5" s="33" t="str">
        <f>IF(F5=$A$100,$B$100,IF(F5=$A$101,$B$101,IF(F5=$A$102,$B$102,IF(F5=$A$103,$B$103,IF(F5=$A$104,$B$104,IF(F5=$A$105,$B$105,IF(F5=$A$106,$B$106,IF(F5=$A$107,$B$107,"Training"))))))))</f>
        <v>MA</v>
      </c>
      <c r="F5" s="92" t="s">
        <v>42</v>
      </c>
      <c r="G5" s="33" t="str">
        <f>IF(H5=$A$100,$B$100,IF(H5=$A$101,$B$101,IF(H5=$A$102,$B$102,IF(H5=$A$103,$B$103,IF(H5=$A$104,$B$104,IF(H5=$A$105,$B$105,IF(H5=$A$106,$B$106,IF(H5=$A$107,$B$107,"Training"))))))))</f>
        <v>IT</v>
      </c>
      <c r="H5" s="92" t="s">
        <v>50</v>
      </c>
      <c r="I5" s="375" t="s">
        <v>143</v>
      </c>
      <c r="J5" s="375"/>
      <c r="K5" s="33" t="str">
        <f>IF(L5=$A$100,$B$100,IF(L5=$A$101,$B$101,IF(L5=$A$102,$B$102,IF(L5=$A$103,$B$103,IF(L5=$A$104,$B$104,IF(L5=$A$105,$B$105,IF(L5=$A$106,$B$106,IF(L5=$A$107,$B$107,"Training"))))))))</f>
        <v>ECOM</v>
      </c>
      <c r="L5" s="92" t="s">
        <v>56</v>
      </c>
      <c r="M5" s="33" t="str">
        <f>IF(N5=$A$100,$B$100,IF(N5=$A$101,$B$101,IF(N5=$A$102,$B$102,IF(N5=$A$103,$B$103,IF(N5=$A$104,$B$104,IF(N5=$A$105,$B$105,IF(N5=$A$106,$B$106,IF(N5=$A$107,$B$107,"Training"))))))))</f>
        <v>FMS</v>
      </c>
      <c r="N5" s="93" t="s">
        <v>43</v>
      </c>
      <c r="O5" s="70" t="str">
        <f>IF(P5="",".",P5)</f>
        <v>.</v>
      </c>
      <c r="P5" s="12"/>
      <c r="Q5" s="331"/>
      <c r="R5" s="331"/>
      <c r="S5" s="331"/>
      <c r="U5" s="165" t="str">
        <f>Mon!U5</f>
        <v>(AD)</v>
      </c>
      <c r="V5" s="9">
        <f t="shared" ref="V5:V58" si="4">SUM(COUNTIF($E$5:$N$55,U5),IF(T5&lt;&gt;0,COUNTIF($E$5:$N$55,T5),0),IF(S5&lt;&gt;0,COUNTIF($E$5:$N$55,S5),0))</f>
        <v>3</v>
      </c>
      <c r="W5" s="36">
        <f>SUM(Mon!V5,Tue!V5,Wed!V5,Thur!V5,Fri!V5)</f>
        <v>15</v>
      </c>
      <c r="X5" s="165" t="str">
        <f>Mon!U5</f>
        <v>(AD)</v>
      </c>
      <c r="Y5" s="20">
        <f t="shared" si="0"/>
        <v>0</v>
      </c>
      <c r="Z5" s="21">
        <f t="shared" si="1"/>
        <v>1</v>
      </c>
      <c r="AA5" s="21">
        <f t="shared" si="2"/>
        <v>1</v>
      </c>
      <c r="AB5" s="22">
        <f t="shared" si="3"/>
        <v>1</v>
      </c>
      <c r="AC5" s="25" t="str">
        <f t="shared" ref="AC5:AC9" si="5">CONCATENATE(IF($U5=$F$5,$E$5,IF($U5=$F$6,$E$6,IF($U5=$F$7,$E$7,IF($U5=$F$8,$E$8,IF($U5=$F$9,$E$9,IF($U5=$F$10,$E$10,IF($U5=$F$11,$E$11,IF($U5=$F$12,$E$12,IF($U5=$F$13,$E$13,IF($U5=$F$14,$E$14,IF($U5=$F$15,$E$15,IF($U5=$F$16,$E$16,IF($U5=$F$17,$E$17,"")))))))))))))&amp;" "&amp;IF($U5=$F$5,"(A)",IF($U5=$F$6,"(B)",IF($U5=$F$7,"(C)",IF($U5=$F$8,"(D)",IF($U5=$F$9,"(E)",IF($U5=$F$10,"(F)",IF($U5=$F$11,"(G)",IF($U5=$F$12,"(H)",IF($U5=$F$13,"(I)",IF($U5=$F$14,"(J)",IF($U5=$F$15,"(K)",IF($U5=$F$16,"(L)",IF($U5=$F$17,"(L)",""))))))))))))))</f>
        <v xml:space="preserve"> </v>
      </c>
      <c r="AD5" s="26" t="str">
        <f t="shared" ref="AD5:AD9" si="6">CONCATENATE(IF($U5=$H$5,$G$5,IF($U5=$H$6,$G$6,IF($U5=$H$7,$G$7,IF($U5=$H$8,$G$8,IF($U5=$H$9,$G$9,IF($U5=$H$10,$G$10,IF($U5=$H$11,$G$11,IF($U5=$H$12,$G$12,IF($U5=$H$13,$G$13,IF($U5=$H$14,$G$14,IF($U5=$H$15,$G$15,IF($U5=$H$16,$G$16,IF($U5=$H$17,$G$17,"")))))))))))))&amp;" "&amp;IF($U5=$H$5,"(A)",IF($U5=$H$6,"(B)",IF($U5=$H$7,"(C)",IF($U5=$H$8,"(D)",IF($U5=$H$9,"(E)",IF($U5=$H$10,"(F)",IF($U5=$H$11,"(G)",IF($U5=$H$12,"(H)",IF($U5=$H$13,"(I)",IF($U5=$H$14,"(J)",IF($U5=$H$15,"(K)",IF($U5=$H$16,"(L)",IF($U5=$H$17,"(L)",""))))))))))))))</f>
        <v>IT (E)</v>
      </c>
      <c r="AE5" s="26" t="str">
        <f t="shared" ref="AE5:AE9" si="7">CONCATENATE(IF($U5=$L$5,$K$5,IF($U5=$L$6,$K$6,IF($U5=$L$7,$K$7,IF($U5=$L$8,$K$8,IF($U5=$L$9,$K$9,IF($U5=$L$10,$K$10,IF($U5=$L$11,$K$11,IF($U5=$L$12,$K$12,IF($U5=$L$13,$K$13,IF($U5=$L$14,$K$14,IF($U5=$L$15,$K$15,IF($U5=$L$16,$K$16,IF($U5=$L$17,$K$17,"")))))))))))))&amp;" "&amp;IF($U5=$L$5,"(A)",IF($U5=$L$6,"(B)",IF($U5=$L$7,"(C)",IF($U5=$L$8,"(D)",IF($U5=$L$9,"(E)",IF($U5=$L$10,"(F)",IF($U5=$L$11,"(G)",IF($U5=$L$12,"(H)",IF($U5=$L$13,"(I)",IF($U5=$L$14,"(J)",IF($U5=$L$15,"(K)",IF($U5=$L$16,"(L)",IF($U5=$L$17,"(L)",""))))))))))))))</f>
        <v>IT (J)</v>
      </c>
      <c r="AF5" s="27" t="str">
        <f t="shared" ref="AF5:AF9" si="8">CONCATENATE(IF($U5=$N$5,$M$5,IF($U5=$N$6,$M$6,IF($U5=$N$7,$M$7,IF($U5=$N$8,$M$8,IF($U5=$N$9,$M$9,IF($U5=$N$10,$M$10,IF($U5=$N$11,$M$11,IF($U5=$N$12,$M$12,IF($U5=$N$13,$M$13,IF($U5=$N$14,$M$14,IF($U5=$N$15,$M$15,IF($U5=$N$16,$M$16,IF($U5=$N$17,$M$17,"")))))))))))))&amp;" "&amp;(IF($U5=$N$5,"(A)",IF($U5=$N$6,"(B)",IF($U5=$N$7,"(C)",IF($U5=$N$8,"(D)",IF($U5=$N$9,"(E)",IF($U5=$N$10,"(F)",IF($U5=$N$11,"(G)",IF($U5=$N$12,"(H)",IF($U5=$N$13,"(I)",IF($U5=$N$14,"(J)",IF($U5=$N$15,"(K)",IF($U5=$N$16,"(L)",IF($U5=$N$17,"(L)","")))))))))))))))</f>
        <v>RM (I)</v>
      </c>
      <c r="AG5" s="178" t="str">
        <f t="shared" ref="AG5:AG59" si="9">CONCATENATE(IF($U5=$F$21,$E$21,IF($U5=$F$22,$E$22,IF($U5=$F$23,$E$23,IF($U5=$F$24,$E$24,IF($U5=$F$25,$E$25,IF($U5=$F$26,$E$26,IF($U5=$F$27,$E$27,IF($U5=$F$28,$E$28,IF($U5=$F$29,$E$29,IF($U5=$F$30,$E$30,IF($U5=$F$31,$E$31,IF($U5=$F$32,$E$32,IF($U5=$F$33,$E$33,IF($U5=$F$34,$E$34,"")))))))))))))&amp;" "&amp;(IF($U5=$F$21,"(A)",IF($U5=$F$22,"(B)",IF($U5=$F$23,"(C)",IF($U5=$F$24,"(D)",IF($U5=$F$25,"(E)",IF($U5=$F$26,"(F)",IF($U5=$F$27,"(G)",IF($U5=$F$28,"(H)",IF($U5=$F$29,"(I)",IF($U5=$F$30,"(J)",IF($U5=$D$63,"(K)",IF($U5=$F$32,"(L)",IF($U5=$F$33,"(M)",IF($U5=$F$34,"(N)","")))))))))))))))))</f>
        <v xml:space="preserve"> </v>
      </c>
      <c r="AH5" s="177" t="str">
        <f t="shared" ref="AH5:AH59" si="10">CONCATENATE(IF($U5=$H$21,$G$21,IF($U5=$H$22,$G$22,IF($U5=$H$23,$G$23,IF($U5=$H$24,$G$24,IF($U5=$H$25,$G$25,IF($U5=$H$26,$G$26,IF($U5=$H$27,$G$27,IF($U5=$H$28,$G$28,IF($U5=$H$29,$G$29,IF($U5=$H$30,$G$30,IF($U5=$H$31,$G$31,IF($U5=$H$32,$G$32,IF($U5=$H$33,$G$33,IF($U5=$H$34,$G$34,""))))))))))))))&amp;" "&amp;(IF($U5=$H$21,"(A)",IF($U5=$H$22,"(B)",IF($U5=$H$23,"(C)",IF($U5=$H$24,"(D)",IF($U5=$H$25,"(E)",IF($U5=$H$26,"(F)",IF($U5=$H$27,"(G)",IF($U5=$H$28,"(H)",IF($U5=$H$29,"(I)",IF($U5=$H$30,"(J)",IF($U5=$H$31,"(K)",IF($U5=$H$32,"(L)",IF($U5=$H$33,"(M)",IF($U5=$H$34,"(N)",""))))))))))))))))</f>
        <v xml:space="preserve"> </v>
      </c>
      <c r="AI5" s="177" t="str">
        <f t="shared" ref="AI5:AI59" si="11">CONCATENATE(IF($U5=$L$21,$K$21,IF($U5=$L$22,$K$22,IF($U5=$L$23,$K$23,IF($U5=$L$24,$K$24,IF($U5=$L$25,$K$25,IF($U5=$L$26,$K$26,IF($U5=$L$27,$K$27,IF($U5=$L$28,$K$28,IF($U5=$L$29,$K$29,IF($U5=$L$30,$K$30,IF($U5=$L$31,$K$31,IF($U5=$L$32,$K$32,IF($U5=$L$33,$K$33,IF($U5=$L$34,$K$34,""))))))))))))))&amp;" "&amp;IF($U5=$L$21,"(A)",IF($U5=$L$22,"(B)",IF($U5=$L$23,"(C)",IF($U5=$L$24,"(D)",IF($U5=$L$25,"(E)",IF($U5=$L$26,"(F)",IF($U5=$L$27,"(G)",IF($U5=$L$28,"(H)",IF($U5=$L$29,"(I)",IF($U5=$L$30,"(J)",IF($U5=$L$31,"(K)",IF($U5=$L$32,"(L)",IF($U5=$L$33,"(M)",IF($U5=$L$34,"(N)","")))))))))))))))</f>
        <v xml:space="preserve"> </v>
      </c>
      <c r="AJ5" s="180" t="str">
        <f t="shared" ref="AJ5:AJ59" si="12">CONCATENATE(IF($U5=$N$21,$M$21,IF($U5=$N$22,$M$22,IF($U5=$N$23,$M$23,IF($U5=$N$24,$M$24,IF($U5=$N$25,$M$25,IF($U5=$N$26,$M$26,IF($U5=$N$27,$M$27,IF($U5=$N$28,$M$28,IF($U5=$N$29,$M$29,IF($U5=$N$30,$M$30,IF($U5=$N$31,$M$31,IF($U5=$N$32,$M$32,IF($U5=$N$33,$M$33,IF($U5=$N$34,$M$34,""))))))))))))))&amp;" "&amp;(IF($U5=$N$21,"(A)",IF($U5=$N$22,"(B)",IF($U5=$N$23,"(C)",IF($U5=$N$24,"(D)",IF($U5=$N$25,"(E)",IF($U5=$N$26,"(F)",IF($U5=$N$27,"(G)",IF($U5=$N$28,"(H)",IF($U5=$N$29,"(I)",IF($U5=$N$30,"(J)",IF($U5=$N$31,"(K)",IF($U5=$N$32,"(L)",IF($U5=$N$33,"(M)",IF($U5=$N$34,"(N)",""))))))))))))))))</f>
        <v xml:space="preserve"> </v>
      </c>
      <c r="AK5" s="178" t="str">
        <f t="shared" ref="AK5:AK59" si="13">CONCATENATE(IF($U5=$F$37,$E$37,IF($U5=$F$38,$E$38,IF($U5=$F$39,$E$39,IF($U5=$F$40,$E$40,IF($U5=$F$41,$E$41,IF($U5=$F$42,$E$42,IF($U5=$F$43,$E$43,IF($U5=$F$44,$E$44,IF($U5=$F$45,$E$45,IF($U5=$F$46,$E$46,IF($U5=$F$47,$E$47,IF($U5=$F$48,$E$48,IF($U5=$F$49,$E$49,IF($U5=$F$50,$E$50,IF($U5=$F$51,$E$51,""))))))))))))))&amp;" "&amp;IF($U5=$F$38,"(A)",IF($U5=$F$39,"(B)",IF($U5=$F$40,"(C)",IF($U5=$F$41,"(D)",IF($U5=$F$42,"(E)",IF($U5=$F$43,"(F)",IF($U5=$F$44,"(G)",IF($U5=$F$45,"(H)",IF($U5=$F$46,"(I)",IF($U5=$F$47,"(J)",IF($U5=$F$48,"(K)",IF($U5=$F$49,"(L)",IF($U5=$F$50,"(M)",IF($U5=$F$51,"(N)",""))))))))))))))))</f>
        <v xml:space="preserve"> </v>
      </c>
      <c r="AL5" s="177" t="str">
        <f t="shared" ref="AL5:AL59" si="14">CONCATENATE(IF($U5=$H$37,$G$37,IF($U5=$H$38,$G$38,IF($U5=$H$39,$G$39,IF($U5=$H$40,$G$40,IF($U5=$H$41,$G$41,IF($U5=$H$42,$G$42,IF($U5=$H$43,$G$43,IF($U5=$H$44,$G$44,IF($U5=$H$45,$G$45,IF($U5=$H$46,$G$46,IF($U5=$H$47,$G$47,IF($U5=$H$48,$G$48,IF($U5=$H$49,$G$49,IF($U5=$H$50,$G$50,IF($U5=$H$51,$G$51,"")))))))))))))))&amp;" "&amp;IF($U5=$H$38,"(A)",IF($U5=$H$39,"(B)",IF($U5=$H$40,"(C)",IF($U5=$H$41,"(D)",IF($U5=$H$42,"(E)",IF($U5=$H$43,"(F)",IF($U5=$H$44,"(G)",IF($U5=$H$45,"(H)",IF($U5=$H$46,"(I)",IF($U5=$H$47,"(J)",IF($U5=$H$48,"(K)",IF($U5=$H$49,"(L)",IF($U5=$H$50,"(M)",IF($U5=$H$51,"(N)","")))))))))))))))</f>
        <v xml:space="preserve"> </v>
      </c>
      <c r="AM5" s="177" t="str">
        <f t="shared" ref="AM5:AM59" si="15">CONCATENATE(IF($U5=$L$37,$K$37,IF($U5=$L$38,$K$38,IF($U5=$L$39,$K$39,IF($U5=$L$40,$K$40,IF($U5=$L$41,$K$41,IF($U5=$L$42,$K$42,IF($U5=$L$43,$K$43,IF($U5=$L$44,$K$44,IF($U5=$L$45,$K$45,IF($U5=$L$46,$K$46,IF($U5=$L$47,$K$47,IF($U5=$L$48,$K$48,IF($U5=$L$49,$K$49,IF($U5=$L$50,$K$50,IF($U5=$L$51,$K$51,"")))))))))))))))&amp;" "&amp;IF($U5=$L$38,"(A)",IF($U5=$L$39,"(B)",IF($U5=$L$40,"(C)",IF($U5=$L$41,"(D)",IF($U5=$L$42,"(E)",IF($U5=$L$43,"(F)",IF($U5=$L$44,"(G)",IF($U5=$L$45,"(H)",IF($U5=$L$46,"(I)",IF($U5=$L$47,"(J)",IF($U5=$L$48,"(K)",IF($U5=$L$49,"(L)",IF($U5=$L$50,"(M)",IF($U5=$L$51,"(N)","")))))))))))))))</f>
        <v xml:space="preserve"> </v>
      </c>
      <c r="AN5" s="179" t="str">
        <f t="shared" ref="AN5:AN59" si="16">CONCATENATE(IF($U5=$N$37,$M$37,IF($U5=$N$38,$M$38,IF($U5=$N$39,$M$39,IF($U5=$N$40,$M$40,IF($U5=$N$41,$M$41,IF($U5=$N$42,$M$42,IF($U5=$N$43,$M$43,IF($U5=$N$44,$M$44,IF($U5=$N$45,$M$45,IF($U5=$N$46,$M$46,IF($U5=$N$47,$M$47,IF($U5=$N$48,$M$48,IF($U5=$N$49,$M$49,IF($U5=$N$50,$M$50,IF($U5=$N$51,$M$51,"")))))))))))))))&amp;" "&amp;IF($U5=$N$38,"(A)",IF($U5=$N$39,"(B)",IF($U5=$N$40,"(C)",IF($U5=$N$41,"(D)",IF($U5=$N$42,"(E)",IF($U5=$N$43,"(F)",IF($U5=$N$44,"(G)",IF($U5=$N$45,"(H)",IF($U5=$N$46,"(I)",IF($U5=$N$47,"(J)",IF($U5=$N$48,"(K)",IF($U5=$N$49,"(L)",IF($U5=$N$50,"(M)",IF($U5=$N$51,"(N)","")))))))))))))))</f>
        <v xml:space="preserve"> </v>
      </c>
      <c r="BV5" t="s">
        <v>48</v>
      </c>
    </row>
    <row r="6" spans="1:79" ht="18.75" customHeight="1" thickBot="1" x14ac:dyDescent="0.4">
      <c r="A6" s="374"/>
      <c r="B6" s="162" t="str">
        <f>Mon!B6</f>
        <v>F+ECOM</v>
      </c>
      <c r="C6" s="3" t="s">
        <v>49</v>
      </c>
      <c r="D6" s="76"/>
      <c r="E6" s="6" t="str">
        <f>IF(F6=$C$100,$D$100,IF(F6=$C$101,$D$101,IF(F6=$C$102,$D$102,IF(F6=$C$103,$D$103,IF(F6=$C$104,$D$104,IF(F6=$C$105,$D$105,IF(F6=$C$106,$D$106,IF(F6=$C$107,$D$107,"Training"))))))))</f>
        <v>FMS</v>
      </c>
      <c r="F6" s="7" t="s">
        <v>53</v>
      </c>
      <c r="G6" s="6" t="str">
        <f>IF(H6=$C$100,$D$100,IF(H6=$C$101,$D$101,IF(H6=$C$102,$D$102,IF(H6=$C$103,$D$103,IF(H6=$C$104,$D$104,IF(H6=$C$105,$D$105,IF(H6=$C$106,$D$106,IF(H6=$C$107,$D$107,"Training"))))))))</f>
        <v>IB</v>
      </c>
      <c r="H6" s="7" t="s">
        <v>70</v>
      </c>
      <c r="I6" s="375"/>
      <c r="J6" s="375"/>
      <c r="K6" s="6" t="str">
        <f>IF(L6=$C$100,$D$100,IF(L6=$C$101,$D$101,IF(L6=$C$102,$D$102,IF(L6=$C$103,$D$103,IF(L6=$C$104,$D$104,IF(L6=$C$105,$D$105,IF(L6=$C$106,$D$106,IF(L6=$C$107,$D$107,"Training"))))))))</f>
        <v>AA</v>
      </c>
      <c r="L6" s="7" t="s">
        <v>58</v>
      </c>
      <c r="M6" s="6" t="str">
        <f>IF(N6=$C$100,$D$100,IF(N6=$C$101,$D$101,IF(N6=$C$102,$D$102,IF(N6=$C$103,$D$103,IF(N6=$C$104,$D$104,IF(N6=$C$105,$D$105,IF(N6=$C$106,$D$106,IF(N6=$C$107,$D$107,"Training"))))))))</f>
        <v>IT</v>
      </c>
      <c r="N6" s="107" t="s">
        <v>52</v>
      </c>
      <c r="O6" s="71" t="str">
        <f t="shared" ref="O6:O9" si="17">IF(P6="",".",P6)</f>
        <v>.</v>
      </c>
      <c r="P6" s="13"/>
      <c r="Q6" s="331"/>
      <c r="R6" s="331"/>
      <c r="S6" s="331"/>
      <c r="U6" s="165" t="str">
        <f>Mon!U6</f>
        <v>(AG)</v>
      </c>
      <c r="V6" s="9">
        <f t="shared" si="4"/>
        <v>3</v>
      </c>
      <c r="W6" s="36">
        <f>SUM(Mon!V6,Tue!V6,Wed!V6,Thur!V6,Fri!V6)</f>
        <v>16</v>
      </c>
      <c r="X6" s="165" t="str">
        <f>Mon!U6</f>
        <v>(AG)</v>
      </c>
      <c r="Y6" s="20">
        <f t="shared" si="0"/>
        <v>1</v>
      </c>
      <c r="Z6" s="21">
        <f t="shared" si="1"/>
        <v>1</v>
      </c>
      <c r="AA6" s="21">
        <f t="shared" si="2"/>
        <v>0</v>
      </c>
      <c r="AB6" s="22">
        <f t="shared" si="3"/>
        <v>1</v>
      </c>
      <c r="AC6" s="25" t="str">
        <f t="shared" si="5"/>
        <v xml:space="preserve"> </v>
      </c>
      <c r="AD6" s="26" t="str">
        <f t="shared" si="6"/>
        <v xml:space="preserve"> </v>
      </c>
      <c r="AE6" s="26" t="str">
        <f t="shared" si="7"/>
        <v xml:space="preserve"> </v>
      </c>
      <c r="AF6" s="27" t="str">
        <f t="shared" si="8"/>
        <v xml:space="preserve"> </v>
      </c>
      <c r="AG6" s="178" t="str">
        <f t="shared" si="9"/>
        <v>EVS (C)</v>
      </c>
      <c r="AH6" s="177" t="str">
        <f t="shared" si="10"/>
        <v xml:space="preserve"> </v>
      </c>
      <c r="AI6" s="177" t="str">
        <f t="shared" si="11"/>
        <v xml:space="preserve"> </v>
      </c>
      <c r="AJ6" s="180" t="str">
        <f t="shared" si="12"/>
        <v xml:space="preserve"> </v>
      </c>
      <c r="AK6" s="178" t="str">
        <f t="shared" si="13"/>
        <v xml:space="preserve"> </v>
      </c>
      <c r="AL6" s="177" t="str">
        <f t="shared" si="14"/>
        <v>BM (K)</v>
      </c>
      <c r="AM6" s="177" t="str">
        <f t="shared" si="15"/>
        <v xml:space="preserve"> </v>
      </c>
      <c r="AN6" s="179" t="str">
        <f t="shared" si="16"/>
        <v>BM (G)</v>
      </c>
    </row>
    <row r="7" spans="1:79" ht="18.75" customHeight="1" thickBot="1" x14ac:dyDescent="0.4">
      <c r="A7" s="374"/>
      <c r="B7" s="162" t="str">
        <f>Mon!B7</f>
        <v>F+ECOM</v>
      </c>
      <c r="C7" s="3" t="s">
        <v>55</v>
      </c>
      <c r="D7" s="76"/>
      <c r="E7" s="6" t="str">
        <f>IF(F7=$E$100,$F$100,IF(F7=$E$101,$F$101,IF(F7=$E$102,$F$102,IF(F7=$E$103,$F$103,IF(F7=$E$104,$F$104,IF(F7=$E$105,$F$105,IF(F7=$E$106,$F$106,IF(F7=$E$107,$F$107,"Training"))))))))</f>
        <v>MA</v>
      </c>
      <c r="F7" s="7" t="s">
        <v>57</v>
      </c>
      <c r="G7" s="6" t="str">
        <f>IF(H7=$E$100,$F$100,IF(H7=$E$101,$F$101,IF(H7=$E$102,$F$102,IF(H7=$E$103,$F$103,IF(H7=$E$104,$F$104,IF(H7=$E$105,$F$105,IF(H7=$E$106,$F$106,IF(H7=$E$107,$F$107,"Training"))))))))</f>
        <v>IT</v>
      </c>
      <c r="H7" s="7" t="s">
        <v>45</v>
      </c>
      <c r="I7" s="375"/>
      <c r="J7" s="375"/>
      <c r="K7" s="6" t="str">
        <f>IF(L7=$E$100,$F$100,IF(L7=$E$101,$F$101,IF(L7=$E$102,$F$102,IF(L7=$E$103,$F$103,IF(L7=$E$104,$F$104,IF(L7=$E$105,$F$105,IF(L7=$E$106,$F$106,IF(L7=$E$107,$F$107,"Training"))))))))</f>
        <v>FMS</v>
      </c>
      <c r="L7" s="7" t="s">
        <v>66</v>
      </c>
      <c r="M7" s="6" t="str">
        <f>IF(N7=$E$100,$F$100,IF(N7=$E$101,$F$101,IF(N7=$E$102,$F$102,IF(N7=$E$103,$F$103,IF(N7=$E$104,$F$104,IF(N7=$E$105,$F$105,IF(N7=$E$106,$F$106,IF(N7=$E$107,$F$107,"Training"))))))))</f>
        <v>ECOM</v>
      </c>
      <c r="N7" s="11" t="s">
        <v>56</v>
      </c>
      <c r="O7" s="71" t="str">
        <f t="shared" si="17"/>
        <v>.</v>
      </c>
      <c r="P7" s="13"/>
      <c r="Q7" s="331"/>
      <c r="R7" s="331"/>
      <c r="S7" s="331"/>
      <c r="U7" s="165" t="str">
        <f>Mon!U7</f>
        <v>(ANU)</v>
      </c>
      <c r="V7" s="9">
        <f t="shared" si="4"/>
        <v>0</v>
      </c>
      <c r="W7" s="36">
        <f>SUM(Mon!V7,Tue!V7,Wed!V7,Thur!V7,Fri!V7)</f>
        <v>0</v>
      </c>
      <c r="X7" s="165" t="str">
        <f>Mon!U7</f>
        <v>(ANU)</v>
      </c>
      <c r="Y7" s="20">
        <f t="shared" si="0"/>
        <v>0</v>
      </c>
      <c r="Z7" s="21">
        <f t="shared" si="1"/>
        <v>0</v>
      </c>
      <c r="AA7" s="21">
        <f t="shared" si="2"/>
        <v>0</v>
      </c>
      <c r="AB7" s="22">
        <f t="shared" si="3"/>
        <v>0</v>
      </c>
      <c r="AC7" s="25" t="str">
        <f t="shared" si="5"/>
        <v xml:space="preserve"> </v>
      </c>
      <c r="AD7" s="26" t="str">
        <f t="shared" si="6"/>
        <v xml:space="preserve"> </v>
      </c>
      <c r="AE7" s="26" t="str">
        <f t="shared" si="7"/>
        <v xml:space="preserve"> </v>
      </c>
      <c r="AF7" s="27" t="str">
        <f t="shared" si="8"/>
        <v xml:space="preserve"> </v>
      </c>
      <c r="AG7" s="178" t="str">
        <f t="shared" si="9"/>
        <v xml:space="preserve"> </v>
      </c>
      <c r="AH7" s="177" t="str">
        <f t="shared" si="10"/>
        <v xml:space="preserve"> </v>
      </c>
      <c r="AI7" s="177" t="str">
        <f t="shared" si="11"/>
        <v xml:space="preserve"> </v>
      </c>
      <c r="AJ7" s="180" t="str">
        <f t="shared" si="12"/>
        <v xml:space="preserve"> </v>
      </c>
      <c r="AK7" s="178" t="str">
        <f t="shared" si="13"/>
        <v xml:space="preserve"> </v>
      </c>
      <c r="AL7" s="177" t="str">
        <f t="shared" si="14"/>
        <v xml:space="preserve"> </v>
      </c>
      <c r="AM7" s="177" t="str">
        <f t="shared" si="15"/>
        <v xml:space="preserve"> </v>
      </c>
      <c r="AN7" s="179" t="str">
        <f t="shared" si="16"/>
        <v xml:space="preserve"> </v>
      </c>
    </row>
    <row r="8" spans="1:79" ht="18.75" customHeight="1" thickBot="1" x14ac:dyDescent="0.4">
      <c r="A8" s="374"/>
      <c r="B8" s="162" t="str">
        <f>Mon!B8</f>
        <v>F+ECOM</v>
      </c>
      <c r="C8" s="3" t="s">
        <v>37</v>
      </c>
      <c r="D8" s="76"/>
      <c r="E8" s="6" t="str">
        <f>IF(F8=$G$100,$H$100,IF(F8=$G$101,$H$101,IF(F8=$G$102,$H$102,IF(F8=$G$103,$H$103,IF(F8=$G$104,$H$104,IF(F8=$G$105,$H$105,IF(F8=$G$106,$H$106,IF(F8=$G$107,$H$107,"Training"))))))))</f>
        <v>IB</v>
      </c>
      <c r="F8" s="7" t="s">
        <v>103</v>
      </c>
      <c r="G8" s="6" t="str">
        <f>IF(H8=$G$100,$H$100,IF(H8=$G$101,$H$101,IF(H8=$G$102,$H$102,IF(H8=$G$103,$H$103,IF(H8=$G$104,$H$104,IF(H8=$G$105,$H$105,IF(H8=$G$106,$H$106,IF(H8=$G$107,$H$107,"Training"))))))))</f>
        <v>IF</v>
      </c>
      <c r="H8" s="7" t="s">
        <v>58</v>
      </c>
      <c r="I8" s="375"/>
      <c r="J8" s="375"/>
      <c r="K8" s="6" t="str">
        <f>IF(L8=$G$100,$H$100,IF(L8=$G$101,$H$101,IF(L8=$G$102,$H$102,IF(L8=$G$103,$H$103,IF(L8=$G$104,$H$104,IF(L8=$G$105,$H$105,IF(L8=$G$106,$H$106,IF(L8=$G$107,$H$107,"Training"))))))))</f>
        <v>IT</v>
      </c>
      <c r="L8" s="7" t="s">
        <v>50</v>
      </c>
      <c r="M8" s="6" t="str">
        <f>IF(N8=$G$100,$H$100,IF(N8=$G$101,$H$101,IF(N8=$G$102,$H$102,IF(N8=$G$103,$H$103,IF(N8=$G$104,$H$104,IF(N8=$G$105,$H$105,IF(N8=$G$106,$H$106,IF(N8=$G$107,$H$107,"Training"))))))))</f>
        <v>AA</v>
      </c>
      <c r="N8" s="11" t="s">
        <v>45</v>
      </c>
      <c r="O8" s="71" t="str">
        <f t="shared" si="17"/>
        <v>.</v>
      </c>
      <c r="P8" s="13"/>
      <c r="Q8" s="331"/>
      <c r="R8" s="331"/>
      <c r="S8" s="331"/>
      <c r="U8" s="165" t="str">
        <f>Mon!U8</f>
        <v>(AS)</v>
      </c>
      <c r="V8" s="9">
        <f t="shared" si="4"/>
        <v>2</v>
      </c>
      <c r="W8" s="36">
        <f>SUM(Mon!V8,Tue!V8,Wed!V8,Thur!V8,Fri!V8)</f>
        <v>14</v>
      </c>
      <c r="X8" s="165" t="str">
        <f>Mon!U8</f>
        <v>(AS)</v>
      </c>
      <c r="Y8" s="20">
        <f t="shared" si="0"/>
        <v>0</v>
      </c>
      <c r="Z8" s="21">
        <f t="shared" si="1"/>
        <v>0</v>
      </c>
      <c r="AA8" s="21">
        <f t="shared" si="2"/>
        <v>1</v>
      </c>
      <c r="AB8" s="22">
        <f t="shared" si="3"/>
        <v>1</v>
      </c>
      <c r="AC8" s="25" t="str">
        <f t="shared" si="5"/>
        <v xml:space="preserve"> </v>
      </c>
      <c r="AD8" s="26" t="str">
        <f t="shared" si="6"/>
        <v xml:space="preserve"> </v>
      </c>
      <c r="AE8" s="26" t="str">
        <f t="shared" si="7"/>
        <v xml:space="preserve"> </v>
      </c>
      <c r="AF8" s="27" t="str">
        <f t="shared" si="8"/>
        <v xml:space="preserve"> </v>
      </c>
      <c r="AG8" s="178" t="str">
        <f t="shared" si="9"/>
        <v xml:space="preserve"> </v>
      </c>
      <c r="AH8" s="177" t="str">
        <f t="shared" si="10"/>
        <v xml:space="preserve"> </v>
      </c>
      <c r="AI8" s="177" t="str">
        <f t="shared" si="11"/>
        <v>HR (L)</v>
      </c>
      <c r="AJ8" s="180" t="str">
        <f t="shared" si="12"/>
        <v>HR (K)</v>
      </c>
      <c r="AK8" s="178" t="str">
        <f t="shared" si="13"/>
        <v xml:space="preserve"> </v>
      </c>
      <c r="AL8" s="177" t="str">
        <f t="shared" si="14"/>
        <v xml:space="preserve"> </v>
      </c>
      <c r="AM8" s="177" t="str">
        <f t="shared" si="15"/>
        <v xml:space="preserve"> </v>
      </c>
      <c r="AN8" s="179" t="str">
        <f t="shared" si="16"/>
        <v xml:space="preserve"> </v>
      </c>
    </row>
    <row r="9" spans="1:79" ht="18.75" customHeight="1" thickBot="1" x14ac:dyDescent="0.4">
      <c r="A9" s="374"/>
      <c r="B9" s="162" t="str">
        <f>Mon!B9</f>
        <v>F+ECOM</v>
      </c>
      <c r="C9" s="3" t="s">
        <v>38</v>
      </c>
      <c r="D9" s="76"/>
      <c r="E9" s="6" t="str">
        <f>IF(F9=$I$100,$J$100,IF(F9=$I$101,$J$101,IF(F9=$I$102,$J$102,IF(F9=$I$103,$J$103,IF(F9=$I$104,$J$104,IF(F9=$I$105,$J$105,IF(F9=$I$106,$J$106,IF(F9=$I$107,$J$107,"Training"))))))))</f>
        <v>AA</v>
      </c>
      <c r="F9" s="7" t="s">
        <v>45</v>
      </c>
      <c r="G9" s="6" t="str">
        <f>IF(H9=$I$100,$J$100,IF(H9=$I$101,$J$101,IF(H9=$I$102,$J$102,IF(H9=$I$103,$J$103,IF(H9=$I$104,$J$104,IF(H9=$I$105,$J$105,IF(H9=$I$106,$J$106,IF(H9=$I$107,$J$107,"Training"))))))))</f>
        <v>IT</v>
      </c>
      <c r="H9" s="7" t="s">
        <v>47</v>
      </c>
      <c r="I9" s="375"/>
      <c r="J9" s="375"/>
      <c r="K9" s="6" t="str">
        <f>IF(L9=$I$100,$J$100,IF(L9=$I$101,$J$101,IF(L9=$I$102,$J$102,IF(L9=$I$103,$J$103,IF(L9=$I$104,$J$104,IF(L9=$I$105,$J$105,IF(L9=$I$106,$J$106,IF(L9=$I$107,$J$107,"Training"))))))))</f>
        <v>IB</v>
      </c>
      <c r="L9" s="7" t="s">
        <v>63</v>
      </c>
      <c r="M9" s="6" t="str">
        <f>IF(N9=$I$100,$J$100,IF(N9=$I$101,$J$101,IF(N9=$I$102,$J$102,IF(N9=$I$103,$J$103,IF(N9=$I$104,$J$104,IF(N9=$I$105,$J$105,IF(N9=$I$106,$J$106,IF(N9=$I$107,$J$107,"Training"))))))))</f>
        <v>IF</v>
      </c>
      <c r="N9" s="11" t="s">
        <v>50</v>
      </c>
      <c r="O9" s="72" t="str">
        <f t="shared" si="17"/>
        <v>.</v>
      </c>
      <c r="P9" s="14"/>
      <c r="Q9" s="331"/>
      <c r="R9" s="331"/>
      <c r="S9" s="331"/>
      <c r="T9" s="87"/>
      <c r="U9" s="165" t="str">
        <f>Mon!U9</f>
        <v>(AV)</v>
      </c>
      <c r="V9" s="9">
        <f t="shared" si="4"/>
        <v>3</v>
      </c>
      <c r="W9" s="36">
        <f>SUM(Mon!V9,Tue!V9,Wed!V9,Thur!V9,Fri!V9)</f>
        <v>15</v>
      </c>
      <c r="X9" s="165" t="str">
        <f>Mon!U9</f>
        <v>(AV)</v>
      </c>
      <c r="Y9" s="20">
        <f t="shared" si="0"/>
        <v>1</v>
      </c>
      <c r="Z9" s="21">
        <f t="shared" si="1"/>
        <v>1</v>
      </c>
      <c r="AA9" s="21">
        <f t="shared" si="2"/>
        <v>0</v>
      </c>
      <c r="AB9" s="22">
        <f t="shared" si="3"/>
        <v>1</v>
      </c>
      <c r="AC9" s="25" t="str">
        <f t="shared" si="5"/>
        <v>IB (I)</v>
      </c>
      <c r="AD9" s="26" t="str">
        <f t="shared" si="6"/>
        <v xml:space="preserve"> </v>
      </c>
      <c r="AE9" s="26" t="str">
        <f t="shared" si="7"/>
        <v xml:space="preserve"> </v>
      </c>
      <c r="AF9" s="27" t="str">
        <f t="shared" si="8"/>
        <v>IB (L)</v>
      </c>
      <c r="AG9" s="178" t="str">
        <f t="shared" si="9"/>
        <v xml:space="preserve"> </v>
      </c>
      <c r="AH9" s="177" t="str">
        <f t="shared" si="10"/>
        <v>CM (A)</v>
      </c>
      <c r="AI9" s="177" t="str">
        <f t="shared" si="11"/>
        <v xml:space="preserve"> </v>
      </c>
      <c r="AJ9" s="180" t="str">
        <f t="shared" si="12"/>
        <v xml:space="preserve"> </v>
      </c>
      <c r="AK9" s="178" t="str">
        <f t="shared" si="13"/>
        <v xml:space="preserve"> </v>
      </c>
      <c r="AL9" s="177" t="str">
        <f t="shared" si="14"/>
        <v xml:space="preserve"> </v>
      </c>
      <c r="AM9" s="177" t="str">
        <f t="shared" si="15"/>
        <v xml:space="preserve"> </v>
      </c>
      <c r="AN9" s="179" t="str">
        <f t="shared" si="16"/>
        <v xml:space="preserve"> </v>
      </c>
    </row>
    <row r="10" spans="1:79" ht="18.75" customHeight="1" thickBot="1" x14ac:dyDescent="0.4">
      <c r="A10" s="374"/>
      <c r="B10" s="162" t="str">
        <f>Mon!B10</f>
        <v>F+PR</v>
      </c>
      <c r="C10" s="3" t="s">
        <v>65</v>
      </c>
      <c r="D10" s="76"/>
      <c r="E10" s="6" t="str">
        <f>IF(F10=$K$100,$L$100,IF(F10=$K$101,$L$101,IF(F10=$K$102,$L$102,IF(F10=$K$103,$L$103,IF(F10=$K$104,$L$104,IF(F10=$K$105,$L$105,IF(F10=$K$106,$L$106,IF(F10=$K$107,$L$107,"Training"))))))))</f>
        <v>IT</v>
      </c>
      <c r="F10" s="7" t="s">
        <v>52</v>
      </c>
      <c r="G10" s="6" t="str">
        <f>IF(H10=$K$100,$L$100,IF(H10=$K$101,$L$101,IF(H10=$K$102,$L$102,IF(H10=$K$103,$L$103,IF(H10=$K$104,$L$104,IF(H10=$K$105,$L$105,IF(H10=$K$106,$L$106,IF(H10=$K$107,$L$107,"Training"))))))))</f>
        <v>MA</v>
      </c>
      <c r="H10" s="7" t="s">
        <v>120</v>
      </c>
      <c r="I10" s="375"/>
      <c r="J10" s="375"/>
      <c r="K10" s="6" t="str">
        <f>IF(L10=$K$100,$L$100,IF(L10=$K$101,$L$101,IF(L10=$K$102,$L$102,IF(L10=$K$103,$L$103,IF(L10=$K$104,$L$104,IF(L10=$K$105,$L$105,IF(L10=$K$106,$L$106,IF(L10=$K$107,$L$107,"Training"))))))))</f>
        <v>AA</v>
      </c>
      <c r="L10" s="7" t="s">
        <v>53</v>
      </c>
      <c r="M10" s="6" t="str">
        <f>IF(N10=$K$100,$L$100,IF(N10=$K$101,$L$101,IF(N10=$K$102,$L$102,IF(N10=$K$103,$L$103,IF(N10=$K$104,$L$104,IF(N10=$K$105,$L$105,IF(N10=$K$106,$L$106,IF(N10=$K$107,$L$107,"Training"))))))))</f>
        <v>IF</v>
      </c>
      <c r="N10" s="11" t="s">
        <v>58</v>
      </c>
      <c r="O10" s="123" t="s">
        <v>67</v>
      </c>
      <c r="P10" s="32" t="s">
        <v>67</v>
      </c>
      <c r="Q10" s="331"/>
      <c r="R10" s="331"/>
      <c r="S10" s="331"/>
      <c r="U10" s="165" t="str">
        <f>Mon!U10</f>
        <v>(AW)</v>
      </c>
      <c r="V10" s="9">
        <f t="shared" si="4"/>
        <v>4</v>
      </c>
      <c r="W10" s="36">
        <f>SUM(Mon!V10,Tue!V10,Wed!V10,Thur!V10,Fri!V10)</f>
        <v>16</v>
      </c>
      <c r="X10" s="165" t="str">
        <f>Mon!U10</f>
        <v>(AW)</v>
      </c>
      <c r="Y10" s="20">
        <f t="shared" si="0"/>
        <v>1</v>
      </c>
      <c r="Z10" s="21">
        <f t="shared" si="1"/>
        <v>1</v>
      </c>
      <c r="AA10" s="21">
        <f t="shared" si="2"/>
        <v>1</v>
      </c>
      <c r="AB10" s="22">
        <f t="shared" si="3"/>
        <v>1</v>
      </c>
      <c r="AC10" s="25" t="str">
        <f>CONCATENATE(IF($U10=$F$5,$E$5,IF($U10=$F$6,$E$6,IF($U10=$F$7,$E$7,IF($U10=$F$8,$E$8,IF($U10=$F$9,$E$9,IF($U10=$F$10,$E$10,IF($U10=$F$11,$E$11,IF($U10=$F$12,$E$12,IF($U10=$F$13,$E$13,IF($U10=$F$14,$E$14,IF($U10=$F$15,$E$15,IF($U10=$F$16,$E$16,IF($U10=$F$17,$E$17,"")))))))))))))&amp;" "&amp;IF($U10=$F$5,"(A)",IF($U10=$F$6,"(B)",IF($U10=$F$7,"(C)",IF($U10=$F$8,"(D)",IF($U10=$F$9,"(E)",IF($U10=$F$10,"(F)",IF($U10=$F$11,"(G)",IF($U10=$F$12,"(H)",IF($U10=$F$13,"(I)",IF($U10=$F$14,"(J)",IF($U10=$F$15,"(K)",IF($U10=$F$16,"(L)",IF($U10=$F$17,"(L)",""))))))))))))))</f>
        <v xml:space="preserve"> </v>
      </c>
      <c r="AD10" s="26" t="str">
        <f>CONCATENATE(IF($U10=$H$5,$G$5,IF($U10=$H$6,$G$6,IF($U10=$H$7,$G$7,IF($U10=$H$8,$G$8,IF($U10=$H$9,$G$9,IF($U10=$H$10,$G$10,IF($U10=$H$11,$G$11,IF($U10=$H$12,$G$12,IF($U10=$H$13,$G$13,IF($U10=$H$14,$G$14,IF($U10=$H$15,$G$15,IF($U10=$H$16,$G$16,IF($U10=$H$17,$G$17,"")))))))))))))&amp;" "&amp;IF($U10=$H$5,"(A)",IF($U10=$H$6,"(B)",IF($U10=$H$7,"(C)",IF($U10=$H$8,"(D)",IF($U10=$H$9,"(E)",IF($U10=$H$10,"(F)",IF($U10=$H$11,"(G)",IF($U10=$H$12,"(H)",IF($U10=$H$13,"(I)",IF($U10=$H$14,"(J)",IF($U10=$H$15,"(K)",IF($U10=$H$16,"(L)",IF($U10=$H$17,"(L)",""))))))))))))))</f>
        <v xml:space="preserve"> </v>
      </c>
      <c r="AE10" s="26" t="str">
        <f>CONCATENATE(IF($U10=$L$5,$K$5,IF($U10=$L$6,$K$6,IF($U10=$L$7,$K$7,IF($U10=$L$8,$K$8,IF($U10=$L$9,$K$9,IF($U10=$L$10,$K$10,IF($U10=$L$11,$K$11,IF($U10=$L$12,$K$12,IF($U10=$L$13,$K$13,IF($U10=$L$14,$K$14,IF($U10=$L$15,$K$15,IF($U10=$L$16,$K$16,IF($U10=$L$17,$K$17,"")))))))))))))&amp;" "&amp;IF($U10=$L$5,"(A)",IF($U10=$L$6,"(B)",IF($U10=$L$7,"(C)",IF($U10=$L$8,"(D)",IF($U10=$L$9,"(E)",IF($U10=$L$10,"(F)",IF($U10=$L$11,"(G)",IF($U10=$L$12,"(H)",IF($U10=$L$13,"(I)",IF($U10=$L$14,"(J)",IF($U10=$L$15,"(K)",IF($U10=$L$16,"(L)",IF($U10=$L$17,"(L)",""))))))))))))))</f>
        <v>ECOM (A)</v>
      </c>
      <c r="AF10" s="27" t="str">
        <f>CONCATENATE(IF($U10=$N$5,$M$5,IF($U10=$N$6,$M$6,IF($U10=$N$7,$M$7,IF($U10=$N$8,$M$8,IF($U10=$N$9,$M$9,IF($U10=$N$10,$M$10,IF($U10=$N$11,$M$11,IF($U10=$N$12,$M$12,IF($U10=$N$13,$M$13,IF($U10=$N$14,$M$14,IF($U10=$N$15,$M$15,IF($U10=$N$16,$M$16,IF($U10=$N$17,$M$17,"")))))))))))))&amp;" "&amp;(IF($U10=$N$5,"(A)",IF($U10=$N$6,"(B)",IF($U10=$N$7,"(C)",IF($U10=$N$8,"(D)",IF($U10=$N$9,"(E)",IF($U10=$N$10,"(F)",IF($U10=$N$11,"(G)",IF($U10=$N$12,"(H)",IF($U10=$N$13,"(I)",IF($U10=$N$14,"(J)",IF($U10=$N$15,"(K)",IF($U10=$N$16,"(L)",IF($U10=$N$17,"(L)","")))))))))))))))</f>
        <v>ECOM (C)</v>
      </c>
      <c r="AG10" s="178" t="str">
        <f t="shared" si="9"/>
        <v xml:space="preserve"> </v>
      </c>
      <c r="AH10" s="177" t="str">
        <f t="shared" si="10"/>
        <v xml:space="preserve"> </v>
      </c>
      <c r="AI10" s="177" t="str">
        <f t="shared" si="11"/>
        <v xml:space="preserve"> </v>
      </c>
      <c r="AJ10" s="180" t="str">
        <f t="shared" si="12"/>
        <v xml:space="preserve"> </v>
      </c>
      <c r="AK10" s="178" t="str">
        <f t="shared" si="13"/>
        <v>BT (K)</v>
      </c>
      <c r="AL10" s="177" t="str">
        <f t="shared" si="14"/>
        <v>BT (H)</v>
      </c>
      <c r="AM10" s="177" t="str">
        <f t="shared" si="15"/>
        <v xml:space="preserve"> </v>
      </c>
      <c r="AN10" s="179" t="str">
        <f t="shared" si="16"/>
        <v xml:space="preserve"> </v>
      </c>
    </row>
    <row r="11" spans="1:79" ht="18.75" customHeight="1" thickBot="1" x14ac:dyDescent="0.4">
      <c r="A11" s="374"/>
      <c r="B11" s="19" t="str">
        <f>Mon!B11</f>
        <v>MKG+ECOM</v>
      </c>
      <c r="C11" s="98" t="s">
        <v>69</v>
      </c>
      <c r="D11" s="76"/>
      <c r="E11" s="6" t="str">
        <f>IF(F11=$M$100,$N$100,IF(F11=$M$101,$N$101,IF(F11=$M$102,$N$102,IF(F11=$M$103,$N$103,IF(F11=$M$104,$N$104,IF(F11=$M$105,$N$105,IF(F11=$M$106,$N$106,IF(F11=$M$107,$N$107,"Training"))))))))</f>
        <v>MIP</v>
      </c>
      <c r="F11" s="7" t="s">
        <v>62</v>
      </c>
      <c r="G11" s="6" t="str">
        <f>IF(H11=$M$100,$N$100,IF(H11=$M$101,$N$101,IF(H11=$M$102,$N$102,IF(H11=$M$103,$N$103,IF(H11=$M$104,$N$104,IF(H11=$M$105,$N$105,IF(H11=$M$106,$N$106,IF(H11=$M$107,$N$107,"Training"))))))))</f>
        <v>IB</v>
      </c>
      <c r="H11" s="7" t="s">
        <v>63</v>
      </c>
      <c r="I11" s="375"/>
      <c r="J11" s="375"/>
      <c r="K11" s="6" t="str">
        <f>IF(L11=$M$100,$N$100,IF(L11=$M$101,$N$101,IF(L11=$M$102,$N$102,IF(L11=$M$103,$N$103,IF(L11=$M$104,$N$104,IF(L11=$M$105,$N$105,IF(L11=$M$106,$N$106,IF(L11=$M$107,$N$107,"Training"))))))))</f>
        <v>ECOM</v>
      </c>
      <c r="L11" s="7" t="s">
        <v>51</v>
      </c>
      <c r="M11" s="6" t="str">
        <f>IF(N11=$M$100,$N$100,IF(N11=$M$101,$N$101,IF(N11=$M$102,$N$102,IF(N11=$M$103,$N$103,IF(N11=$M$104,$N$104,IF(N11=$M$105,$N$105,IF(N11=$M$106,$N$106,IF(N11=$M$107,$N$107,"Training"))))))))</f>
        <v>CB</v>
      </c>
      <c r="N11" s="11" t="s">
        <v>70</v>
      </c>
      <c r="O11" s="70" t="str">
        <f>IF(P11="",".",P11)</f>
        <v>.</v>
      </c>
      <c r="P11" s="12"/>
      <c r="Q11" s="331"/>
      <c r="R11" s="331"/>
      <c r="S11" s="331"/>
      <c r="U11" s="165" t="str">
        <f>Mon!U11</f>
        <v>(BB)</v>
      </c>
      <c r="V11" s="9">
        <f t="shared" si="4"/>
        <v>4</v>
      </c>
      <c r="W11" s="36">
        <f>SUM(Mon!V11,Tue!V11,Wed!V11,Thur!V11,Fri!V11)</f>
        <v>16</v>
      </c>
      <c r="X11" s="165" t="str">
        <f>Mon!U11</f>
        <v>(BB)</v>
      </c>
      <c r="Y11" s="20">
        <f t="shared" si="0"/>
        <v>1</v>
      </c>
      <c r="Z11" s="21">
        <f t="shared" si="1"/>
        <v>2</v>
      </c>
      <c r="AA11" s="21">
        <f t="shared" si="2"/>
        <v>1</v>
      </c>
      <c r="AB11" s="22">
        <f t="shared" si="3"/>
        <v>0</v>
      </c>
      <c r="AC11" s="25" t="str">
        <f t="shared" ref="AC11:AC59" si="18">CONCATENATE(IF($U11=$F$5,$E$5,IF($U11=$F$6,$E$6,IF($U11=$F$7,$E$7,IF($U11=$F$8,$E$8,IF($U11=$F$9,$E$9,IF($U11=$F$10,$E$10,IF($U11=$F$11,$E$11,IF($U11=$F$12,$E$12,IF($U11=$F$13,$E$13,IF($U11=$F$14,$E$14,IF($U11=$F$15,$E$15,IF($U11=$F$16,$E$16,IF($U11=$F$17,$E$17,"")))))))))))))&amp;" "&amp;IF($U11=$F$5,"(A)",IF($U11=$F$6,"(B)",IF($U11=$F$7,"(C)",IF($U11=$F$8,"(D)",IF($U11=$F$9,"(E)",IF($U11=$F$10,"(F)",IF($U11=$F$11,"(G)",IF($U11=$F$12,"(H)",IF($U11=$F$13,"(I)",IF($U11=$F$14,"(J)",IF($U11=$F$15,"(K)",IF($U11=$F$16,"(L)",IF($U11=$F$17,"(L)",""))))))))))))))</f>
        <v xml:space="preserve"> </v>
      </c>
      <c r="AD11" s="26" t="str">
        <f t="shared" ref="AD11:AD59" si="19">CONCATENATE(IF($U11=$H$5,$G$5,IF($U11=$H$6,$G$6,IF($U11=$H$7,$G$7,IF($U11=$H$8,$G$8,IF($U11=$H$9,$G$9,IF($U11=$H$10,$G$10,IF($U11=$H$11,$G$11,IF($U11=$H$12,$G$12,IF($U11=$H$13,$G$13,IF($U11=$H$14,$G$14,IF($U11=$H$15,$G$15,IF($U11=$H$16,$G$16,IF($U11=$H$17,$G$17,"")))))))))))))&amp;" "&amp;IF($U11=$H$5,"(A)",IF($U11=$H$6,"(B)",IF($U11=$H$7,"(C)",IF($U11=$H$8,"(D)",IF($U11=$H$9,"(E)",IF($U11=$H$10,"(F)",IF($U11=$H$11,"(G)",IF($U11=$H$12,"(H)",IF($U11=$H$13,"(I)",IF($U11=$H$14,"(J)",IF($U11=$H$15,"(K)",IF($U11=$H$16,"(L)",IF($U11=$H$17,"(L)",""))))))))))))))</f>
        <v>ECOM (L)</v>
      </c>
      <c r="AE11" s="26" t="str">
        <f t="shared" ref="AE11:AE59" si="20">CONCATENATE(IF($U11=$L$5,$K$5,IF($U11=$L$6,$K$6,IF($U11=$L$7,$K$7,IF($U11=$L$8,$K$8,IF($U11=$L$9,$K$9,IF($U11=$L$10,$K$10,IF($U11=$L$11,$K$11,IF($U11=$L$12,$K$12,IF($U11=$L$13,$K$13,IF($U11=$L$14,$K$14,IF($U11=$L$15,$K$15,IF($U11=$L$16,$K$16,IF($U11=$L$17,$K$17,"")))))))))))))&amp;" "&amp;IF($U11=$L$5,"(A)",IF($U11=$L$6,"(B)",IF($U11=$L$7,"(C)",IF($U11=$L$8,"(D)",IF($U11=$L$9,"(E)",IF($U11=$L$10,"(F)",IF($U11=$L$11,"(G)",IF($U11=$L$12,"(H)",IF($U11=$L$13,"(I)",IF($U11=$L$14,"(J)",IF($U11=$L$15,"(K)",IF($U11=$L$16,"(L)",IF($U11=$L$17,"(L)",""))))))))))))))</f>
        <v xml:space="preserve"> </v>
      </c>
      <c r="AF11" s="27" t="str">
        <f t="shared" ref="AF11:AF59" si="21">CONCATENATE(IF($U11=$N$5,$M$5,IF($U11=$N$6,$M$6,IF($U11=$N$7,$M$7,IF($U11=$N$8,$M$8,IF($U11=$N$9,$M$9,IF($U11=$N$10,$M$10,IF($U11=$N$11,$M$11,IF($U11=$N$12,$M$12,IF($U11=$N$13,$M$13,IF($U11=$N$14,$M$14,IF($U11=$N$15,$M$15,IF($U11=$N$16,$M$16,IF($U11=$N$17,$M$17,"")))))))))))))&amp;" "&amp;(IF($U11=$N$5,"(A)",IF($U11=$N$6,"(B)",IF($U11=$N$7,"(C)",IF($U11=$N$8,"(D)",IF($U11=$N$9,"(E)",IF($U11=$N$10,"(F)",IF($U11=$N$11,"(G)",IF($U11=$N$12,"(H)",IF($U11=$N$13,"(I)",IF($U11=$N$14,"(J)",IF($U11=$N$15,"(K)",IF($U11=$N$16,"(L)",IF($U11=$N$17,"(L)","")))))))))))))))</f>
        <v xml:space="preserve"> </v>
      </c>
      <c r="AG11" s="178" t="str">
        <f t="shared" si="9"/>
        <v xml:space="preserve"> </v>
      </c>
      <c r="AH11" s="177" t="str">
        <f t="shared" si="10"/>
        <v xml:space="preserve"> </v>
      </c>
      <c r="AI11" s="177" t="str">
        <f t="shared" si="11"/>
        <v xml:space="preserve"> </v>
      </c>
      <c r="AJ11" s="180" t="str">
        <f t="shared" si="12"/>
        <v xml:space="preserve"> </v>
      </c>
      <c r="AK11" s="178" t="str">
        <f t="shared" si="13"/>
        <v>QT (B)</v>
      </c>
      <c r="AL11" s="177" t="str">
        <f t="shared" si="14"/>
        <v>QT (L)</v>
      </c>
      <c r="AM11" s="177" t="str">
        <f t="shared" si="15"/>
        <v>QT (C)</v>
      </c>
      <c r="AN11" s="179" t="str">
        <f t="shared" si="16"/>
        <v xml:space="preserve"> </v>
      </c>
    </row>
    <row r="12" spans="1:79" ht="18.75" customHeight="1" thickBot="1" x14ac:dyDescent="0.4">
      <c r="A12" s="374"/>
      <c r="B12" s="19" t="str">
        <f>Mon!B12</f>
        <v>MKG+ECOM</v>
      </c>
      <c r="C12" s="98" t="s">
        <v>72</v>
      </c>
      <c r="D12" s="76"/>
      <c r="E12" s="6" t="str">
        <f>IF(F12=$O$100,$P$100,IF(F12=$O$101,$P$101,IF(F12=$O$102,$P$102,IF(F12=$O$103,$P$103,IF(F12=$O$104,$P$104,IF(F12=$O$105,$P$105,IF(F12=$O$106,$P$106,IF(F12=$O$107,$P$107,"Training"))))))))</f>
        <v>IB</v>
      </c>
      <c r="F12" s="7" t="s">
        <v>43</v>
      </c>
      <c r="G12" s="6" t="str">
        <f>IF(H12=$O$100,$P$100,IF(H12=$O$101,$P$101,IF(H12=$O$102,$P$102,IF(H12=$O$103,$P$103,IF(H12=$O$104,$P$104,IF(H12=$O$105,$P$105,IF(H12=$O$106,$P$106,IF(H12=$O$107,$P$107,"Training"))))))))</f>
        <v>ECOM</v>
      </c>
      <c r="H12" s="7" t="s">
        <v>51</v>
      </c>
      <c r="I12" s="375"/>
      <c r="J12" s="375"/>
      <c r="K12" s="6" t="str">
        <f>IF(L12=$O$100,$P$100,IF(L12=$O$101,$P$101,IF(L12=$O$102,$P$102,IF(L12=$O$103,$P$103,IF(L12=$O$104,$P$104,IF(L12=$O$105,$P$105,IF(L12=$O$106,$P$106,IF(L12=$O$107,$P$107,"Training"))))))))</f>
        <v>MA</v>
      </c>
      <c r="L12" s="7" t="s">
        <v>57</v>
      </c>
      <c r="M12" s="6" t="str">
        <f>IF(N12=$O$100,$P$100,IF(N12=$O$101,$P$101,IF(N12=$O$102,$P$102,IF(N12=$O$103,$P$103,IF(N12=$O$104,$P$104,IF(N12=$O$105,$P$105,IF(N12=$O$106,$P$106,IF(N12=$O$107,$P$107,"Training"))))))))</f>
        <v>RM</v>
      </c>
      <c r="N12" s="11" t="s">
        <v>148</v>
      </c>
      <c r="O12" s="71" t="str">
        <f t="shared" ref="O12:O18" si="22">IF(P12="",".",P12)</f>
        <v>.</v>
      </c>
      <c r="P12" s="13"/>
      <c r="Q12" s="331"/>
      <c r="R12" s="331"/>
      <c r="S12" s="331"/>
      <c r="U12" s="165" t="str">
        <f>Mon!U12</f>
        <v>(BD)</v>
      </c>
      <c r="V12" s="9">
        <f t="shared" si="4"/>
        <v>3</v>
      </c>
      <c r="W12" s="36">
        <f>SUM(Mon!V12,Tue!V12,Wed!V12,Thur!V12,Fri!V12)</f>
        <v>15</v>
      </c>
      <c r="X12" s="165" t="str">
        <f>Mon!U12</f>
        <v>(BD)</v>
      </c>
      <c r="Y12" s="20">
        <f t="shared" si="0"/>
        <v>1</v>
      </c>
      <c r="Z12" s="21">
        <f t="shared" si="1"/>
        <v>1</v>
      </c>
      <c r="AA12" s="21">
        <f t="shared" si="2"/>
        <v>0</v>
      </c>
      <c r="AB12" s="22">
        <f t="shared" si="3"/>
        <v>1</v>
      </c>
      <c r="AC12" s="25" t="str">
        <f t="shared" si="18"/>
        <v xml:space="preserve"> </v>
      </c>
      <c r="AD12" s="26" t="str">
        <f t="shared" si="19"/>
        <v xml:space="preserve"> </v>
      </c>
      <c r="AE12" s="26" t="str">
        <f t="shared" si="20"/>
        <v xml:space="preserve"> </v>
      </c>
      <c r="AF12" s="27" t="str">
        <f t="shared" si="21"/>
        <v xml:space="preserve"> </v>
      </c>
      <c r="AG12" s="178" t="str">
        <f t="shared" si="9"/>
        <v>HR (B)</v>
      </c>
      <c r="AH12" s="177" t="str">
        <f t="shared" si="10"/>
        <v>HR (N)</v>
      </c>
      <c r="AI12" s="177" t="str">
        <f t="shared" si="11"/>
        <v xml:space="preserve"> </v>
      </c>
      <c r="AJ12" s="180" t="str">
        <f t="shared" si="12"/>
        <v>HR (F)</v>
      </c>
      <c r="AK12" s="178" t="str">
        <f t="shared" si="13"/>
        <v xml:space="preserve"> </v>
      </c>
      <c r="AL12" s="177" t="str">
        <f t="shared" si="14"/>
        <v xml:space="preserve"> </v>
      </c>
      <c r="AM12" s="177" t="str">
        <f t="shared" si="15"/>
        <v xml:space="preserve"> </v>
      </c>
      <c r="AN12" s="179" t="str">
        <f t="shared" si="16"/>
        <v xml:space="preserve"> </v>
      </c>
    </row>
    <row r="13" spans="1:79" ht="18.75" customHeight="1" thickBot="1" x14ac:dyDescent="0.4">
      <c r="A13" s="374"/>
      <c r="B13" s="19" t="str">
        <f>Mon!B13</f>
        <v>MKG+ECOM</v>
      </c>
      <c r="C13" s="98" t="s">
        <v>76</v>
      </c>
      <c r="D13" s="76"/>
      <c r="E13" s="6" t="str">
        <f>IF(F13=$Q$100,$R$100,IF(F13=$Q$101,$R$101,IF(F13=$Q$102,$R$102,IF(F13=$Q$103,$R$103,IF(F13=$Q$104,$R$104,IF(F13=$Q$105,$R$105,IF(F13=$Q$106,$R$106,IF(F13=$Q$107,$R$107,"Training"))))))))</f>
        <v>IB</v>
      </c>
      <c r="F13" s="7" t="s">
        <v>46</v>
      </c>
      <c r="G13" s="6" t="str">
        <f>IF(H13=$Q$100,$R$100,IF(H13=$Q$101,$R$101,IF(H13=$Q$102,$R$102,IF(H13=$Q$103,$R$103,IF(H13=$Q$104,$R$104,IF(H13=$Q$105,$R$105,IF(H13=$Q$106,$R$106,IF(H13=$Q$107,$R$107,"Training"))))))))</f>
        <v>MA</v>
      </c>
      <c r="H13" s="7" t="s">
        <v>66</v>
      </c>
      <c r="I13" s="375"/>
      <c r="J13" s="375"/>
      <c r="K13" s="6" t="str">
        <f>IF(L13=$Q$100,$R$100,IF(L13=$Q$101,$R$101,IF(L13=$Q$102,$R$102,IF(L13=$Q$103,$R$103,IF(L13=$Q$104,$R$104,IF(L13=$Q$105,$R$105,IF(L13=$Q$106,$R$106,IF(L13=$Q$107,$R$107,"Training"))))))))</f>
        <v>IT</v>
      </c>
      <c r="L13" s="7" t="s">
        <v>45</v>
      </c>
      <c r="M13" s="6" t="str">
        <f>IF(N13=$Q$100,$R$100,IF(N13=$Q$101,$R$101,IF(N13=$Q$102,$R$102,IF(N13=$Q$103,$R$103,IF(N13=$Q$104,$R$104,IF(N13=$Q$105,$R$105,IF(N13=$Q$106,$R$106,IF(N13=$Q$107,$R$107,"Training"))))))))</f>
        <v>RM</v>
      </c>
      <c r="N13" s="11" t="s">
        <v>47</v>
      </c>
      <c r="O13" s="71" t="str">
        <f t="shared" si="22"/>
        <v>.</v>
      </c>
      <c r="P13" s="13"/>
      <c r="Q13" s="331"/>
      <c r="R13" s="331"/>
      <c r="S13" s="331"/>
      <c r="U13" s="165" t="str">
        <f>Mon!U13</f>
        <v>(CG)</v>
      </c>
      <c r="V13" s="9">
        <f t="shared" si="4"/>
        <v>3</v>
      </c>
      <c r="W13" s="36">
        <f>SUM(Mon!V13,Tue!V13,Wed!V13,Thur!V13,Fri!V13)</f>
        <v>13</v>
      </c>
      <c r="X13" s="165" t="str">
        <f>Mon!U13</f>
        <v>(CG)</v>
      </c>
      <c r="Y13" s="20">
        <f t="shared" si="0"/>
        <v>0</v>
      </c>
      <c r="Z13" s="21">
        <f t="shared" si="1"/>
        <v>1</v>
      </c>
      <c r="AA13" s="21">
        <f t="shared" si="2"/>
        <v>2</v>
      </c>
      <c r="AB13" s="22">
        <f t="shared" si="3"/>
        <v>0</v>
      </c>
      <c r="AC13" s="25" t="str">
        <f t="shared" si="18"/>
        <v xml:space="preserve"> </v>
      </c>
      <c r="AD13" s="26" t="str">
        <f t="shared" si="19"/>
        <v xml:space="preserve"> </v>
      </c>
      <c r="AE13" s="26" t="str">
        <f t="shared" si="20"/>
        <v xml:space="preserve"> </v>
      </c>
      <c r="AF13" s="27" t="str">
        <f t="shared" si="21"/>
        <v xml:space="preserve"> </v>
      </c>
      <c r="AG13" s="178" t="str">
        <f t="shared" si="9"/>
        <v xml:space="preserve"> </v>
      </c>
      <c r="AH13" s="177" t="str">
        <f t="shared" si="10"/>
        <v xml:space="preserve"> </v>
      </c>
      <c r="AI13" s="177" t="str">
        <f t="shared" si="11"/>
        <v xml:space="preserve"> </v>
      </c>
      <c r="AJ13" s="180" t="str">
        <f t="shared" si="12"/>
        <v xml:space="preserve"> </v>
      </c>
      <c r="AK13" s="178" t="str">
        <f t="shared" si="13"/>
        <v xml:space="preserve"> </v>
      </c>
      <c r="AL13" s="177" t="str">
        <f t="shared" si="14"/>
        <v xml:space="preserve"> </v>
      </c>
      <c r="AM13" s="177" t="str">
        <f t="shared" si="15"/>
        <v>GE (I)</v>
      </c>
      <c r="AN13" s="179" t="str">
        <f t="shared" si="16"/>
        <v xml:space="preserve"> </v>
      </c>
    </row>
    <row r="14" spans="1:79" ht="18.75" customHeight="1" thickBot="1" x14ac:dyDescent="0.4">
      <c r="A14" s="374"/>
      <c r="B14" s="19" t="str">
        <f>Mon!B14</f>
        <v>MKG+PR</v>
      </c>
      <c r="C14" s="98" t="s">
        <v>79</v>
      </c>
      <c r="D14" s="76"/>
      <c r="E14" s="6" t="str">
        <f>IF(F14=$S$100,$T$100,IF(F14=$S$101,$T$101,IF(F14=$S$102,$T$102,IF(F14=$S$103,$T$103,IF(F14=$S$104,$T$104,IF(F14=$S$105,$T$105,IF(F14=$S$106,$T$106,IF(F14=$S$107,$T$107,"Training"))))))))</f>
        <v>CB</v>
      </c>
      <c r="F14" s="7" t="s">
        <v>70</v>
      </c>
      <c r="G14" s="6" t="str">
        <f>IF(H14=$S$100,$T$100,IF(H14=$S$101,$T$101,IF(H14=$S$102,$T$102,IF(H14=$S$103,$T$103,IF(H14=$S$104,$T$104,IF(H14=$S$105,$T$105,IF(H14=$S$106,$T$106,IF(H14=$S$107,$T$107,"Training"))))))))</f>
        <v>MA</v>
      </c>
      <c r="H14" s="7" t="s">
        <v>60</v>
      </c>
      <c r="I14" s="375"/>
      <c r="J14" s="375"/>
      <c r="K14" s="6" t="str">
        <f>IF(L14=$S$100,$T$100,IF(L14=$S$101,$T$101,IF(L14=$S$102,$T$102,IF(L14=$S$103,$T$103,IF(L14=$S$104,$T$104,IF(L14=$S$105,$T$105,IF(L14=$S$106,$T$106,IF(L14=$S$107,$T$107,"Training"))))))))</f>
        <v>IT</v>
      </c>
      <c r="L14" s="7" t="s">
        <v>47</v>
      </c>
      <c r="M14" s="6" t="str">
        <f>IF(N14=$S$100,$T$100,IF(N14=$S$101,$T$101,IF(N14=$S$102,$T$102,IF(N14=$S$103,$T$103,IF(N14=$S$104,$T$104,IF(N14=$S$105,$T$105,IF(N14=$S$106,$T$106,IF(N14=$S$107,$T$107,"Training"))))))))</f>
        <v>RM</v>
      </c>
      <c r="N14" s="11" t="s">
        <v>73</v>
      </c>
      <c r="O14" s="71" t="str">
        <f t="shared" si="22"/>
        <v>.</v>
      </c>
      <c r="P14" s="13"/>
      <c r="Q14" s="331"/>
      <c r="R14" s="331"/>
      <c r="S14" s="331"/>
      <c r="U14" s="165" t="str">
        <f>Mon!U14</f>
        <v>(DT)</v>
      </c>
      <c r="V14" s="9">
        <f t="shared" si="4"/>
        <v>2</v>
      </c>
      <c r="W14" s="36">
        <f>SUM(Mon!V14,Tue!V14,Wed!V14,Thur!V14,Fri!V14)</f>
        <v>14</v>
      </c>
      <c r="X14" s="165" t="str">
        <f>Mon!U14</f>
        <v>(DT)</v>
      </c>
      <c r="Y14" s="20">
        <f t="shared" si="0"/>
        <v>1</v>
      </c>
      <c r="Z14" s="21">
        <f t="shared" si="1"/>
        <v>0</v>
      </c>
      <c r="AA14" s="21">
        <f t="shared" si="2"/>
        <v>1</v>
      </c>
      <c r="AB14" s="22">
        <f t="shared" si="3"/>
        <v>0</v>
      </c>
      <c r="AC14" s="25" t="str">
        <f t="shared" si="18"/>
        <v>MIP (G)</v>
      </c>
      <c r="AD14" s="26" t="str">
        <f t="shared" si="19"/>
        <v xml:space="preserve"> </v>
      </c>
      <c r="AE14" s="26" t="str">
        <f t="shared" si="20"/>
        <v>MIP (K)</v>
      </c>
      <c r="AF14" s="27" t="str">
        <f t="shared" si="21"/>
        <v xml:space="preserve"> </v>
      </c>
      <c r="AG14" s="178" t="str">
        <f t="shared" si="9"/>
        <v xml:space="preserve"> </v>
      </c>
      <c r="AH14" s="177" t="str">
        <f t="shared" si="10"/>
        <v xml:space="preserve"> </v>
      </c>
      <c r="AI14" s="177" t="str">
        <f t="shared" si="11"/>
        <v xml:space="preserve"> </v>
      </c>
      <c r="AJ14" s="180" t="str">
        <f t="shared" si="12"/>
        <v xml:space="preserve"> </v>
      </c>
      <c r="AK14" s="178" t="str">
        <f t="shared" si="13"/>
        <v xml:space="preserve"> </v>
      </c>
      <c r="AL14" s="177" t="str">
        <f t="shared" si="14"/>
        <v xml:space="preserve"> </v>
      </c>
      <c r="AM14" s="177" t="str">
        <f t="shared" si="15"/>
        <v xml:space="preserve"> </v>
      </c>
      <c r="AN14" s="179" t="str">
        <f t="shared" si="16"/>
        <v xml:space="preserve"> </v>
      </c>
    </row>
    <row r="15" spans="1:79" ht="18.75" customHeight="1" thickBot="1" x14ac:dyDescent="0.4">
      <c r="A15" s="374"/>
      <c r="B15" s="99" t="str">
        <f>Mon!B15</f>
        <v>MKG+ECOM+PR</v>
      </c>
      <c r="C15" s="162" t="s">
        <v>81</v>
      </c>
      <c r="D15" s="76"/>
      <c r="E15" s="81" t="str">
        <f>IF(F15=$U$100,$V$100,IF(F15=$U$101,$V$101,IF(F15=$U$102,$V$102,IF(F15=$U$103,$V$103,IF(F15=$U$104,$V$104,IF(F15=$U$105,$V$105,IF(F15=$U$106,$V$106,IF(F15=$U$107,$V$107,"Training"))))))))</f>
        <v>PR</v>
      </c>
      <c r="F15" s="80" t="s">
        <v>82</v>
      </c>
      <c r="G15" s="81" t="str">
        <f>IF(H15=$U$100,$V$100,IF(H15=$U$101,$V$101,IF(H15=$U$102,$V$102,IF(H15=$U$103,$V$103,IF(H15=$U$104,$V$104,IF(H15=$U$105,$V$105,IF(H15=$U$106,$V$106,IF(H15=$U$107,$V$107,"Training"))))))))</f>
        <v>RM</v>
      </c>
      <c r="H15" s="80" t="s">
        <v>73</v>
      </c>
      <c r="I15" s="375"/>
      <c r="J15" s="375"/>
      <c r="K15" s="81" t="str">
        <f>IF(L15=$U$100,$V$100,IF(L15=$U$101,$V$101,IF(L15=$U$102,$V$102,IF(L15=$U$103,$V$103,IF(L15=$U$104,$V$104,IF(L15=$U$105,$V$105,IF(L15=$U$106,$V$106,IF(L15=$U$107,$V$107,"Training"))))))))</f>
        <v>MIP</v>
      </c>
      <c r="L15" s="80" t="s">
        <v>62</v>
      </c>
      <c r="M15" s="81" t="str">
        <f>IF(N15=$U$100,$V$100,IF(N15=$U$101,$V$101,IF(N15=$U$102,$V$102,IF(N15=$U$103,$V$103,IF(N15=$U$104,$V$104,IF(N15=$U$105,$V$105,IF(N15=$U$106,$V$106,IF(N15=$U$107,$V$107,"Training"))))))))</f>
        <v>MA</v>
      </c>
      <c r="N15" s="86" t="s">
        <v>66</v>
      </c>
      <c r="O15" s="72" t="str">
        <f t="shared" si="22"/>
        <v>.</v>
      </c>
      <c r="P15" s="147"/>
      <c r="Q15" s="331"/>
      <c r="U15" s="165" t="str">
        <f>Mon!U15</f>
        <v>(EC)</v>
      </c>
      <c r="V15" s="9">
        <f t="shared" si="4"/>
        <v>3</v>
      </c>
      <c r="W15" s="36">
        <f>SUM(Mon!V15,Tue!V15,Wed!V15,Thur!V15,Fri!V15)</f>
        <v>15</v>
      </c>
      <c r="X15" s="165" t="str">
        <f>Mon!U15</f>
        <v>(EC)</v>
      </c>
      <c r="Y15" s="20">
        <f t="shared" si="0"/>
        <v>0</v>
      </c>
      <c r="Z15" s="21">
        <f t="shared" si="1"/>
        <v>1</v>
      </c>
      <c r="AA15" s="21">
        <f t="shared" si="2"/>
        <v>1</v>
      </c>
      <c r="AB15" s="22">
        <f t="shared" si="3"/>
        <v>1</v>
      </c>
      <c r="AC15" s="25" t="str">
        <f t="shared" si="18"/>
        <v xml:space="preserve"> </v>
      </c>
      <c r="AD15" s="26" t="str">
        <f t="shared" si="19"/>
        <v>IB (G)</v>
      </c>
      <c r="AE15" s="26" t="str">
        <f t="shared" si="20"/>
        <v>IB (E)</v>
      </c>
      <c r="AF15" s="27" t="str">
        <f t="shared" si="21"/>
        <v xml:space="preserve"> </v>
      </c>
      <c r="AG15" s="178" t="str">
        <f t="shared" si="9"/>
        <v xml:space="preserve"> </v>
      </c>
      <c r="AH15" s="177" t="str">
        <f t="shared" si="10"/>
        <v xml:space="preserve"> </v>
      </c>
      <c r="AI15" s="177" t="str">
        <f t="shared" si="11"/>
        <v xml:space="preserve"> </v>
      </c>
      <c r="AJ15" s="180" t="str">
        <f t="shared" si="12"/>
        <v>ED (E)</v>
      </c>
      <c r="AK15" s="178" t="str">
        <f t="shared" si="13"/>
        <v xml:space="preserve"> </v>
      </c>
      <c r="AL15" s="177" t="str">
        <f t="shared" si="14"/>
        <v xml:space="preserve"> </v>
      </c>
      <c r="AM15" s="177" t="str">
        <f t="shared" si="15"/>
        <v xml:space="preserve"> </v>
      </c>
      <c r="AN15" s="179" t="str">
        <f t="shared" si="16"/>
        <v xml:space="preserve"> </v>
      </c>
    </row>
    <row r="16" spans="1:79" ht="18.75" customHeight="1" thickBot="1" x14ac:dyDescent="0.4">
      <c r="A16" s="374"/>
      <c r="B16" s="367" t="str">
        <f>Mon!B16</f>
        <v>HR+ED+PR+ECOM</v>
      </c>
      <c r="C16" s="368" t="s">
        <v>84</v>
      </c>
      <c r="D16" s="82"/>
      <c r="E16" s="83" t="str">
        <f>IF(F16=$W$100,$X$100,IF(F16=$W$101,$X$101,IF(F16=$W$102,$X$102,IF(F16=$W$103,$X$103,IF(F16=$W$104,$X$104,IF(F16=$W$105,$X$105,IF(F16=$W$106,$X$106,IF(F16=$W$107,$X$107,"Training"))))))))</f>
        <v>IHRM</v>
      </c>
      <c r="F16" s="85" t="s">
        <v>51</v>
      </c>
      <c r="G16" s="83" t="str">
        <f>IF(H16=$W$100,$X$100,IF(H16=$W$101,$X$101,IF(H16=$W$102,$X$102,IF(H16=$W$103,$X$103,IF(H16=$W$104,$X$104,IF(H16=$W$105,$X$105,IF(H16=$W$106,$X$106,IF(H16=$W$107,$X$107,"Training"))))))))</f>
        <v>ECOM</v>
      </c>
      <c r="H16" s="84" t="s">
        <v>71</v>
      </c>
      <c r="I16" s="375"/>
      <c r="J16" s="375"/>
      <c r="K16" s="83" t="str">
        <f>IF(L16=$W$100,$X$100,IF(L16=$W$101,$X$101,IF(L16=$W$102,$X$102,IF(L16=$W$103,$X$103,IF(L16=$W$104,$X$104,IF(L16=$W$105,$X$105,IF(L16=$W$106,$X$106,IF(L16=$W$107,$X$107,"Training"))))))))</f>
        <v>IT</v>
      </c>
      <c r="L16" s="85" t="s">
        <v>52</v>
      </c>
      <c r="M16" s="83" t="str">
        <f>IF(N16=$W$100,$X$100,IF(N16=$W$101,$X$101,IF(N16=$W$102,$X$102,IF(N16=$W$103,$X$103,IF(N16=$W$104,$X$104,IF(N16=$W$105,$X$105,IF(N16=$W$106,$X$106,IF(N16=$W$107,$X$107,"Training"))))))))</f>
        <v>IB</v>
      </c>
      <c r="N16" s="85" t="s">
        <v>46</v>
      </c>
      <c r="O16" s="72" t="str">
        <f t="shared" si="22"/>
        <v>.</v>
      </c>
      <c r="P16" s="151"/>
      <c r="Q16" s="331"/>
      <c r="U16" s="165" t="str">
        <f>Mon!U16</f>
        <v>(HEM)</v>
      </c>
      <c r="V16" s="9">
        <f t="shared" si="4"/>
        <v>1</v>
      </c>
      <c r="W16" s="36">
        <f>SUM(Mon!V16,Tue!V16,Wed!V16,Thur!V16,Fri!V16)</f>
        <v>3</v>
      </c>
      <c r="X16" s="165" t="str">
        <f>Mon!U16</f>
        <v>(HEM)</v>
      </c>
      <c r="Y16" s="20">
        <f t="shared" si="0"/>
        <v>0</v>
      </c>
      <c r="Z16" s="21">
        <f t="shared" si="1"/>
        <v>0</v>
      </c>
      <c r="AA16" s="21">
        <f t="shared" si="2"/>
        <v>1</v>
      </c>
      <c r="AB16" s="22">
        <f t="shared" si="3"/>
        <v>0</v>
      </c>
      <c r="AC16" s="25" t="str">
        <f t="shared" si="18"/>
        <v xml:space="preserve"> </v>
      </c>
      <c r="AD16" s="26" t="str">
        <f t="shared" si="19"/>
        <v xml:space="preserve"> </v>
      </c>
      <c r="AE16" s="26" t="str">
        <f t="shared" si="20"/>
        <v xml:space="preserve"> </v>
      </c>
      <c r="AF16" s="27" t="str">
        <f t="shared" si="21"/>
        <v xml:space="preserve"> </v>
      </c>
      <c r="AG16" s="178" t="str">
        <f t="shared" si="9"/>
        <v xml:space="preserve"> </v>
      </c>
      <c r="AH16" s="177" t="str">
        <f t="shared" si="10"/>
        <v xml:space="preserve"> </v>
      </c>
      <c r="AI16" s="177" t="str">
        <f t="shared" si="11"/>
        <v xml:space="preserve"> </v>
      </c>
      <c r="AJ16" s="180" t="str">
        <f t="shared" si="12"/>
        <v xml:space="preserve"> </v>
      </c>
      <c r="AK16" s="178" t="str">
        <f t="shared" si="13"/>
        <v xml:space="preserve"> </v>
      </c>
      <c r="AL16" s="177" t="str">
        <f t="shared" si="14"/>
        <v xml:space="preserve"> </v>
      </c>
      <c r="AM16" s="177" t="str">
        <f t="shared" si="15"/>
        <v>KAN (M)</v>
      </c>
      <c r="AN16" s="179" t="str">
        <f t="shared" si="16"/>
        <v xml:space="preserve"> </v>
      </c>
    </row>
    <row r="17" spans="1:40" ht="18.75" customHeight="1" thickBot="1" x14ac:dyDescent="0.4">
      <c r="A17" s="374"/>
      <c r="B17" s="367"/>
      <c r="C17" s="368"/>
      <c r="D17" s="82"/>
      <c r="E17" s="298" t="str">
        <f>IF(F17="(LK)","LE",IF(F17="(ND)","ES",IF(F17="(DT)","EBO",IF(F17="(SP)","PR",""))))</f>
        <v>ES</v>
      </c>
      <c r="F17" s="34" t="str">
        <f>IF(F16="(RT)","(LK)",IF(F16="(SR)","(ND)",IF(F16="(EC)","(DT)",IF(F16="(BB)","(SP)",""))))</f>
        <v>(ND)</v>
      </c>
      <c r="G17" s="298" t="str">
        <f>IF(H17="(LK)","LE",IF(H17="(ND)","ES",IF(H17="(DT)","EBO",IF(H17="(SP)","PR",""))))</f>
        <v>PR</v>
      </c>
      <c r="H17" s="34" t="str">
        <f>IF(H16="(RT)","(LK)",IF(H16="(SR)","(ND)",IF(H16="(EC)","(DT)",IF(H16="(BB)","(SP)",""))))</f>
        <v>(SP)</v>
      </c>
      <c r="I17" s="375"/>
      <c r="J17" s="375"/>
      <c r="K17" s="298" t="str">
        <f>IF(L17="(LK)","LE",IF(L17="(ND)","ES",IF(L17="(DT)","EBO",IF(L17="(SP)","PR",""))))</f>
        <v/>
      </c>
      <c r="L17" s="34" t="str">
        <f>IF(L16="(RT)","(LK)",IF(L16="(SR)","(ND)",IF(L16="(EC)","(DT)",IF(L16="(BB)","(SP)",""))))</f>
        <v/>
      </c>
      <c r="M17" s="298" t="str">
        <f>IF(N17="(LK)","LE",IF(N17="(ND)","ES",IF(N17="(DT)","EBO",IF(N17="(SP)","PR",""))))</f>
        <v/>
      </c>
      <c r="N17" s="34" t="str">
        <f>IF(N16="(RT)","(LK)",IF(N16="(SR)","(ND)",IF(N16="(EC)","(DT)",IF(N16="(BB)","(SP)",""))))</f>
        <v/>
      </c>
      <c r="O17" s="72" t="str">
        <f t="shared" si="22"/>
        <v>.</v>
      </c>
      <c r="P17" s="151"/>
      <c r="Q17" s="331"/>
      <c r="U17" s="165" t="str">
        <f>Mon!U17</f>
        <v>(HK)</v>
      </c>
      <c r="V17" s="9">
        <f t="shared" si="4"/>
        <v>0</v>
      </c>
      <c r="W17" s="36">
        <f>SUM(Mon!V17,Tue!V17,Wed!V17,Thur!V17,Fri!V17)</f>
        <v>0</v>
      </c>
      <c r="X17" s="165" t="str">
        <f>Mon!U17</f>
        <v>(HK)</v>
      </c>
      <c r="Y17" s="20">
        <f t="shared" si="0"/>
        <v>0</v>
      </c>
      <c r="Z17" s="21">
        <f t="shared" si="1"/>
        <v>0</v>
      </c>
      <c r="AA17" s="21">
        <f t="shared" si="2"/>
        <v>0</v>
      </c>
      <c r="AB17" s="22">
        <f t="shared" si="3"/>
        <v>0</v>
      </c>
      <c r="AC17" s="25" t="str">
        <f t="shared" si="18"/>
        <v xml:space="preserve"> </v>
      </c>
      <c r="AD17" s="26" t="str">
        <f t="shared" si="19"/>
        <v xml:space="preserve"> </v>
      </c>
      <c r="AE17" s="26" t="str">
        <f t="shared" si="20"/>
        <v xml:space="preserve"> </v>
      </c>
      <c r="AF17" s="27" t="str">
        <f t="shared" si="21"/>
        <v xml:space="preserve"> </v>
      </c>
      <c r="AG17" s="178" t="str">
        <f t="shared" si="9"/>
        <v xml:space="preserve"> </v>
      </c>
      <c r="AH17" s="177" t="str">
        <f t="shared" si="10"/>
        <v xml:space="preserve"> </v>
      </c>
      <c r="AI17" s="177" t="str">
        <f t="shared" si="11"/>
        <v xml:space="preserve"> </v>
      </c>
      <c r="AJ17" s="180" t="str">
        <f t="shared" si="12"/>
        <v xml:space="preserve"> </v>
      </c>
      <c r="AK17" s="178" t="str">
        <f t="shared" si="13"/>
        <v xml:space="preserve"> </v>
      </c>
      <c r="AL17" s="177" t="str">
        <f t="shared" si="14"/>
        <v xml:space="preserve"> </v>
      </c>
      <c r="AM17" s="177" t="str">
        <f t="shared" si="15"/>
        <v xml:space="preserve"> </v>
      </c>
      <c r="AN17" s="179" t="str">
        <f t="shared" si="16"/>
        <v xml:space="preserve"> </v>
      </c>
    </row>
    <row r="18" spans="1:40" ht="18.75" customHeight="1" thickBot="1" x14ac:dyDescent="0.4">
      <c r="A18" s="374"/>
      <c r="B18" s="100" t="s">
        <v>87</v>
      </c>
      <c r="C18" s="330" t="s">
        <v>41</v>
      </c>
      <c r="D18" s="82"/>
      <c r="E18" s="81" t="s">
        <v>203</v>
      </c>
      <c r="F18" s="80" t="s">
        <v>100</v>
      </c>
      <c r="G18" s="81" t="s">
        <v>232</v>
      </c>
      <c r="H18" s="80" t="s">
        <v>233</v>
      </c>
      <c r="I18" s="375"/>
      <c r="J18" s="375"/>
      <c r="K18" s="81" t="s">
        <v>96</v>
      </c>
      <c r="L18" s="80"/>
      <c r="M18" s="81" t="s">
        <v>88</v>
      </c>
      <c r="N18" s="80" t="s">
        <v>89</v>
      </c>
      <c r="O18" s="72" t="str">
        <f t="shared" si="22"/>
        <v>.</v>
      </c>
      <c r="P18" s="152"/>
      <c r="Q18" s="331"/>
      <c r="U18" s="165" t="str">
        <f>Mon!U18</f>
        <v>(JAY)</v>
      </c>
      <c r="V18" s="9">
        <f t="shared" si="4"/>
        <v>4</v>
      </c>
      <c r="W18" s="36">
        <f>SUM(Mon!V18,Tue!V18,Wed!V18,Thur!V18,Fri!V18)</f>
        <v>16</v>
      </c>
      <c r="X18" s="165" t="str">
        <f>Mon!U18</f>
        <v>(JAY)</v>
      </c>
      <c r="Y18" s="20">
        <f t="shared" si="0"/>
        <v>1</v>
      </c>
      <c r="Z18" s="21">
        <f t="shared" si="1"/>
        <v>1</v>
      </c>
      <c r="AA18" s="21">
        <f t="shared" si="2"/>
        <v>1</v>
      </c>
      <c r="AB18" s="22">
        <f t="shared" si="3"/>
        <v>1</v>
      </c>
      <c r="AC18" s="25" t="str">
        <f t="shared" si="18"/>
        <v xml:space="preserve"> </v>
      </c>
      <c r="AD18" s="26" t="str">
        <f t="shared" si="19"/>
        <v xml:space="preserve"> </v>
      </c>
      <c r="AE18" s="26" t="str">
        <f t="shared" si="20"/>
        <v xml:space="preserve"> </v>
      </c>
      <c r="AF18" s="27" t="str">
        <f t="shared" si="21"/>
        <v xml:space="preserve"> </v>
      </c>
      <c r="AG18" s="178" t="str">
        <f t="shared" si="9"/>
        <v xml:space="preserve"> </v>
      </c>
      <c r="AH18" s="177" t="str">
        <f t="shared" si="10"/>
        <v xml:space="preserve"> </v>
      </c>
      <c r="AI18" s="177" t="str">
        <f t="shared" si="11"/>
        <v xml:space="preserve"> </v>
      </c>
      <c r="AJ18" s="180" t="str">
        <f t="shared" si="12"/>
        <v xml:space="preserve"> </v>
      </c>
      <c r="AK18" s="178" t="str">
        <f t="shared" si="13"/>
        <v>BT (N)</v>
      </c>
      <c r="AL18" s="177" t="str">
        <f t="shared" si="14"/>
        <v>BM (C)</v>
      </c>
      <c r="AM18" s="177" t="str">
        <f t="shared" si="15"/>
        <v>BT (E)</v>
      </c>
      <c r="AN18" s="179" t="str">
        <f t="shared" si="16"/>
        <v>BT (D)</v>
      </c>
    </row>
    <row r="19" spans="1:40" ht="18.75" customHeight="1" thickBot="1" x14ac:dyDescent="0.4">
      <c r="A19" s="374"/>
      <c r="B19" s="99" t="s">
        <v>87</v>
      </c>
      <c r="C19" s="18" t="s">
        <v>49</v>
      </c>
      <c r="D19" s="82"/>
      <c r="E19" s="83" t="s">
        <v>88</v>
      </c>
      <c r="F19" s="85" t="s">
        <v>89</v>
      </c>
      <c r="G19" s="83" t="s">
        <v>232</v>
      </c>
      <c r="H19" s="85" t="s">
        <v>233</v>
      </c>
      <c r="I19" s="375"/>
      <c r="J19" s="375"/>
      <c r="K19" s="83" t="s">
        <v>203</v>
      </c>
      <c r="L19" s="85" t="s">
        <v>100</v>
      </c>
      <c r="M19" s="83" t="s">
        <v>96</v>
      </c>
      <c r="N19" s="85"/>
      <c r="O19" s="124"/>
      <c r="Q19" s="331"/>
      <c r="U19" s="165" t="str">
        <f>Mon!U19</f>
        <v>(KM)</v>
      </c>
      <c r="V19" s="9">
        <f t="shared" si="4"/>
        <v>3</v>
      </c>
      <c r="W19" s="36">
        <f>SUM(Mon!V19,Tue!V19,Wed!V19,Thur!V19,Fri!V19)</f>
        <v>16</v>
      </c>
      <c r="X19" s="165" t="str">
        <f>Mon!U19</f>
        <v>(KM)</v>
      </c>
      <c r="Y19" s="20">
        <f t="shared" si="0"/>
        <v>1</v>
      </c>
      <c r="Z19" s="21">
        <f t="shared" si="1"/>
        <v>1</v>
      </c>
      <c r="AA19" s="21">
        <f t="shared" si="2"/>
        <v>0</v>
      </c>
      <c r="AB19" s="22">
        <f t="shared" si="3"/>
        <v>1</v>
      </c>
      <c r="AC19" s="25" t="str">
        <f t="shared" si="18"/>
        <v>CB (J)</v>
      </c>
      <c r="AD19" s="26" t="str">
        <f t="shared" si="19"/>
        <v>IB (B)</v>
      </c>
      <c r="AE19" s="26" t="str">
        <f t="shared" si="20"/>
        <v xml:space="preserve"> </v>
      </c>
      <c r="AF19" s="27" t="str">
        <f t="shared" si="21"/>
        <v>CB (G)</v>
      </c>
      <c r="AG19" s="178" t="str">
        <f t="shared" si="9"/>
        <v xml:space="preserve"> </v>
      </c>
      <c r="AH19" s="177" t="str">
        <f t="shared" si="10"/>
        <v xml:space="preserve"> </v>
      </c>
      <c r="AI19" s="177" t="str">
        <f t="shared" si="11"/>
        <v xml:space="preserve"> </v>
      </c>
      <c r="AJ19" s="180" t="str">
        <f t="shared" si="12"/>
        <v xml:space="preserve"> </v>
      </c>
      <c r="AK19" s="178" t="str">
        <f t="shared" si="13"/>
        <v xml:space="preserve"> </v>
      </c>
      <c r="AL19" s="177" t="str">
        <f t="shared" si="14"/>
        <v xml:space="preserve"> </v>
      </c>
      <c r="AM19" s="177" t="str">
        <f t="shared" si="15"/>
        <v xml:space="preserve"> </v>
      </c>
      <c r="AN19" s="179" t="str">
        <f t="shared" si="16"/>
        <v xml:space="preserve"> </v>
      </c>
    </row>
    <row r="20" spans="1:40" ht="18.75" customHeight="1" thickBot="1" x14ac:dyDescent="0.4">
      <c r="A20" s="173" t="s">
        <v>26</v>
      </c>
      <c r="B20" s="299"/>
      <c r="C20" s="94" t="s">
        <v>27</v>
      </c>
      <c r="D20" s="95"/>
      <c r="E20" s="352" t="s">
        <v>28</v>
      </c>
      <c r="F20" s="353"/>
      <c r="G20" s="354" t="s">
        <v>29</v>
      </c>
      <c r="H20" s="353"/>
      <c r="I20" s="354" t="s">
        <v>30</v>
      </c>
      <c r="J20" s="353"/>
      <c r="K20" s="354" t="s">
        <v>31</v>
      </c>
      <c r="L20" s="353"/>
      <c r="M20" s="354" t="s">
        <v>32</v>
      </c>
      <c r="N20" s="358"/>
      <c r="O20" s="124"/>
      <c r="Q20" s="331"/>
      <c r="U20" s="165" t="str">
        <f>Mon!U20</f>
        <v>(KR)</v>
      </c>
      <c r="V20" s="9">
        <f t="shared" si="4"/>
        <v>2</v>
      </c>
      <c r="W20" s="36">
        <f>SUM(Mon!V20,Tue!V20,Wed!V20,Thur!V20,Fri!V20)</f>
        <v>12</v>
      </c>
      <c r="X20" s="165" t="str">
        <f>Mon!U20</f>
        <v>(KR)</v>
      </c>
      <c r="Y20" s="20">
        <f t="shared" si="0"/>
        <v>1</v>
      </c>
      <c r="Z20" s="21">
        <f t="shared" si="1"/>
        <v>0</v>
      </c>
      <c r="AA20" s="21">
        <f t="shared" si="2"/>
        <v>0</v>
      </c>
      <c r="AB20" s="22">
        <f t="shared" si="3"/>
        <v>1</v>
      </c>
      <c r="AC20" s="25" t="str">
        <f t="shared" si="18"/>
        <v>MA (A)</v>
      </c>
      <c r="AD20" s="26" t="str">
        <f t="shared" si="19"/>
        <v xml:space="preserve"> </v>
      </c>
      <c r="AE20" s="26" t="str">
        <f t="shared" si="20"/>
        <v xml:space="preserve"> </v>
      </c>
      <c r="AF20" s="27" t="str">
        <f t="shared" si="21"/>
        <v xml:space="preserve"> </v>
      </c>
      <c r="AG20" s="178" t="str">
        <f t="shared" si="9"/>
        <v xml:space="preserve"> </v>
      </c>
      <c r="AH20" s="177" t="str">
        <f t="shared" si="10"/>
        <v xml:space="preserve"> </v>
      </c>
      <c r="AI20" s="177" t="str">
        <f t="shared" si="11"/>
        <v xml:space="preserve"> </v>
      </c>
      <c r="AJ20" s="180" t="str">
        <f t="shared" si="12"/>
        <v>CA (G)</v>
      </c>
      <c r="AK20" s="178" t="str">
        <f t="shared" si="13"/>
        <v xml:space="preserve"> </v>
      </c>
      <c r="AL20" s="177" t="str">
        <f t="shared" si="14"/>
        <v xml:space="preserve"> </v>
      </c>
      <c r="AM20" s="177" t="str">
        <f t="shared" si="15"/>
        <v xml:space="preserve"> </v>
      </c>
      <c r="AN20" s="179" t="str">
        <f t="shared" si="16"/>
        <v xml:space="preserve"> </v>
      </c>
    </row>
    <row r="21" spans="1:40" ht="18.75" customHeight="1" thickBot="1" x14ac:dyDescent="0.4">
      <c r="A21" s="343">
        <v>3</v>
      </c>
      <c r="B21" s="100" t="str">
        <f>Mon!B21</f>
        <v>CM+OP</v>
      </c>
      <c r="C21" s="330" t="s">
        <v>41</v>
      </c>
      <c r="D21" s="98"/>
      <c r="E21" s="33" t="str">
        <f>IF(F21=$A$88,$B$88,IF(F21=$A$89,$B$89,IF(F21=$A$90,$B$90,IF(F21=$A$91,$B$91,IF(F21=$A$92,$B$92,IF(F21=$A$93,$B$93,IF(F21=$A$94,$B$94,IF(F21=$A$95,$B$95,"Training"))))))))</f>
        <v>EVS</v>
      </c>
      <c r="F21" s="34" t="s">
        <v>104</v>
      </c>
      <c r="G21" s="33" t="str">
        <f>IF(H21=$A$88,$B$88,IF(H21=$A$89,$B$89,IF(H21=$A$90,$B$90,IF(H21=$A$91,$B$91,IF(H21=$A$92,$B$92,IF(H21=$A$93,$B$93,IF(H21=$A$94,$B$94,IF(H21=$A$95,$B$95,"Training"))))))))</f>
        <v>CM</v>
      </c>
      <c r="H21" s="34" t="s">
        <v>46</v>
      </c>
      <c r="I21" s="346" t="s">
        <v>143</v>
      </c>
      <c r="J21" s="347"/>
      <c r="K21" s="33" t="str">
        <f>IF(L21=$A$88,$B$88,IF(L21=$A$89,$B$89,IF(L21=$A$90,$B$90,IF(L21=$A$91,$B$91,IF(L21=$A$92,$B$92,IF(L21=$A$93,$B$93,IF(L21=$A$94,$B$94,IF(L21=$A$95,$B$95,"Training"))))))))</f>
        <v>OP</v>
      </c>
      <c r="L21" s="34" t="s">
        <v>119</v>
      </c>
      <c r="M21" s="33" t="str">
        <f>IF(N21=$A$88,$B$88,IF(N21=$A$89,$B$89,IF(N21=$A$90,$B$90,IF(N21=$A$91,$B$91,IF(N21=$A$92,$B$92,IF(N21=$A$93,$B$93,IF(N21=$A$94,$B$94,IF(N21=$A$95,$B$95,"Training"))))))))</f>
        <v>HR</v>
      </c>
      <c r="N21" s="34" t="s">
        <v>118</v>
      </c>
      <c r="O21" s="124"/>
      <c r="Q21" s="331"/>
      <c r="U21" s="165" t="str">
        <f>Mon!U21</f>
        <v>(LK)</v>
      </c>
      <c r="V21" s="9">
        <f t="shared" si="4"/>
        <v>2</v>
      </c>
      <c r="W21" s="36">
        <f>SUM(Mon!V21,Tue!V21,Wed!V21,Thur!V21,Fri!V21)</f>
        <v>15</v>
      </c>
      <c r="X21" s="165" t="str">
        <f>Mon!U21</f>
        <v>(LK)</v>
      </c>
      <c r="Y21" s="20">
        <f t="shared" si="0"/>
        <v>0</v>
      </c>
      <c r="Z21" s="21">
        <f t="shared" si="1"/>
        <v>1</v>
      </c>
      <c r="AA21" s="21">
        <f t="shared" si="2"/>
        <v>0</v>
      </c>
      <c r="AB21" s="22">
        <f t="shared" si="3"/>
        <v>1</v>
      </c>
      <c r="AC21" s="25" t="str">
        <f t="shared" si="18"/>
        <v xml:space="preserve"> </v>
      </c>
      <c r="AD21" s="26" t="str">
        <f t="shared" si="19"/>
        <v>RM (K)</v>
      </c>
      <c r="AE21" s="26" t="str">
        <f t="shared" si="20"/>
        <v xml:space="preserve"> </v>
      </c>
      <c r="AF21" s="27" t="str">
        <f t="shared" si="21"/>
        <v>RM (J)</v>
      </c>
      <c r="AG21" s="178" t="str">
        <f t="shared" si="9"/>
        <v xml:space="preserve"> </v>
      </c>
      <c r="AH21" s="177" t="str">
        <f t="shared" si="10"/>
        <v xml:space="preserve"> </v>
      </c>
      <c r="AI21" s="177" t="str">
        <f t="shared" si="11"/>
        <v xml:space="preserve"> </v>
      </c>
      <c r="AJ21" s="180" t="str">
        <f t="shared" si="12"/>
        <v xml:space="preserve"> </v>
      </c>
      <c r="AK21" s="178" t="str">
        <f t="shared" si="13"/>
        <v xml:space="preserve"> </v>
      </c>
      <c r="AL21" s="177" t="str">
        <f t="shared" si="14"/>
        <v xml:space="preserve"> </v>
      </c>
      <c r="AM21" s="177" t="str">
        <f t="shared" si="15"/>
        <v xml:space="preserve"> </v>
      </c>
      <c r="AN21" s="179" t="str">
        <f t="shared" si="16"/>
        <v xml:space="preserve"> </v>
      </c>
    </row>
    <row r="22" spans="1:40" ht="18.75" customHeight="1" thickBot="1" x14ac:dyDescent="0.4">
      <c r="A22" s="344"/>
      <c r="B22" s="19" t="str">
        <f>Mon!B22</f>
        <v>CM+OP</v>
      </c>
      <c r="C22" s="98" t="s">
        <v>49</v>
      </c>
      <c r="D22" s="98"/>
      <c r="E22" s="6" t="str">
        <f>IF(F22=$C$88,$D$88,IF(F22=$C$89,$D$89,IF(F22=$C$90,$D$90,IF(F22=$C$91,$D$91,IF(F22=$C$92,$D$92,IF(F22=$C$93,$D$93,IF(F22=$C$94,$D$94,IF(F22=$C$95,$D$95,"Training"))))))))</f>
        <v>HR</v>
      </c>
      <c r="F22" s="7" t="s">
        <v>75</v>
      </c>
      <c r="G22" s="6" t="str">
        <f>IF(H22=$C$88,$D$88,IF(H22=$C$89,$D$89,IF(H22=$C$90,$D$90,IF(H22=$C$91,$D$91,IF(H22=$C$92,$D$92,IF(H22=$C$93,$D$93,IF(H22=$C$94,$D$94,IF(H22=$C$95,$D$95,"Training"))))))))</f>
        <v>CA</v>
      </c>
      <c r="H22" s="7" t="s">
        <v>106</v>
      </c>
      <c r="I22" s="348"/>
      <c r="J22" s="349"/>
      <c r="K22" s="6" t="str">
        <f>IF(L22=$C$88,$D$88,IF(L22=$C$89,$D$89,IF(L22=$C$90,$D$90,IF(L22=$C$91,$D$91,IF(L22=$C$92,$D$92,IF(L22=$C$93,$D$93,IF(L22=$C$94,$D$94,IF(L22=$C$95,$D$95,"Training"))))))))</f>
        <v>MM</v>
      </c>
      <c r="L22" s="7" t="s">
        <v>74</v>
      </c>
      <c r="M22" s="6" t="str">
        <f>IF(N22=$C$88,$D$88,IF(N22=$C$89,$D$89,IF(N22=$C$90,$D$90,IF(N22=$C$91,$D$91,IF(N22=$C$92,$D$92,IF(N22=$C$93,$D$93,IF(N22=$C$94,$D$94,IF(N22=$C$95,$D$95,"Training"))))))))</f>
        <v>EVS</v>
      </c>
      <c r="N22" s="7" t="s">
        <v>105</v>
      </c>
      <c r="O22" s="124"/>
      <c r="Q22" s="331"/>
      <c r="U22" s="165" t="str">
        <f>Mon!U22</f>
        <v>(LV)</v>
      </c>
      <c r="V22" s="9">
        <f t="shared" si="4"/>
        <v>3</v>
      </c>
      <c r="W22" s="36">
        <f>SUM(Mon!V22,Tue!V22,Wed!V22,Thur!V22,Fri!V22)</f>
        <v>15</v>
      </c>
      <c r="X22" s="165" t="str">
        <f>Mon!U22</f>
        <v>(LV)</v>
      </c>
      <c r="Y22" s="20">
        <f t="shared" si="0"/>
        <v>1</v>
      </c>
      <c r="Z22" s="21">
        <f t="shared" si="1"/>
        <v>1</v>
      </c>
      <c r="AA22" s="21">
        <f t="shared" si="2"/>
        <v>1</v>
      </c>
      <c r="AB22" s="22">
        <f t="shared" si="3"/>
        <v>0</v>
      </c>
      <c r="AC22" s="25" t="str">
        <f t="shared" si="18"/>
        <v xml:space="preserve"> </v>
      </c>
      <c r="AD22" s="26" t="str">
        <f t="shared" si="19"/>
        <v xml:space="preserve"> </v>
      </c>
      <c r="AE22" s="26" t="str">
        <f t="shared" si="20"/>
        <v xml:space="preserve"> </v>
      </c>
      <c r="AF22" s="27" t="str">
        <f t="shared" si="21"/>
        <v xml:space="preserve"> </v>
      </c>
      <c r="AG22" s="178" t="str">
        <f t="shared" si="9"/>
        <v>ED (M)</v>
      </c>
      <c r="AH22" s="177" t="str">
        <f t="shared" si="10"/>
        <v>ED (H)</v>
      </c>
      <c r="AI22" s="177" t="str">
        <f t="shared" si="11"/>
        <v>ED (J)</v>
      </c>
      <c r="AJ22" s="180" t="str">
        <f t="shared" si="12"/>
        <v xml:space="preserve"> </v>
      </c>
      <c r="AK22" s="178" t="str">
        <f t="shared" si="13"/>
        <v xml:space="preserve"> </v>
      </c>
      <c r="AL22" s="177" t="str">
        <f t="shared" si="14"/>
        <v xml:space="preserve"> </v>
      </c>
      <c r="AM22" s="177" t="str">
        <f t="shared" si="15"/>
        <v xml:space="preserve"> </v>
      </c>
      <c r="AN22" s="179" t="str">
        <f t="shared" si="16"/>
        <v xml:space="preserve"> </v>
      </c>
    </row>
    <row r="23" spans="1:40" ht="18.75" customHeight="1" thickBot="1" x14ac:dyDescent="0.4">
      <c r="A23" s="344"/>
      <c r="B23" s="19" t="str">
        <f>Mon!B23</f>
        <v>CM+OP</v>
      </c>
      <c r="C23" s="98" t="s">
        <v>55</v>
      </c>
      <c r="D23" s="98"/>
      <c r="E23" s="6" t="str">
        <f>IF(F23=$E$88,$F$88,IF(F23=$E$89,$F$89,IF(F23=$E$90,$F$90,IF(F23=$E$91,$F$91,IF(F23=$E$92,$F$92,IF(F23=$E$93,$F$93,IF(F23=$E$94,$F$94,IF(F23=$E$95,$F$95,"Training"))))))))</f>
        <v>EVS</v>
      </c>
      <c r="F23" s="7" t="s">
        <v>54</v>
      </c>
      <c r="G23" s="6" t="str">
        <f>IF(H23=$E$88,$F$88,IF(H23=$E$89,$F$89,IF(H23=$E$90,$F$90,IF(H23=$E$91,$F$91,IF(H23=$E$92,$F$92,IF(H23=$E$93,$F$93,IF(H23=$E$94,$F$94,IF(H23=$E$95,$F$95,"Training"))))))))</f>
        <v>CA</v>
      </c>
      <c r="H23" s="7" t="s">
        <v>110</v>
      </c>
      <c r="I23" s="348"/>
      <c r="J23" s="349"/>
      <c r="K23" s="6" t="str">
        <f>IF(L23=$E$88,$F$88,IF(L23=$E$89,$F$89,IF(L23=$E$90,$F$90,IF(L23=$E$91,$F$91,IF(L23=$E$92,$F$92,IF(L23=$E$93,$F$93,IF(L23=$E$94,$F$94,IF(L23=$E$95,$F$95,"Training"))))))))</f>
        <v>CM</v>
      </c>
      <c r="L23" s="7" t="s">
        <v>104</v>
      </c>
      <c r="M23" s="6" t="str">
        <f>IF(N23=$E$88,$F$88,IF(N23=$E$89,$F$89,IF(N23=$E$90,$F$90,IF(N23=$E$91,$F$91,IF(N23=$E$92,$F$92,IF(N23=$E$93,$F$93,IF(N23=$E$94,$F$94,IF(N23=$E$95,$F$95,"Training"))))))))</f>
        <v>MM</v>
      </c>
      <c r="N23" s="7" t="s">
        <v>109</v>
      </c>
      <c r="O23" s="124"/>
      <c r="Q23" s="331"/>
      <c r="U23" s="165" t="str">
        <f>Mon!U23</f>
        <v>(MB)</v>
      </c>
      <c r="V23" s="9">
        <f t="shared" si="4"/>
        <v>3</v>
      </c>
      <c r="W23" s="36">
        <f>SUM(Mon!V23,Tue!V23,Wed!V23,Thur!V23,Fri!V23)</f>
        <v>15</v>
      </c>
      <c r="X23" s="165" t="str">
        <f>Mon!U23</f>
        <v>(MB)</v>
      </c>
      <c r="Y23" s="20">
        <f t="shared" si="0"/>
        <v>1</v>
      </c>
      <c r="Z23" s="21">
        <f t="shared" si="1"/>
        <v>0</v>
      </c>
      <c r="AA23" s="21">
        <f t="shared" si="2"/>
        <v>1</v>
      </c>
      <c r="AB23" s="22">
        <f t="shared" si="3"/>
        <v>1</v>
      </c>
      <c r="AC23" s="25" t="str">
        <f t="shared" si="18"/>
        <v xml:space="preserve"> </v>
      </c>
      <c r="AD23" s="26" t="str">
        <f t="shared" si="19"/>
        <v xml:space="preserve"> </v>
      </c>
      <c r="AE23" s="26" t="str">
        <f t="shared" si="20"/>
        <v xml:space="preserve"> </v>
      </c>
      <c r="AF23" s="27" t="str">
        <f t="shared" si="21"/>
        <v xml:space="preserve"> </v>
      </c>
      <c r="AG23" s="178" t="str">
        <f t="shared" si="9"/>
        <v>CP (J)</v>
      </c>
      <c r="AH23" s="177" t="str">
        <f t="shared" si="10"/>
        <v xml:space="preserve"> </v>
      </c>
      <c r="AI23" s="177" t="str">
        <f t="shared" si="11"/>
        <v>EVS (N)</v>
      </c>
      <c r="AJ23" s="180" t="str">
        <f t="shared" si="12"/>
        <v>EVS (B)</v>
      </c>
      <c r="AK23" s="178" t="str">
        <f t="shared" si="13"/>
        <v xml:space="preserve"> </v>
      </c>
      <c r="AL23" s="177" t="str">
        <f t="shared" si="14"/>
        <v xml:space="preserve"> </v>
      </c>
      <c r="AM23" s="177" t="str">
        <f t="shared" si="15"/>
        <v xml:space="preserve"> </v>
      </c>
      <c r="AN23" s="179" t="str">
        <f t="shared" si="16"/>
        <v xml:space="preserve"> </v>
      </c>
    </row>
    <row r="24" spans="1:40" ht="18.75" customHeight="1" thickBot="1" x14ac:dyDescent="0.4">
      <c r="A24" s="344"/>
      <c r="B24" s="19" t="str">
        <f>Mon!B24</f>
        <v>CM+OP</v>
      </c>
      <c r="C24" s="98" t="s">
        <v>37</v>
      </c>
      <c r="D24" s="98"/>
      <c r="E24" s="6" t="str">
        <f>IF(F24=$G$88,$H$88,IF(F24=$G$89,$H$89,IF(F24=$G$90,$H$90,IF(F24=$G$91,$H$91,IF(F24=$G$92,$H$92,IF(F24=$G$93,$H$93,IF(F24=$G$94,$H$94,IF(F24=$G$95,$H$95,"Training"))))))))</f>
        <v>CM</v>
      </c>
      <c r="F24" s="5" t="s">
        <v>112</v>
      </c>
      <c r="G24" s="6" t="str">
        <f>IF(H24=$G$88,$H$88,IF(H24=$G$89,$H$89,IF(H24=$G$90,$H$90,IF(H24=$G$91,$H$91,IF(H24=$G$92,$H$92,IF(H24=$G$93,$H$93,IF(H24=$G$94,$H$94,IF(H24=$G$95,$H$95,"Training"))))))))</f>
        <v>OP</v>
      </c>
      <c r="H24" s="5" t="s">
        <v>114</v>
      </c>
      <c r="I24" s="348"/>
      <c r="J24" s="349"/>
      <c r="K24" s="6" t="str">
        <f>IF(L24=$G$88,$H$88,IF(L24=$G$89,$H$89,IF(L24=$G$90,$H$90,IF(L24=$G$91,$H$91,IF(L24=$G$92,$H$92,IF(L24=$G$93,$H$93,IF(L24=$G$94,$H$94,IF(L24=$G$95,$H$95,"Training"))))))))</f>
        <v>CA</v>
      </c>
      <c r="L24" s="5" t="s">
        <v>60</v>
      </c>
      <c r="M24" s="6" t="str">
        <f>IF(N24=$G$88,$H$88,IF(N24=$G$89,$H$89,IF(N24=$G$90,$H$90,IF(N24=$G$91,$H$91,IF(N24=$G$92,$H$92,IF(N24=$G$93,$H$93,IF(N24=$G$94,$H$94,IF(N24=$G$95,$H$95,"Training"))))))))</f>
        <v>MM</v>
      </c>
      <c r="N24" s="5" t="s">
        <v>107</v>
      </c>
      <c r="O24" s="124"/>
      <c r="Q24" s="331"/>
      <c r="U24" s="165" t="str">
        <f>Mon!U24</f>
        <v>(MEG)</v>
      </c>
      <c r="V24" s="9">
        <f t="shared" si="4"/>
        <v>2</v>
      </c>
      <c r="W24" s="36">
        <f>SUM(Mon!V24,Tue!V24,Wed!V24,Thur!V24,Fri!V24)</f>
        <v>13</v>
      </c>
      <c r="X24" s="165" t="str">
        <f>Mon!U24</f>
        <v>(MEG)</v>
      </c>
      <c r="Y24" s="20">
        <f t="shared" si="0"/>
        <v>0</v>
      </c>
      <c r="Z24" s="21">
        <f t="shared" si="1"/>
        <v>1</v>
      </c>
      <c r="AA24" s="21">
        <f t="shared" si="2"/>
        <v>1</v>
      </c>
      <c r="AB24" s="22">
        <f t="shared" si="3"/>
        <v>0</v>
      </c>
      <c r="AC24" s="25" t="str">
        <f t="shared" si="18"/>
        <v xml:space="preserve"> </v>
      </c>
      <c r="AD24" s="26" t="str">
        <f t="shared" si="19"/>
        <v>MA (J)</v>
      </c>
      <c r="AE24" s="26" t="str">
        <f t="shared" si="20"/>
        <v xml:space="preserve"> </v>
      </c>
      <c r="AF24" s="27" t="str">
        <f t="shared" si="21"/>
        <v xml:space="preserve"> </v>
      </c>
      <c r="AG24" s="178" t="str">
        <f t="shared" si="9"/>
        <v xml:space="preserve"> </v>
      </c>
      <c r="AH24" s="177" t="str">
        <f t="shared" si="10"/>
        <v xml:space="preserve"> </v>
      </c>
      <c r="AI24" s="177" t="str">
        <f t="shared" si="11"/>
        <v>CA (D)</v>
      </c>
      <c r="AJ24" s="180" t="str">
        <f t="shared" si="12"/>
        <v xml:space="preserve"> </v>
      </c>
      <c r="AK24" s="178" t="str">
        <f t="shared" si="13"/>
        <v xml:space="preserve"> </v>
      </c>
      <c r="AL24" s="177" t="str">
        <f t="shared" si="14"/>
        <v xml:space="preserve"> </v>
      </c>
      <c r="AM24" s="177" t="str">
        <f t="shared" si="15"/>
        <v xml:space="preserve"> </v>
      </c>
      <c r="AN24" s="179" t="str">
        <f t="shared" si="16"/>
        <v xml:space="preserve"> </v>
      </c>
    </row>
    <row r="25" spans="1:40" ht="18.75" customHeight="1" thickBot="1" x14ac:dyDescent="0.4">
      <c r="A25" s="344"/>
      <c r="B25" s="19" t="str">
        <f>Mon!B25</f>
        <v>CM+OP</v>
      </c>
      <c r="C25" s="98" t="s">
        <v>38</v>
      </c>
      <c r="D25" s="98"/>
      <c r="E25" s="6" t="str">
        <f>IF(F25=$I$88,$J$88,IF(F25=$I$89,$J$89,IF(F25=$I$90,$J$90,IF(F25=$I$91,$J$91,IF(F25=$I$92,$J$92,IF(F25=$I$93,$J$93,IF(F25=$I$94,$J$94,IF(F25=$I$95,$J$95,"Training"))))))))</f>
        <v>OP</v>
      </c>
      <c r="F25" s="5" t="s">
        <v>114</v>
      </c>
      <c r="G25" s="6" t="str">
        <f>IF(H25=$I$88,$J$88,IF(H25=$I$89,$J$89,IF(H25=$I$90,$J$90,IF(H25=$I$91,$J$91,IF(H25=$I$92,$J$92,IF(H25=$I$93,$J$93,IF(H25=$I$94,$J$94,IF(H25=$I$95,$J$95,"Training"))))))))</f>
        <v>CM</v>
      </c>
      <c r="H25" s="5" t="s">
        <v>107</v>
      </c>
      <c r="I25" s="348"/>
      <c r="J25" s="349"/>
      <c r="K25" s="6" t="str">
        <f>IF(L25=$I$88,$J$88,IF(L25=$I$89,$J$89,IF(L25=$I$90,$J$90,IF(L25=$I$91,$J$91,IF(L25=$I$92,$J$92,IF(L25=$I$93,$J$93,IF(L25=$I$94,$J$94,IF(L25=$I$95,$J$95,"Training"))))))))</f>
        <v>CA</v>
      </c>
      <c r="L25" s="5" t="s">
        <v>112</v>
      </c>
      <c r="M25" s="6" t="str">
        <f>IF(N25=$I$88,$J$88,IF(N25=$I$89,$J$89,IF(N25=$I$90,$J$90,IF(N25=$I$91,$J$91,IF(N25=$I$92,$J$92,IF(N25=$I$93,$J$93,IF(N25=$I$94,$J$94,IF(N25=$I$95,$J$95,"Training"))))))))</f>
        <v>ED</v>
      </c>
      <c r="N25" s="5" t="s">
        <v>63</v>
      </c>
      <c r="O25" s="124"/>
      <c r="U25" s="165" t="str">
        <f>Mon!U25</f>
        <v>(MH)</v>
      </c>
      <c r="V25" s="9">
        <f t="shared" si="4"/>
        <v>1</v>
      </c>
      <c r="W25" s="36">
        <f>SUM(Mon!V25,Tue!V25,Wed!V25,Thur!V25,Fri!V25)</f>
        <v>14</v>
      </c>
      <c r="X25" s="165" t="str">
        <f>Mon!U25</f>
        <v>(MH)</v>
      </c>
      <c r="Y25" s="20">
        <f t="shared" si="0"/>
        <v>0</v>
      </c>
      <c r="Z25" s="21">
        <f t="shared" si="1"/>
        <v>1</v>
      </c>
      <c r="AA25" s="21">
        <f t="shared" si="2"/>
        <v>0</v>
      </c>
      <c r="AB25" s="22">
        <f t="shared" si="3"/>
        <v>0</v>
      </c>
      <c r="AC25" s="25" t="str">
        <f t="shared" si="18"/>
        <v xml:space="preserve"> </v>
      </c>
      <c r="AD25" s="26" t="str">
        <f t="shared" si="19"/>
        <v xml:space="preserve"> </v>
      </c>
      <c r="AE25" s="26" t="str">
        <f t="shared" si="20"/>
        <v xml:space="preserve"> </v>
      </c>
      <c r="AF25" s="27" t="str">
        <f t="shared" si="21"/>
        <v xml:space="preserve"> </v>
      </c>
      <c r="AG25" s="178" t="str">
        <f t="shared" si="9"/>
        <v xml:space="preserve"> </v>
      </c>
      <c r="AH25" s="177" t="str">
        <f t="shared" si="10"/>
        <v>SP (M)</v>
      </c>
      <c r="AI25" s="177" t="str">
        <f t="shared" si="11"/>
        <v xml:space="preserve"> </v>
      </c>
      <c r="AJ25" s="180" t="str">
        <f t="shared" si="12"/>
        <v xml:space="preserve"> </v>
      </c>
      <c r="AK25" s="178" t="str">
        <f t="shared" si="13"/>
        <v xml:space="preserve"> </v>
      </c>
      <c r="AL25" s="177" t="str">
        <f t="shared" si="14"/>
        <v xml:space="preserve"> </v>
      </c>
      <c r="AM25" s="177" t="str">
        <f t="shared" si="15"/>
        <v xml:space="preserve"> </v>
      </c>
      <c r="AN25" s="179" t="str">
        <f t="shared" si="16"/>
        <v xml:space="preserve"> </v>
      </c>
    </row>
    <row r="26" spans="1:40" ht="18.75" customHeight="1" thickBot="1" x14ac:dyDescent="0.4">
      <c r="A26" s="344"/>
      <c r="B26" s="19" t="str">
        <f>Mon!B26</f>
        <v>CM+OP</v>
      </c>
      <c r="C26" s="98" t="s">
        <v>65</v>
      </c>
      <c r="D26" s="98"/>
      <c r="E26" s="6" t="str">
        <f>IF(F26=$K$88,$L$88,IF(F26=$K$89,$L$89,IF(F26=$K$90,$L$90,IF(F26=$K$91,$L$91,IF(F26=$K$92,$L$92,IF(F26=$K$93,$L$93,IF(F26=$K$94,$L$94,IF(F26=$K$95,$L$95,"Training"))))))))</f>
        <v>MM</v>
      </c>
      <c r="F26" s="5" t="s">
        <v>109</v>
      </c>
      <c r="G26" s="6" t="str">
        <f>IF(H26=$K$88,$L$88,IF(H26=$K$89,$L$89,IF(H26=$K$90,$L$90,IF(H26=$K$91,$L$91,IF(H26=$K$92,$L$92,IF(H26=$K$93,$L$93,IF(H26=$K$94,$L$94,IF(H26=$K$95,$L$95,"Training"))))))))</f>
        <v>ED</v>
      </c>
      <c r="H26" s="5" t="s">
        <v>103</v>
      </c>
      <c r="I26" s="348"/>
      <c r="J26" s="349"/>
      <c r="K26" s="6" t="str">
        <f>IF(L26=$K$88,$L$88,IF(L26=$K$89,$L$89,IF(L26=$K$90,$L$90,IF(L26=$K$91,$L$91,IF(L26=$K$92,$L$92,IF(L26=$K$93,$L$93,IF(L26=$K$94,$L$94,IF(L26=$K$95,$L$95,"Training"))))))))</f>
        <v>EVS</v>
      </c>
      <c r="L26" s="5" t="s">
        <v>111</v>
      </c>
      <c r="M26" s="6" t="str">
        <f>IF(N26=$K$88,$L$88,IF(N26=$K$89,$L$89,IF(N26=$K$90,$L$90,IF(N26=$K$91,$L$91,IF(N26=$K$92,$L$92,IF(N26=$K$93,$L$93,IF(N26=$K$94,$L$94,IF(N26=$K$95,$L$95,"Training"))))))))</f>
        <v>HR</v>
      </c>
      <c r="N26" s="5" t="s">
        <v>75</v>
      </c>
      <c r="O26" s="124"/>
      <c r="Q26" s="29"/>
      <c r="R26" s="29"/>
      <c r="U26" s="165" t="str">
        <f>Mon!U26</f>
        <v>(MK)</v>
      </c>
      <c r="V26" s="9">
        <f t="shared" si="4"/>
        <v>3</v>
      </c>
      <c r="W26" s="36">
        <f>SUM(Mon!V26,Tue!V26,Wed!V26,Thur!V26,Fri!V26)</f>
        <v>16</v>
      </c>
      <c r="X26" s="165" t="str">
        <f>Mon!U26</f>
        <v>(MK)</v>
      </c>
      <c r="Y26" s="20">
        <f t="shared" si="0"/>
        <v>1</v>
      </c>
      <c r="Z26" s="21">
        <f t="shared" si="1"/>
        <v>0</v>
      </c>
      <c r="AA26" s="21">
        <f t="shared" si="2"/>
        <v>1</v>
      </c>
      <c r="AB26" s="22">
        <f t="shared" si="3"/>
        <v>1</v>
      </c>
      <c r="AC26" s="25" t="str">
        <f t="shared" si="18"/>
        <v xml:space="preserve"> </v>
      </c>
      <c r="AD26" s="26" t="str">
        <f t="shared" si="19"/>
        <v xml:space="preserve"> </v>
      </c>
      <c r="AE26" s="26" t="str">
        <f t="shared" si="20"/>
        <v xml:space="preserve"> </v>
      </c>
      <c r="AF26" s="27" t="str">
        <f t="shared" si="21"/>
        <v xml:space="preserve"> </v>
      </c>
      <c r="AG26" s="178" t="str">
        <f t="shared" si="9"/>
        <v xml:space="preserve"> </v>
      </c>
      <c r="AH26" s="177" t="str">
        <f t="shared" si="10"/>
        <v xml:space="preserve"> </v>
      </c>
      <c r="AI26" s="177" t="str">
        <f t="shared" si="11"/>
        <v xml:space="preserve"> </v>
      </c>
      <c r="AJ26" s="180" t="str">
        <f t="shared" si="12"/>
        <v xml:space="preserve"> </v>
      </c>
      <c r="AK26" s="178" t="str">
        <f t="shared" si="13"/>
        <v>FA (H)</v>
      </c>
      <c r="AL26" s="177" t="str">
        <f t="shared" si="14"/>
        <v xml:space="preserve"> </v>
      </c>
      <c r="AM26" s="177" t="str">
        <f t="shared" si="15"/>
        <v>FA (N)</v>
      </c>
      <c r="AN26" s="179" t="str">
        <f t="shared" si="16"/>
        <v>FA (A)</v>
      </c>
    </row>
    <row r="27" spans="1:40" ht="18.75" customHeight="1" thickBot="1" x14ac:dyDescent="0.4">
      <c r="A27" s="344"/>
      <c r="B27" s="19" t="str">
        <f>Mon!B27</f>
        <v>OP/CM/CP</v>
      </c>
      <c r="C27" s="98" t="s">
        <v>69</v>
      </c>
      <c r="D27" s="98"/>
      <c r="E27" s="6" t="str">
        <f>IF(F27=$M$88,$N$88,IF(F27=$M$89,$N$89,IF(F27=$M$90,$N$90,IF(F27=$M$91,$N$91,IF(F27=$M$92,$N$92,IF(F27=$M$93,$N$93,IF(F27=$M$94,$N$94,IF(F27=$M$95,$N$95,"Training"))))))))</f>
        <v>MM</v>
      </c>
      <c r="F27" s="5" t="s">
        <v>58</v>
      </c>
      <c r="G27" s="6" t="str">
        <f>IF(H27=$M$88,$N$88,IF(H27=$M$89,$N$89,IF(H27=$M$90,$N$90,IF(H27=$M$91,$N$91,IF(H27=$M$92,$N$92,IF(H27=$M$93,$N$93,IF(H27=$M$94,$N$94,IF(H27=$M$95,$N$95,"Training"))))))))</f>
        <v>ED</v>
      </c>
      <c r="H27" s="5" t="s">
        <v>111</v>
      </c>
      <c r="I27" s="348"/>
      <c r="J27" s="349"/>
      <c r="K27" s="6" t="str">
        <f>IF(L27=$M$88,$N$88,IF(L27=$M$89,$N$89,IF(L27=$M$90,$N$90,IF(L27=$M$91,$N$91,IF(L27=$M$92,$N$92,IF(L27=$M$93,$N$93,IF(L27=$M$94,$N$94,IF(L27=$M$95,$N$95,"Training"))))))))</f>
        <v>CP</v>
      </c>
      <c r="L27" s="5" t="s">
        <v>82</v>
      </c>
      <c r="M27" s="6" t="str">
        <f>IF(N27=$M$88,$N$88,IF(N27=$M$89,$N$89,IF(N27=$M$90,$N$90,IF(N27=$M$91,$N$91,IF(N27=$M$92,$N$92,IF(N27=$M$93,$N$93,IF(N27=$M$94,$N$94,IF(N27=$M$95,$N$95,"Training"))))))))</f>
        <v>CA</v>
      </c>
      <c r="N27" s="5" t="s">
        <v>42</v>
      </c>
      <c r="O27" s="124"/>
      <c r="U27" s="165" t="str">
        <f>Mon!U27</f>
        <v>(MS)</v>
      </c>
      <c r="V27" s="9">
        <f t="shared" si="4"/>
        <v>3</v>
      </c>
      <c r="W27" s="36">
        <f>SUM(Mon!V27,Tue!V27,Wed!V27,Thur!V27,Fri!V27)</f>
        <v>15</v>
      </c>
      <c r="X27" s="165" t="str">
        <f>Mon!U27</f>
        <v>(MS)</v>
      </c>
      <c r="Y27" s="20">
        <f t="shared" si="0"/>
        <v>1</v>
      </c>
      <c r="Z27" s="21">
        <f t="shared" si="1"/>
        <v>1</v>
      </c>
      <c r="AA27" s="21">
        <f t="shared" si="2"/>
        <v>1</v>
      </c>
      <c r="AB27" s="22">
        <f t="shared" si="3"/>
        <v>0</v>
      </c>
      <c r="AC27" s="25" t="str">
        <f t="shared" si="18"/>
        <v>FMS (B)</v>
      </c>
      <c r="AD27" s="26" t="str">
        <f t="shared" si="19"/>
        <v xml:space="preserve"> </v>
      </c>
      <c r="AE27" s="26" t="str">
        <f t="shared" si="20"/>
        <v>AA (F)</v>
      </c>
      <c r="AF27" s="27" t="str">
        <f t="shared" si="21"/>
        <v xml:space="preserve"> </v>
      </c>
      <c r="AG27" s="178" t="str">
        <f t="shared" si="9"/>
        <v xml:space="preserve"> </v>
      </c>
      <c r="AH27" s="177" t="str">
        <f t="shared" si="10"/>
        <v>ED (I)</v>
      </c>
      <c r="AI27" s="177" t="str">
        <f t="shared" si="11"/>
        <v xml:space="preserve"> </v>
      </c>
      <c r="AJ27" s="180" t="str">
        <f t="shared" si="12"/>
        <v xml:space="preserve"> </v>
      </c>
      <c r="AK27" s="178" t="str">
        <f t="shared" si="13"/>
        <v xml:space="preserve"> </v>
      </c>
      <c r="AL27" s="177" t="str">
        <f t="shared" si="14"/>
        <v xml:space="preserve"> </v>
      </c>
      <c r="AM27" s="177" t="str">
        <f t="shared" si="15"/>
        <v xml:space="preserve"> </v>
      </c>
      <c r="AN27" s="179" t="str">
        <f t="shared" si="16"/>
        <v xml:space="preserve"> </v>
      </c>
    </row>
    <row r="28" spans="1:40" ht="18.75" customHeight="1" thickBot="1" x14ac:dyDescent="0.4">
      <c r="A28" s="344"/>
      <c r="B28" s="19" t="str">
        <f>Mon!B28</f>
        <v>CP+OP</v>
      </c>
      <c r="C28" s="98" t="s">
        <v>72</v>
      </c>
      <c r="D28" s="98"/>
      <c r="E28" s="6" t="str">
        <f>IF(F28=$O$88,$P$88,IF(F28=$O$89,$P$89,IF(F28=$O$90,$P$90,IF(F28=$O$91,$P$91,IF(F28=$O$92,$P$92,IF(F28=$O$93,$P$93,IF(F28=$O$94,$P$94,IF(F28=$O$95,$P$95,"Training"))))))))</f>
        <v>HR</v>
      </c>
      <c r="F28" s="5" t="s">
        <v>118</v>
      </c>
      <c r="G28" s="6" t="str">
        <f>IF(H28=$O$88,$P$88,IF(H28=$O$89,$P$89,IF(H28=$O$90,$P$90,IF(H28=$O$91,$P$91,IF(H28=$O$92,$P$92,IF(H28=$O$93,$P$93,IF(H28=$O$94,$P$94,IF(H28=$O$95,$P$95,"Training"))))))))</f>
        <v>ED</v>
      </c>
      <c r="H28" s="5" t="s">
        <v>108</v>
      </c>
      <c r="I28" s="348"/>
      <c r="J28" s="349"/>
      <c r="K28" s="6" t="str">
        <f>IF(L28=$O$88,$P$88,IF(L28=$O$89,$P$89,IF(L28=$O$90,$P$90,IF(L28=$O$91,$P$91,IF(L28=$O$92,$P$92,IF(L28=$O$93,$P$93,IF(L28=$O$94,$P$94,IF(L28=$O$95,$P$95,"Training"))))))))</f>
        <v>EVS</v>
      </c>
      <c r="L28" s="5" t="s">
        <v>160</v>
      </c>
      <c r="M28" s="6" t="str">
        <f>IF(N28=$O$88,$P$88,IF(N28=$O$89,$P$89,IF(N28=$O$90,$P$90,IF(N28=$O$91,$P$91,IF(N28=$O$92,$P$92,IF(N28=$O$93,$P$93,IF(N28=$O$94,$P$94,IF(N28=$O$95,$P$95,"Training"))))))))</f>
        <v>MM</v>
      </c>
      <c r="N28" s="5" t="s">
        <v>74</v>
      </c>
      <c r="O28" s="124"/>
      <c r="U28" s="165" t="str">
        <f>Mon!U28</f>
        <v>(ND)</v>
      </c>
      <c r="V28" s="9">
        <f t="shared" si="4"/>
        <v>4</v>
      </c>
      <c r="W28" s="36">
        <f>SUM(Mon!V28,Tue!V28,Wed!V28,Thur!V28,Fri!V28)</f>
        <v>16</v>
      </c>
      <c r="X28" s="165" t="str">
        <f>Mon!U28</f>
        <v>(ND)</v>
      </c>
      <c r="Y28" s="20">
        <f t="shared" si="0"/>
        <v>1</v>
      </c>
      <c r="Z28" s="21">
        <f t="shared" si="1"/>
        <v>1</v>
      </c>
      <c r="AA28" s="21">
        <f t="shared" si="2"/>
        <v>1</v>
      </c>
      <c r="AB28" s="22">
        <f t="shared" si="3"/>
        <v>1</v>
      </c>
      <c r="AC28" s="25" t="str">
        <f t="shared" si="18"/>
        <v>ES (L)</v>
      </c>
      <c r="AD28" s="26" t="str">
        <f t="shared" si="19"/>
        <v xml:space="preserve"> </v>
      </c>
      <c r="AE28" s="26" t="str">
        <f t="shared" si="20"/>
        <v xml:space="preserve"> </v>
      </c>
      <c r="AF28" s="27" t="str">
        <f t="shared" si="21"/>
        <v xml:space="preserve"> </v>
      </c>
      <c r="AG28" s="178" t="str">
        <f t="shared" si="9"/>
        <v xml:space="preserve"> </v>
      </c>
      <c r="AH28" s="177" t="str">
        <f t="shared" si="10"/>
        <v>OP (L)</v>
      </c>
      <c r="AI28" s="177" t="str">
        <f t="shared" si="11"/>
        <v>OP (A)</v>
      </c>
      <c r="AJ28" s="180" t="str">
        <f t="shared" si="12"/>
        <v>OP (J)</v>
      </c>
      <c r="AK28" s="178" t="str">
        <f t="shared" si="13"/>
        <v xml:space="preserve"> </v>
      </c>
      <c r="AL28" s="177" t="str">
        <f t="shared" si="14"/>
        <v xml:space="preserve"> </v>
      </c>
      <c r="AM28" s="177" t="str">
        <f t="shared" si="15"/>
        <v xml:space="preserve"> </v>
      </c>
      <c r="AN28" s="179" t="str">
        <f t="shared" si="16"/>
        <v xml:space="preserve"> </v>
      </c>
    </row>
    <row r="29" spans="1:40" ht="18.75" customHeight="1" thickBot="1" x14ac:dyDescent="0.4">
      <c r="A29" s="344"/>
      <c r="B29" s="19" t="str">
        <f>Mon!B29</f>
        <v>CP+OP</v>
      </c>
      <c r="C29" s="98" t="s">
        <v>76</v>
      </c>
      <c r="D29" s="98"/>
      <c r="E29" s="6" t="str">
        <f>IF(F29=$Q$88,$R$88,IF(F29=$Q$89,$R$89,IF(F29=$Q$90,$R$90,IF(F29=$Q$91,$R$91,IF(F29=$Q$92,$R$92,IF(F29=$Q$93,$R$93,IF(F29=$Q$94,$R$94,IF(F29=$Q$95,$R$95,"Training"))))))))</f>
        <v>EVS</v>
      </c>
      <c r="F29" s="5" t="s">
        <v>160</v>
      </c>
      <c r="G29" s="6" t="str">
        <f>IF(H29=$Q$88,$R$88,IF(H29=$Q$89,$R$89,IF(H29=$Q$90,$R$90,IF(H29=$Q$91,$R$91,IF(H29=$Q$92,$R$92,IF(H29=$Q$93,$R$93,IF(H29=$Q$94,$R$94,IF(H29=$Q$95,$R$95,"Training"))))))))</f>
        <v>ED</v>
      </c>
      <c r="H29" s="5" t="s">
        <v>53</v>
      </c>
      <c r="I29" s="348"/>
      <c r="J29" s="349"/>
      <c r="K29" s="6" t="str">
        <f>IF(L29=$Q$88,$R$88,IF(L29=$Q$89,$R$89,IF(L29=$Q$90,$R$90,IF(L29=$Q$91,$R$91,IF(L29=$Q$92,$R$92,IF(L29=$Q$93,$R$93,IF(L29=$Q$94,$R$94,IF(L29=$Q$95,$R$95,"Training"))))))))</f>
        <v>CA</v>
      </c>
      <c r="L29" s="5" t="s">
        <v>110</v>
      </c>
      <c r="M29" s="6" t="str">
        <f>IF(N29=$Q$88,$R$88,IF(N29=$Q$89,$R$89,IF(N29=$Q$90,$R$90,IF(N29=$Q$91,$R$91,IF(N29=$Q$92,$R$92,IF(N29=$Q$93,$R$93,IF(N29=$Q$94,$R$94,IF(N29=$Q$95,$R$95,"Training"))))))))</f>
        <v>CP</v>
      </c>
      <c r="N29" s="5" t="s">
        <v>82</v>
      </c>
      <c r="O29" s="124"/>
      <c r="U29" s="165" t="str">
        <f>Mon!U29</f>
        <v>(NG)</v>
      </c>
      <c r="V29" s="9">
        <f t="shared" si="4"/>
        <v>3</v>
      </c>
      <c r="W29" s="36">
        <f>SUM(Mon!V29,Tue!V29,Wed!V29,Thur!V29,Fri!V29)</f>
        <v>16</v>
      </c>
      <c r="X29" s="165" t="str">
        <f>Mon!U29</f>
        <v>(NG)</v>
      </c>
      <c r="Y29" s="20">
        <f t="shared" si="0"/>
        <v>0</v>
      </c>
      <c r="Z29" s="21">
        <f t="shared" si="1"/>
        <v>1</v>
      </c>
      <c r="AA29" s="21">
        <f t="shared" si="2"/>
        <v>1</v>
      </c>
      <c r="AB29" s="22">
        <f t="shared" si="3"/>
        <v>1</v>
      </c>
      <c r="AC29" s="25" t="str">
        <f t="shared" si="18"/>
        <v xml:space="preserve"> </v>
      </c>
      <c r="AD29" s="26" t="str">
        <f t="shared" si="19"/>
        <v>MA (I)</v>
      </c>
      <c r="AE29" s="26" t="str">
        <f t="shared" si="20"/>
        <v>FMS (C)</v>
      </c>
      <c r="AF29" s="27" t="str">
        <f t="shared" si="21"/>
        <v>MA (K)</v>
      </c>
      <c r="AG29" s="178" t="str">
        <f t="shared" si="9"/>
        <v xml:space="preserve"> </v>
      </c>
      <c r="AH29" s="177" t="str">
        <f t="shared" si="10"/>
        <v xml:space="preserve"> </v>
      </c>
      <c r="AI29" s="177" t="str">
        <f t="shared" si="11"/>
        <v xml:space="preserve"> </v>
      </c>
      <c r="AJ29" s="180" t="str">
        <f t="shared" si="12"/>
        <v xml:space="preserve"> </v>
      </c>
      <c r="AK29" s="178" t="str">
        <f t="shared" si="13"/>
        <v xml:space="preserve"> </v>
      </c>
      <c r="AL29" s="177" t="str">
        <f t="shared" si="14"/>
        <v xml:space="preserve"> </v>
      </c>
      <c r="AM29" s="177" t="str">
        <f t="shared" si="15"/>
        <v xml:space="preserve"> </v>
      </c>
      <c r="AN29" s="179" t="str">
        <f t="shared" si="16"/>
        <v xml:space="preserve"> </v>
      </c>
    </row>
    <row r="30" spans="1:40" ht="18.75" customHeight="1" thickBot="1" x14ac:dyDescent="0.4">
      <c r="A30" s="344"/>
      <c r="B30" s="19" t="str">
        <f>Mon!B30</f>
        <v>CP+OP</v>
      </c>
      <c r="C30" s="98" t="s">
        <v>79</v>
      </c>
      <c r="D30" s="98"/>
      <c r="E30" s="6" t="str">
        <f>IF(F30=$S$88,$T$88,IF(F30=$S$89,$T$89,IF(F30=$S$90,$T$90,IF(F30=$S$91,$T$91,IF(F30=$S$92,$T$92,IF(F30=$S$93,$T$93,IF(F30=$S$94,$T$94,IF(F30=$S$95,$T$95,"Training"))))))))</f>
        <v>CP</v>
      </c>
      <c r="F30" s="5" t="s">
        <v>105</v>
      </c>
      <c r="G30" s="6" t="str">
        <f>IF(H30=$S$88,$T$88,IF(H30=$S$89,$T$89,IF(H30=$S$90,$T$90,IF(H30=$S$91,$T$91,IF(H30=$S$92,$T$92,IF(H30=$S$93,$T$93,IF(H30=$S$94,$T$94,IF(H30=$S$95,$T$95,"Training"))))))))</f>
        <v>CA</v>
      </c>
      <c r="H30" s="5" t="s">
        <v>112</v>
      </c>
      <c r="I30" s="348"/>
      <c r="J30" s="349"/>
      <c r="K30" s="6" t="str">
        <f>IF(L30=$S$88,$T$88,IF(L30=$S$89,$T$89,IF(L30=$S$90,$T$90,IF(L30=$S$91,$T$91,IF(L30=$S$92,$T$92,IF(L30=$S$93,$T$93,IF(L30=$S$94,$T$94,IF(L30=$S$95,$T$95,"Training"))))))))</f>
        <v>ED</v>
      </c>
      <c r="L30" s="5" t="s">
        <v>108</v>
      </c>
      <c r="M30" s="6" t="str">
        <f>IF(N30=$S$88,$T$88,IF(N30=$S$89,$T$89,IF(N30=$S$90,$T$90,IF(N30=$S$91,$T$91,IF(N30=$S$92,$T$92,IF(N30=$S$93,$T$93,IF(N30=$S$94,$T$94,IF(N30=$S$95,$T$95,"Training"))))))))</f>
        <v>OP</v>
      </c>
      <c r="N30" s="5" t="s">
        <v>119</v>
      </c>
      <c r="O30" s="124"/>
      <c r="U30" s="165" t="str">
        <f>Mon!U30</f>
        <v>(PM)</v>
      </c>
      <c r="V30" s="9">
        <f t="shared" si="4"/>
        <v>3</v>
      </c>
      <c r="W30" s="36">
        <f>SUM(Mon!V30,Tue!V30,Wed!V30,Thur!V30,Fri!V30)</f>
        <v>15</v>
      </c>
      <c r="X30" s="165" t="str">
        <f>Mon!U30</f>
        <v>(PM)</v>
      </c>
      <c r="Y30" s="20">
        <f t="shared" si="0"/>
        <v>1</v>
      </c>
      <c r="Z30" s="21">
        <f t="shared" si="1"/>
        <v>2</v>
      </c>
      <c r="AA30" s="21">
        <f t="shared" si="2"/>
        <v>0</v>
      </c>
      <c r="AB30" s="22">
        <f t="shared" si="3"/>
        <v>0</v>
      </c>
      <c r="AC30" s="25" t="str">
        <f t="shared" si="18"/>
        <v xml:space="preserve"> </v>
      </c>
      <c r="AD30" s="26" t="str">
        <f t="shared" si="19"/>
        <v>MA (F)</v>
      </c>
      <c r="AE30" s="26" t="str">
        <f t="shared" si="20"/>
        <v xml:space="preserve"> </v>
      </c>
      <c r="AF30" s="27" t="str">
        <f t="shared" si="21"/>
        <v xml:space="preserve"> </v>
      </c>
      <c r="AG30" s="178" t="str">
        <f t="shared" si="9"/>
        <v xml:space="preserve"> </v>
      </c>
      <c r="AH30" s="177" t="str">
        <f t="shared" si="10"/>
        <v xml:space="preserve"> </v>
      </c>
      <c r="AI30" s="177" t="str">
        <f t="shared" si="11"/>
        <v xml:space="preserve"> </v>
      </c>
      <c r="AJ30" s="180" t="str">
        <f t="shared" si="12"/>
        <v xml:space="preserve"> </v>
      </c>
      <c r="AK30" s="178" t="str">
        <f t="shared" si="13"/>
        <v>QT (E)</v>
      </c>
      <c r="AL30" s="177" t="str">
        <f t="shared" si="14"/>
        <v>QT (I)</v>
      </c>
      <c r="AM30" s="177" t="str">
        <f t="shared" si="15"/>
        <v xml:space="preserve"> </v>
      </c>
      <c r="AN30" s="179" t="str">
        <f t="shared" si="16"/>
        <v xml:space="preserve"> </v>
      </c>
    </row>
    <row r="31" spans="1:40" ht="18.75" customHeight="1" thickBot="1" x14ac:dyDescent="0.4">
      <c r="A31" s="344"/>
      <c r="B31" s="19" t="str">
        <f>Mon!B31</f>
        <v>CM+SP</v>
      </c>
      <c r="C31" s="98" t="s">
        <v>81</v>
      </c>
      <c r="D31" s="98"/>
      <c r="E31" s="6" t="str">
        <f>IF(F31=$U$88,$V$88,IF(F31=$U$89,$V$89,IF(F31=$U$90,$V$90,IF(F31=$U$91,$V$91,IF(F31=$U$92,$V$92,IF(F31=$U$93,$V$93,IF(F31=$U$94,$V$94,IF(F31=$U$95,$V$95,"Training"))))))))</f>
        <v>ED</v>
      </c>
      <c r="F31" s="5" t="s">
        <v>111</v>
      </c>
      <c r="G31" s="6" t="str">
        <f>IF(H31=$U$88,$V$88,IF(H31=$U$89,$V$89,IF(H31=$U$90,$V$90,IF(H31=$U$91,$V$91,IF(H31=$U$92,$V$92,IF(H31=$U$93,$V$93,IF(H31=$U$94,$V$94,IF(H31=$U$95,$V$95,"Training"))))))))</f>
        <v>EVS</v>
      </c>
      <c r="H31" s="5" t="s">
        <v>122</v>
      </c>
      <c r="I31" s="348"/>
      <c r="J31" s="349"/>
      <c r="K31" s="6" t="str">
        <f>IF(L31=$U$88,$V$88,IF(L31=$U$89,$V$89,IF(L31=$U$90,$V$90,IF(L31=$U$91,$V$91,IF(L31=$U$92,$V$92,IF(L31=$U$93,$V$93,IF(L31=$U$94,$V$94,IF(L31=$U$95,$V$95,"Training"))))))))</f>
        <v>CA</v>
      </c>
      <c r="L31" s="5" t="s">
        <v>106</v>
      </c>
      <c r="M31" s="6" t="str">
        <f>IF(N31=$U$88,$V$88,IF(N31=$U$89,$V$89,IF(N31=$U$90,$V$90,IF(N31=$U$91,$V$91,IF(N31=$U$92,$V$92,IF(N31=$U$93,$V$93,IF(N31=$U$94,$V$94,IF(N31=$U$95,$V$95,"Training"))))))))</f>
        <v>HR</v>
      </c>
      <c r="N31" s="5" t="s">
        <v>61</v>
      </c>
      <c r="O31" s="124"/>
      <c r="U31" s="165" t="str">
        <f>Mon!U31</f>
        <v>(PR)</v>
      </c>
      <c r="V31" s="9">
        <f t="shared" si="4"/>
        <v>4</v>
      </c>
      <c r="W31" s="36">
        <f>SUM(Mon!V31,Tue!V31,Wed!V31,Thur!V31,Fri!V31)</f>
        <v>15</v>
      </c>
      <c r="X31" s="165" t="str">
        <f>Mon!U31</f>
        <v>(PR)</v>
      </c>
      <c r="Y31" s="20">
        <f t="shared" si="0"/>
        <v>1</v>
      </c>
      <c r="Z31" s="21">
        <f t="shared" si="1"/>
        <v>1</v>
      </c>
      <c r="AA31" s="21">
        <f t="shared" si="2"/>
        <v>1</v>
      </c>
      <c r="AB31" s="22">
        <f t="shared" si="3"/>
        <v>1</v>
      </c>
      <c r="AC31" s="25" t="str">
        <f t="shared" si="18"/>
        <v xml:space="preserve"> </v>
      </c>
      <c r="AD31" s="26" t="str">
        <f t="shared" si="19"/>
        <v xml:space="preserve"> </v>
      </c>
      <c r="AE31" s="26" t="str">
        <f t="shared" si="20"/>
        <v xml:space="preserve"> </v>
      </c>
      <c r="AF31" s="27" t="str">
        <f t="shared" si="21"/>
        <v xml:space="preserve"> </v>
      </c>
      <c r="AG31" s="178" t="str">
        <f t="shared" si="9"/>
        <v xml:space="preserve"> </v>
      </c>
      <c r="AH31" s="177" t="str">
        <f t="shared" si="10"/>
        <v xml:space="preserve"> </v>
      </c>
      <c r="AI31" s="177" t="str">
        <f t="shared" si="11"/>
        <v xml:space="preserve"> </v>
      </c>
      <c r="AJ31" s="180" t="str">
        <f t="shared" si="12"/>
        <v xml:space="preserve"> </v>
      </c>
      <c r="AK31" s="178" t="str">
        <f t="shared" si="13"/>
        <v>GE (F)</v>
      </c>
      <c r="AL31" s="177" t="str">
        <f t="shared" si="14"/>
        <v>AE (D)</v>
      </c>
      <c r="AM31" s="177" t="str">
        <f t="shared" si="15"/>
        <v>GE (B)</v>
      </c>
      <c r="AN31" s="179" t="str">
        <f t="shared" si="16"/>
        <v>AE (C)</v>
      </c>
    </row>
    <row r="32" spans="1:40" ht="18.75" customHeight="1" thickBot="1" x14ac:dyDescent="0.4">
      <c r="A32" s="344"/>
      <c r="B32" s="19" t="str">
        <f>Mon!B32</f>
        <v>CM+SP+CP</v>
      </c>
      <c r="C32" s="98" t="s">
        <v>84</v>
      </c>
      <c r="D32" s="98"/>
      <c r="E32" s="6" t="str">
        <f>IF(F32=$W$88,$X$88,IF(F32=$W$89,$X$89,IF(F32=$W$90,$X$90,IF(F32=$W$91,$X$91,IF(F32=$W$92,$X$92,IF(F32=$W$93,$X$93,IF(F32=$W$94,$X$94,IF(F32=$W$95,$X$95,"Training"))))))))</f>
        <v>MM</v>
      </c>
      <c r="F32" s="5" t="s">
        <v>74</v>
      </c>
      <c r="G32" s="6" t="str">
        <f>IF(H32=$W$88,$X$88,IF(H32=$W$89,$X$89,IF(H32=$W$90,$X$90,IF(H32=$W$91,$X$91,IF(H32=$W$92,$X$92,IF(H32=$W$93,$X$93,IF(H32=$W$94,$X$94,IF(H32=$W$95,$X$95,"Training"))))))))</f>
        <v>OP</v>
      </c>
      <c r="H32" s="5" t="s">
        <v>119</v>
      </c>
      <c r="I32" s="348"/>
      <c r="J32" s="349"/>
      <c r="K32" s="6" t="str">
        <f>IF(L32=$W$88,$X$88,IF(L32=$W$89,$X$89,IF(L32=$W$90,$X$90,IF(L32=$W$91,$X$91,IF(L32=$W$92,$X$92,IF(L32=$W$93,$X$93,IF(L32=$W$94,$X$94,IF(L32=$W$95,$X$95,"Training"))))))))</f>
        <v>HR</v>
      </c>
      <c r="L32" s="5" t="s">
        <v>61</v>
      </c>
      <c r="M32" s="6" t="str">
        <f>IF(N32=$W$88,$X$88,IF(N32=$W$89,$X$89,IF(N32=$W$90,$X$90,IF(N32=$W$91,$X$91,IF(N32=$W$92,$X$92,IF(N32=$W$93,$X$93,IF(N32=$W$94,$X$94,IF(N32=$W$95,$X$95,"Training"))))))))</f>
        <v>EVS</v>
      </c>
      <c r="N32" s="5" t="s">
        <v>111</v>
      </c>
      <c r="O32" s="124"/>
      <c r="U32" s="165" t="str">
        <f>Mon!U32</f>
        <v>(RG)</v>
      </c>
      <c r="V32" s="9">
        <f t="shared" si="4"/>
        <v>2</v>
      </c>
      <c r="W32" s="36">
        <f>SUM(Mon!V32,Tue!V32,Wed!V32,Thur!V32,Fri!V32)</f>
        <v>11</v>
      </c>
      <c r="X32" s="165" t="str">
        <f>Mon!U32</f>
        <v>(RG)</v>
      </c>
      <c r="Y32" s="20">
        <f t="shared" si="0"/>
        <v>1</v>
      </c>
      <c r="Z32" s="21">
        <f t="shared" si="1"/>
        <v>0</v>
      </c>
      <c r="AA32" s="21">
        <f t="shared" si="2"/>
        <v>1</v>
      </c>
      <c r="AB32" s="22">
        <f t="shared" si="3"/>
        <v>0</v>
      </c>
      <c r="AC32" s="25" t="str">
        <f t="shared" si="18"/>
        <v>MA (C)</v>
      </c>
      <c r="AD32" s="26" t="str">
        <f t="shared" si="19"/>
        <v xml:space="preserve"> </v>
      </c>
      <c r="AE32" s="26" t="str">
        <f t="shared" si="20"/>
        <v>MA (H)</v>
      </c>
      <c r="AF32" s="27" t="str">
        <f t="shared" si="21"/>
        <v xml:space="preserve"> </v>
      </c>
      <c r="AG32" s="178" t="str">
        <f t="shared" si="9"/>
        <v xml:space="preserve"> </v>
      </c>
      <c r="AH32" s="177" t="str">
        <f t="shared" si="10"/>
        <v xml:space="preserve"> </v>
      </c>
      <c r="AI32" s="177" t="str">
        <f t="shared" si="11"/>
        <v xml:space="preserve"> </v>
      </c>
      <c r="AJ32" s="180" t="str">
        <f t="shared" si="12"/>
        <v xml:space="preserve"> </v>
      </c>
      <c r="AK32" s="178" t="str">
        <f t="shared" si="13"/>
        <v xml:space="preserve"> </v>
      </c>
      <c r="AL32" s="177" t="str">
        <f t="shared" si="14"/>
        <v xml:space="preserve"> </v>
      </c>
      <c r="AM32" s="177" t="str">
        <f t="shared" si="15"/>
        <v xml:space="preserve"> </v>
      </c>
      <c r="AN32" s="179" t="str">
        <f t="shared" si="16"/>
        <v xml:space="preserve"> </v>
      </c>
    </row>
    <row r="33" spans="1:40" ht="18.75" customHeight="1" thickBot="1" x14ac:dyDescent="0.4">
      <c r="A33" s="344"/>
      <c r="B33" s="19" t="str">
        <f>Mon!B33</f>
        <v>CP+SP</v>
      </c>
      <c r="C33" s="98" t="s">
        <v>126</v>
      </c>
      <c r="D33" s="98"/>
      <c r="E33" s="6" t="str">
        <f>IF(F33=$Y$88,$Z$88,IF(F33=$Y$89,$Z$89,IF(F33=$Y$90,$Z$90,IF(F33=$Y$91,$Z$91,IF(F33=$Y$92,$Z$92,IF(F33=$Y$93,$Z$93,IF(F33=$Y$94,$Z$94,IF(F33=$Y$95,$Z$95,"Training"))))))))</f>
        <v>ED</v>
      </c>
      <c r="F33" s="5" t="s">
        <v>108</v>
      </c>
      <c r="G33" s="6" t="str">
        <f>IF(H33=$Y$88,$Z$88,IF(H33=$Y$89,$Z$89,IF(H33=$Y$90,$Z$90,IF(H33=$Y$91,$Z$91,IF(H33=$Y$92,$Z$92,IF(H33=$Y$93,$Z$93,IF(H33=$Y$94,$Z$94,IF(H33=$Y$95,$Z$95,"Training"))))))))</f>
        <v>SP</v>
      </c>
      <c r="H33" s="5" t="s">
        <v>113</v>
      </c>
      <c r="I33" s="348"/>
      <c r="J33" s="349"/>
      <c r="K33" s="6" t="str">
        <f>IF(L33=$Y$88,$Z$88,IF(L33=$Y$89,$Z$89,IF(L33=$Y$90,$Z$90,IF(L33=$Y$91,$Z$91,IF(L33=$Y$92,$Z$92,IF(L33=$Y$93,$Z$93,IF(L33=$Y$94,$Z$94,IF(L33=$Y$95,$Z$95,"Training"))))))))</f>
        <v>MM</v>
      </c>
      <c r="L33" s="5" t="s">
        <v>109</v>
      </c>
      <c r="M33" s="6" t="str">
        <f>IF(N33=$Y$88,$Z$88,IF(N33=$Y$89,$Z$89,IF(N33=$Y$90,$Z$90,IF(N33=$Y$91,$Z$91,IF(N33=$Y$92,$Z$92,IF(N33=$Y$93,$Z$93,IF(N33=$Y$94,$Z$94,IF(N33=$Y$95,$Z$95,"Training"))))))))</f>
        <v>CM</v>
      </c>
      <c r="N33" s="5" t="s">
        <v>104</v>
      </c>
      <c r="O33" s="124"/>
      <c r="U33" s="165" t="str">
        <f>Mon!U33</f>
        <v>(RP)</v>
      </c>
      <c r="V33" s="9">
        <f t="shared" si="4"/>
        <v>0</v>
      </c>
      <c r="W33" s="36">
        <f>SUM(Mon!V33,Tue!V33,Wed!V33,Thur!V33,Fri!V33)</f>
        <v>3</v>
      </c>
      <c r="X33" s="165" t="str">
        <f>Mon!U33</f>
        <v>(RP)</v>
      </c>
      <c r="Y33" s="20">
        <f t="shared" si="0"/>
        <v>0</v>
      </c>
      <c r="Z33" s="21">
        <f t="shared" si="1"/>
        <v>0</v>
      </c>
      <c r="AA33" s="21">
        <f t="shared" si="2"/>
        <v>0</v>
      </c>
      <c r="AB33" s="22">
        <f t="shared" si="3"/>
        <v>0</v>
      </c>
      <c r="AC33" s="25" t="str">
        <f t="shared" si="18"/>
        <v xml:space="preserve"> </v>
      </c>
      <c r="AD33" s="26" t="str">
        <f t="shared" si="19"/>
        <v xml:space="preserve"> </v>
      </c>
      <c r="AE33" s="26" t="str">
        <f t="shared" si="20"/>
        <v xml:space="preserve"> </v>
      </c>
      <c r="AF33" s="27" t="str">
        <f t="shared" si="21"/>
        <v xml:space="preserve"> </v>
      </c>
      <c r="AG33" s="178" t="str">
        <f t="shared" si="9"/>
        <v xml:space="preserve"> </v>
      </c>
      <c r="AH33" s="177" t="str">
        <f t="shared" si="10"/>
        <v xml:space="preserve"> </v>
      </c>
      <c r="AI33" s="177" t="str">
        <f t="shared" si="11"/>
        <v xml:space="preserve"> </v>
      </c>
      <c r="AJ33" s="180" t="str">
        <f t="shared" si="12"/>
        <v xml:space="preserve"> </v>
      </c>
      <c r="AK33" s="178" t="str">
        <f t="shared" si="13"/>
        <v xml:space="preserve"> </v>
      </c>
      <c r="AL33" s="177" t="str">
        <f t="shared" si="14"/>
        <v xml:space="preserve"> </v>
      </c>
      <c r="AM33" s="177" t="str">
        <f t="shared" si="15"/>
        <v xml:space="preserve"> </v>
      </c>
      <c r="AN33" s="179" t="str">
        <f t="shared" si="16"/>
        <v xml:space="preserve"> </v>
      </c>
    </row>
    <row r="34" spans="1:40" ht="18.75" customHeight="1" thickBot="1" x14ac:dyDescent="0.4">
      <c r="A34" s="344"/>
      <c r="B34" s="19" t="str">
        <f>Mon!B34</f>
        <v>CP+SP</v>
      </c>
      <c r="C34" s="98" t="s">
        <v>128</v>
      </c>
      <c r="D34" s="98"/>
      <c r="E34" s="6" t="str">
        <f>IF(F34=$AA$88,$AB$88,IF(F34=$AA$89,$AB$89,IF(F34=$AA$90,$AB$90,IF(F34=$AA$91,$AB$91,IF(F34=$AA$92,$AB$92,IF(F34=$AA$93,$AB$93,IF(F34=$AA$94,$AB$94,IF(F34=$AA$95,$AB$95,"Training"))))))))</f>
        <v>CA</v>
      </c>
      <c r="F34" s="5" t="s">
        <v>106</v>
      </c>
      <c r="G34" s="6" t="str">
        <f>IF(H34=$AA$88,$AB$88,IF(H34=$AA$89,$AB$89,IF(H34=$AA$90,$AB$90,IF(H34=$AA$91,$AB$91,IF(H34=$AA$92,$AB$92,IF(H34=$AA$93,$AB$93,IF(H34=$AA$94,$AB$94,IF(H34=$AA$95,$AB$95,"Training"))))))))</f>
        <v>HR</v>
      </c>
      <c r="H34" s="5" t="s">
        <v>75</v>
      </c>
      <c r="I34" s="348"/>
      <c r="J34" s="349"/>
      <c r="K34" s="6" t="str">
        <f>IF(L34=$AA$88,$AB$88,IF(L34=$AA$89,$AB$89,IF(L34=$AA$90,$AB$90,IF(L34=$AA$91,$AB$91,IF(L34=$AA$92,$AB$92,IF(L34=$AA$93,$AB$93,IF(L34=$AA$94,$AB$94,IF(L34=$AA$95,$AB$95,"Training"))))))))</f>
        <v>EVS</v>
      </c>
      <c r="L34" s="5" t="s">
        <v>105</v>
      </c>
      <c r="M34" s="6" t="str">
        <f>IF(N34=$AA$88,$AB$88,IF(N34=$AA$89,$AB$89,IF(N34=$AA$90,$AB$90,IF(N34=$AA$91,$AB$91,IF(N34=$AA$92,$AB$92,IF(N34=$AA$93,$AB$93,IF(N34=$AA$94,$AB$94,IF(N34=$AA$95,$AB$95,"Training"))))))))</f>
        <v>ED</v>
      </c>
      <c r="N34" s="5" t="s">
        <v>103</v>
      </c>
      <c r="O34" s="124"/>
      <c r="U34" s="165" t="str">
        <f>Mon!U34</f>
        <v>(RT)</v>
      </c>
      <c r="V34" s="9">
        <f t="shared" si="4"/>
        <v>2</v>
      </c>
      <c r="W34" s="36">
        <f>SUM(Mon!V34,Tue!V34,Wed!V34,Thur!V34,Fri!V34)</f>
        <v>11</v>
      </c>
      <c r="X34" s="165" t="str">
        <f>Mon!U34</f>
        <v>(RT)</v>
      </c>
      <c r="Y34" s="20">
        <f t="shared" si="0"/>
        <v>1</v>
      </c>
      <c r="Z34" s="21">
        <f t="shared" si="1"/>
        <v>0</v>
      </c>
      <c r="AA34" s="21">
        <f t="shared" si="2"/>
        <v>0</v>
      </c>
      <c r="AB34" s="22">
        <f t="shared" si="3"/>
        <v>1</v>
      </c>
      <c r="AC34" s="25" t="str">
        <f t="shared" si="18"/>
        <v xml:space="preserve"> </v>
      </c>
      <c r="AD34" s="26" t="str">
        <f t="shared" si="19"/>
        <v xml:space="preserve"> </v>
      </c>
      <c r="AE34" s="26" t="str">
        <f t="shared" si="20"/>
        <v xml:space="preserve"> </v>
      </c>
      <c r="AF34" s="27" t="str">
        <f t="shared" si="21"/>
        <v xml:space="preserve"> </v>
      </c>
      <c r="AG34" s="178" t="str">
        <f t="shared" si="9"/>
        <v>HR (H)</v>
      </c>
      <c r="AH34" s="177" t="str">
        <f t="shared" si="10"/>
        <v xml:space="preserve"> </v>
      </c>
      <c r="AI34" s="177" t="str">
        <f t="shared" si="11"/>
        <v xml:space="preserve"> </v>
      </c>
      <c r="AJ34" s="180" t="str">
        <f t="shared" si="12"/>
        <v>HR (A)</v>
      </c>
      <c r="AK34" s="178" t="str">
        <f t="shared" si="13"/>
        <v xml:space="preserve"> </v>
      </c>
      <c r="AL34" s="177" t="str">
        <f t="shared" si="14"/>
        <v xml:space="preserve"> </v>
      </c>
      <c r="AM34" s="177" t="str">
        <f t="shared" si="15"/>
        <v xml:space="preserve"> </v>
      </c>
      <c r="AN34" s="179" t="str">
        <f t="shared" si="16"/>
        <v xml:space="preserve"> </v>
      </c>
    </row>
    <row r="35" spans="1:40" ht="18.75" customHeight="1" thickBot="1" x14ac:dyDescent="0.4">
      <c r="A35" s="344"/>
      <c r="B35" s="99" t="str">
        <f>Mon!B35</f>
        <v>BAJ</v>
      </c>
      <c r="C35" s="162" t="s">
        <v>41</v>
      </c>
      <c r="D35" s="162"/>
      <c r="E35" s="6" t="s">
        <v>135</v>
      </c>
      <c r="F35" s="5" t="s">
        <v>98</v>
      </c>
      <c r="G35" s="6" t="s">
        <v>129</v>
      </c>
      <c r="H35" s="5" t="s">
        <v>100</v>
      </c>
      <c r="I35" s="348"/>
      <c r="J35" s="349"/>
      <c r="K35" s="6" t="s">
        <v>234</v>
      </c>
      <c r="L35" s="5" t="s">
        <v>229</v>
      </c>
      <c r="M35" s="6" t="s">
        <v>235</v>
      </c>
      <c r="N35" s="5" t="s">
        <v>236</v>
      </c>
      <c r="O35" s="124"/>
      <c r="U35" s="165" t="str">
        <f>Mon!U35</f>
        <v>(SA)</v>
      </c>
      <c r="V35" s="9">
        <f t="shared" si="4"/>
        <v>4</v>
      </c>
      <c r="W35" s="36">
        <f>SUM(Mon!V35,Tue!V35,Wed!V35,Thur!V35,Fri!V35)</f>
        <v>16</v>
      </c>
      <c r="X35" s="165" t="str">
        <f>Mon!U35</f>
        <v>(SA)</v>
      </c>
      <c r="Y35" s="20">
        <f t="shared" si="0"/>
        <v>1</v>
      </c>
      <c r="Z35" s="21">
        <f t="shared" si="1"/>
        <v>1</v>
      </c>
      <c r="AA35" s="21">
        <f t="shared" si="2"/>
        <v>1</v>
      </c>
      <c r="AB35" s="22">
        <f t="shared" si="3"/>
        <v>1</v>
      </c>
      <c r="AC35" s="25" t="str">
        <f t="shared" si="18"/>
        <v xml:space="preserve"> </v>
      </c>
      <c r="AD35" s="26" t="str">
        <f t="shared" si="19"/>
        <v xml:space="preserve"> </v>
      </c>
      <c r="AE35" s="26" t="str">
        <f t="shared" si="20"/>
        <v xml:space="preserve"> </v>
      </c>
      <c r="AF35" s="27" t="str">
        <f t="shared" si="21"/>
        <v xml:space="preserve"> </v>
      </c>
      <c r="AG35" s="178" t="str">
        <f t="shared" si="9"/>
        <v xml:space="preserve"> </v>
      </c>
      <c r="AH35" s="177" t="str">
        <f t="shared" si="10"/>
        <v xml:space="preserve"> </v>
      </c>
      <c r="AI35" s="177" t="str">
        <f t="shared" si="11"/>
        <v xml:space="preserve"> </v>
      </c>
      <c r="AJ35" s="180" t="str">
        <f t="shared" si="12"/>
        <v xml:space="preserve"> </v>
      </c>
      <c r="AK35" s="178" t="str">
        <f t="shared" si="13"/>
        <v>GE (M)</v>
      </c>
      <c r="AL35" s="177" t="str">
        <f t="shared" si="14"/>
        <v>GE (A)</v>
      </c>
      <c r="AM35" s="177" t="str">
        <f t="shared" si="15"/>
        <v>GE (H)</v>
      </c>
      <c r="AN35" s="179" t="str">
        <f t="shared" si="16"/>
        <v>GE (N)</v>
      </c>
    </row>
    <row r="36" spans="1:40" ht="18.75" customHeight="1" thickBot="1" x14ac:dyDescent="0.4">
      <c r="A36" s="345"/>
      <c r="B36" s="99" t="str">
        <f>Mon!B36</f>
        <v>BAJ</v>
      </c>
      <c r="C36" s="162" t="s">
        <v>49</v>
      </c>
      <c r="D36" s="162"/>
      <c r="E36" s="6" t="s">
        <v>130</v>
      </c>
      <c r="F36" s="5" t="s">
        <v>131</v>
      </c>
      <c r="G36" s="6" t="s">
        <v>135</v>
      </c>
      <c r="H36" s="5" t="s">
        <v>89</v>
      </c>
      <c r="I36" s="350"/>
      <c r="J36" s="351"/>
      <c r="K36" s="6" t="s">
        <v>234</v>
      </c>
      <c r="L36" s="5" t="s">
        <v>229</v>
      </c>
      <c r="M36" s="6" t="s">
        <v>235</v>
      </c>
      <c r="N36" s="5" t="s">
        <v>236</v>
      </c>
      <c r="O36" s="124"/>
      <c r="U36" s="165" t="str">
        <f>Mon!U36</f>
        <v>(SAK)</v>
      </c>
      <c r="V36" s="9">
        <f t="shared" si="4"/>
        <v>2</v>
      </c>
      <c r="W36" s="36">
        <f>SUM(Mon!V36,Tue!V36,Wed!V36,Thur!V36,Fri!V36)</f>
        <v>15</v>
      </c>
      <c r="X36" s="165" t="str">
        <f>Mon!U36</f>
        <v>(SAK)</v>
      </c>
      <c r="Y36" s="20">
        <f t="shared" si="0"/>
        <v>0</v>
      </c>
      <c r="Z36" s="21">
        <f t="shared" si="1"/>
        <v>1</v>
      </c>
      <c r="AA36" s="21">
        <f t="shared" si="2"/>
        <v>0</v>
      </c>
      <c r="AB36" s="22">
        <f t="shared" si="3"/>
        <v>1</v>
      </c>
      <c r="AC36" s="25" t="str">
        <f t="shared" si="18"/>
        <v xml:space="preserve"> </v>
      </c>
      <c r="AD36" s="26" t="str">
        <f t="shared" si="19"/>
        <v xml:space="preserve"> </v>
      </c>
      <c r="AE36" s="26" t="str">
        <f t="shared" si="20"/>
        <v xml:space="preserve"> </v>
      </c>
      <c r="AF36" s="27" t="str">
        <f t="shared" si="21"/>
        <v xml:space="preserve"> </v>
      </c>
      <c r="AG36" s="178" t="str">
        <f t="shared" si="9"/>
        <v xml:space="preserve"> </v>
      </c>
      <c r="AH36" s="177" t="str">
        <f t="shared" si="10"/>
        <v>CM (E)</v>
      </c>
      <c r="AI36" s="177" t="str">
        <f t="shared" si="11"/>
        <v xml:space="preserve"> </v>
      </c>
      <c r="AJ36" s="180" t="str">
        <f t="shared" si="12"/>
        <v>MM (D)</v>
      </c>
      <c r="AK36" s="178" t="str">
        <f t="shared" si="13"/>
        <v xml:space="preserve"> </v>
      </c>
      <c r="AL36" s="177" t="str">
        <f t="shared" si="14"/>
        <v xml:space="preserve"> </v>
      </c>
      <c r="AM36" s="177" t="str">
        <f t="shared" si="15"/>
        <v xml:space="preserve"> </v>
      </c>
      <c r="AN36" s="179" t="str">
        <f t="shared" si="16"/>
        <v xml:space="preserve"> </v>
      </c>
    </row>
    <row r="37" spans="1:40" ht="18.75" customHeight="1" thickBot="1" x14ac:dyDescent="0.4">
      <c r="A37" s="192" t="s">
        <v>26</v>
      </c>
      <c r="B37" s="299"/>
      <c r="C37" s="94" t="s">
        <v>27</v>
      </c>
      <c r="D37" s="95" t="s">
        <v>136</v>
      </c>
      <c r="E37" s="352" t="s">
        <v>137</v>
      </c>
      <c r="F37" s="353"/>
      <c r="G37" s="354" t="s">
        <v>138</v>
      </c>
      <c r="H37" s="353"/>
      <c r="I37" s="354" t="s">
        <v>139</v>
      </c>
      <c r="J37" s="353"/>
      <c r="K37" s="354" t="s">
        <v>140</v>
      </c>
      <c r="L37" s="353"/>
      <c r="M37" s="354" t="s">
        <v>141</v>
      </c>
      <c r="N37" s="358"/>
      <c r="O37" s="124"/>
      <c r="U37" s="165" t="str">
        <f>Mon!U37</f>
        <v>(SB)</v>
      </c>
      <c r="V37" s="9">
        <f t="shared" si="4"/>
        <v>3</v>
      </c>
      <c r="W37" s="36">
        <f>SUM(Mon!V37,Tue!V37,Wed!V37,Thur!V37,Fri!V37)</f>
        <v>15</v>
      </c>
      <c r="X37" s="165" t="str">
        <f>Mon!U37</f>
        <v>(SB)</v>
      </c>
      <c r="Y37" s="20">
        <f t="shared" si="0"/>
        <v>1</v>
      </c>
      <c r="Z37" s="21">
        <f t="shared" si="1"/>
        <v>0</v>
      </c>
      <c r="AA37" s="21">
        <f t="shared" si="2"/>
        <v>1</v>
      </c>
      <c r="AB37" s="22">
        <f t="shared" si="3"/>
        <v>1</v>
      </c>
      <c r="AC37" s="25" t="str">
        <f t="shared" si="18"/>
        <v xml:space="preserve"> </v>
      </c>
      <c r="AD37" s="26" t="str">
        <f t="shared" si="19"/>
        <v xml:space="preserve"> </v>
      </c>
      <c r="AE37" s="26" t="str">
        <f t="shared" si="20"/>
        <v xml:space="preserve"> </v>
      </c>
      <c r="AF37" s="27" t="str">
        <f t="shared" si="21"/>
        <v xml:space="preserve"> </v>
      </c>
      <c r="AG37" s="178" t="str">
        <f t="shared" si="9"/>
        <v>MM (F)</v>
      </c>
      <c r="AH37" s="177" t="str">
        <f t="shared" si="10"/>
        <v xml:space="preserve"> </v>
      </c>
      <c r="AI37" s="177" t="str">
        <f t="shared" si="11"/>
        <v>MM (M)</v>
      </c>
      <c r="AJ37" s="180" t="str">
        <f t="shared" si="12"/>
        <v>MM (C)</v>
      </c>
      <c r="AK37" s="178" t="str">
        <f t="shared" si="13"/>
        <v xml:space="preserve"> </v>
      </c>
      <c r="AL37" s="177" t="str">
        <f t="shared" si="14"/>
        <v xml:space="preserve"> </v>
      </c>
      <c r="AM37" s="177" t="str">
        <f t="shared" si="15"/>
        <v xml:space="preserve"> </v>
      </c>
      <c r="AN37" s="179" t="str">
        <f t="shared" si="16"/>
        <v xml:space="preserve"> </v>
      </c>
    </row>
    <row r="38" spans="1:40" ht="18.75" customHeight="1" thickBot="1" x14ac:dyDescent="0.4">
      <c r="A38" s="332">
        <v>1</v>
      </c>
      <c r="B38" s="100" t="str">
        <f>Mon!B38</f>
        <v>AE</v>
      </c>
      <c r="C38" s="100" t="s">
        <v>41</v>
      </c>
      <c r="D38" s="91">
        <v>308</v>
      </c>
      <c r="E38" s="191" t="str">
        <f>_xlfn.XLOOKUP(F38, $A$74:$A$83, $B$74:$B$83, "Training")</f>
        <v>QT</v>
      </c>
      <c r="F38" s="96" t="s">
        <v>148</v>
      </c>
      <c r="G38" s="191" t="str">
        <f>_xlfn.XLOOKUP(H38, $A$74:$A$83, $B$74:$B$83, "Training")</f>
        <v>GE</v>
      </c>
      <c r="H38" s="51" t="s">
        <v>133</v>
      </c>
      <c r="I38" s="335" t="s">
        <v>143</v>
      </c>
      <c r="J38" s="336"/>
      <c r="K38" s="191" t="str">
        <f>_xlfn.XLOOKUP(L38, $A$74:$A$83, $B$74:$B$83, "Training")</f>
        <v>AE</v>
      </c>
      <c r="L38" s="96" t="s">
        <v>144</v>
      </c>
      <c r="M38" s="191" t="str">
        <f>_xlfn.XLOOKUP(N38, $A$74:$A$83, $B$74:$B$83, "Training")</f>
        <v>FA</v>
      </c>
      <c r="N38" s="96" t="s">
        <v>115</v>
      </c>
      <c r="O38" s="124"/>
      <c r="U38" s="165" t="str">
        <f>Mon!U38</f>
        <v>(SC)</v>
      </c>
      <c r="V38" s="9">
        <f t="shared" si="4"/>
        <v>4</v>
      </c>
      <c r="W38" s="36">
        <f>SUM(Mon!V38,Tue!V38,Wed!V38,Thur!V38,Fri!V38)</f>
        <v>14</v>
      </c>
      <c r="X38" s="165" t="str">
        <f>Mon!U38</f>
        <v>(SC)</v>
      </c>
      <c r="Y38" s="20">
        <f t="shared" si="0"/>
        <v>1</v>
      </c>
      <c r="Z38" s="21">
        <f t="shared" si="1"/>
        <v>1</v>
      </c>
      <c r="AA38" s="21">
        <f t="shared" si="2"/>
        <v>1</v>
      </c>
      <c r="AB38" s="22">
        <f t="shared" si="3"/>
        <v>1</v>
      </c>
      <c r="AC38" s="25" t="str">
        <f t="shared" si="18"/>
        <v xml:space="preserve"> </v>
      </c>
      <c r="AD38" s="26" t="str">
        <f t="shared" si="19"/>
        <v xml:space="preserve"> </v>
      </c>
      <c r="AE38" s="26" t="str">
        <f t="shared" si="20"/>
        <v xml:space="preserve"> </v>
      </c>
      <c r="AF38" s="27" t="str">
        <f t="shared" si="21"/>
        <v xml:space="preserve"> </v>
      </c>
      <c r="AG38" s="178" t="str">
        <f t="shared" si="9"/>
        <v xml:space="preserve"> </v>
      </c>
      <c r="AH38" s="177" t="str">
        <f t="shared" si="10"/>
        <v xml:space="preserve"> </v>
      </c>
      <c r="AI38" s="177" t="str">
        <f t="shared" si="11"/>
        <v xml:space="preserve"> </v>
      </c>
      <c r="AJ38" s="180" t="str">
        <f t="shared" si="12"/>
        <v xml:space="preserve"> </v>
      </c>
      <c r="AK38" s="178" t="str">
        <f t="shared" si="13"/>
        <v>GE (G)</v>
      </c>
      <c r="AL38" s="177" t="str">
        <f t="shared" si="14"/>
        <v>AE (F)</v>
      </c>
      <c r="AM38" s="177" t="str">
        <f t="shared" si="15"/>
        <v>AE (A)</v>
      </c>
      <c r="AN38" s="179" t="str">
        <f t="shared" si="16"/>
        <v>AE (E)</v>
      </c>
    </row>
    <row r="39" spans="1:40" ht="18.75" customHeight="1" thickBot="1" x14ac:dyDescent="0.4">
      <c r="A39" s="333"/>
      <c r="B39" s="19" t="str">
        <f>Mon!B39</f>
        <v>AE</v>
      </c>
      <c r="C39" s="19" t="s">
        <v>49</v>
      </c>
      <c r="D39" s="76">
        <v>304</v>
      </c>
      <c r="E39" s="49" t="str">
        <f>_xlfn.XLOOKUP(F39, $C$74:$C$83, $D$74:$D$83, "Training")</f>
        <v>QT</v>
      </c>
      <c r="F39" s="50" t="s">
        <v>71</v>
      </c>
      <c r="G39" s="49" t="str">
        <f>_xlfn.XLOOKUP(H39, $C$74:$C$83, $D$74:$D$83, "Training")</f>
        <v>BM</v>
      </c>
      <c r="H39" s="50" t="s">
        <v>146</v>
      </c>
      <c r="I39" s="337"/>
      <c r="J39" s="338"/>
      <c r="K39" s="49" t="str">
        <f>_xlfn.XLOOKUP(L39, $C$74:$C$83, $D$74:$D$83, "Training")</f>
        <v>GE</v>
      </c>
      <c r="L39" s="50" t="s">
        <v>123</v>
      </c>
      <c r="M39" s="49" t="str">
        <f>_xlfn.XLOOKUP(N39, $C$74:$C$83, $D$74:$D$83, "Training")</f>
        <v>FA</v>
      </c>
      <c r="N39" s="50" t="s">
        <v>145</v>
      </c>
      <c r="O39" s="124"/>
      <c r="U39" s="165" t="str">
        <f>Mon!U39</f>
        <v>(SE)</v>
      </c>
      <c r="V39" s="9">
        <f t="shared" si="4"/>
        <v>3</v>
      </c>
      <c r="W39" s="36">
        <f>SUM(Mon!V39,Tue!V39,Wed!V39,Thur!V39,Fri!V39)</f>
        <v>16</v>
      </c>
      <c r="X39" s="165" t="str">
        <f>Mon!U39</f>
        <v>(SE)</v>
      </c>
      <c r="Y39" s="20">
        <f t="shared" si="0"/>
        <v>0</v>
      </c>
      <c r="Z39" s="21">
        <f t="shared" si="1"/>
        <v>1</v>
      </c>
      <c r="AA39" s="21">
        <f t="shared" si="2"/>
        <v>1</v>
      </c>
      <c r="AB39" s="22">
        <f t="shared" si="3"/>
        <v>1</v>
      </c>
      <c r="AC39" s="25" t="str">
        <f t="shared" si="18"/>
        <v xml:space="preserve"> </v>
      </c>
      <c r="AD39" s="26" t="str">
        <f t="shared" si="19"/>
        <v xml:space="preserve"> </v>
      </c>
      <c r="AE39" s="26" t="str">
        <f t="shared" si="20"/>
        <v xml:space="preserve"> </v>
      </c>
      <c r="AF39" s="27" t="str">
        <f t="shared" si="21"/>
        <v xml:space="preserve"> </v>
      </c>
      <c r="AG39" s="178" t="str">
        <f t="shared" si="9"/>
        <v xml:space="preserve"> </v>
      </c>
      <c r="AH39" s="177" t="str">
        <f t="shared" si="10"/>
        <v xml:space="preserve"> </v>
      </c>
      <c r="AI39" s="177" t="str">
        <f t="shared" si="11"/>
        <v xml:space="preserve"> </v>
      </c>
      <c r="AJ39" s="180" t="str">
        <f t="shared" si="12"/>
        <v xml:space="preserve"> </v>
      </c>
      <c r="AK39" s="178" t="str">
        <f t="shared" si="13"/>
        <v xml:space="preserve"> </v>
      </c>
      <c r="AL39" s="177" t="str">
        <f t="shared" si="14"/>
        <v>BM (B)</v>
      </c>
      <c r="AM39" s="177" t="str">
        <f t="shared" si="15"/>
        <v>BM (F)</v>
      </c>
      <c r="AN39" s="179" t="str">
        <f t="shared" si="16"/>
        <v>BT (M)</v>
      </c>
    </row>
    <row r="40" spans="1:40" ht="18.75" customHeight="1" thickBot="1" x14ac:dyDescent="0.4">
      <c r="A40" s="333"/>
      <c r="B40" s="19" t="str">
        <f>Mon!B40</f>
        <v>AE</v>
      </c>
      <c r="C40" s="19" t="s">
        <v>55</v>
      </c>
      <c r="D40" s="76">
        <v>204</v>
      </c>
      <c r="E40" s="48" t="str">
        <f>_xlfn.XLOOKUP(F40, $E$74:$E$83, $F$74:$F$83, "Training")</f>
        <v>GE</v>
      </c>
      <c r="F40" s="51" t="s">
        <v>147</v>
      </c>
      <c r="G40" s="48" t="str">
        <f>_xlfn.XLOOKUP(H40, $E$74:$E$83, $F$74:$F$83, "Training")</f>
        <v>BM</v>
      </c>
      <c r="H40" s="51" t="s">
        <v>95</v>
      </c>
      <c r="I40" s="337"/>
      <c r="J40" s="338"/>
      <c r="K40" s="48" t="str">
        <f>_xlfn.XLOOKUP(L40, $E$74:$E$83, $F$74:$F$83, "Training")</f>
        <v>QT</v>
      </c>
      <c r="L40" s="51" t="s">
        <v>71</v>
      </c>
      <c r="M40" s="48" t="str">
        <f>_xlfn.XLOOKUP(N40, $E$74:$E$83, $F$74:$F$83, "Training")</f>
        <v>AE</v>
      </c>
      <c r="N40" s="51" t="s">
        <v>123</v>
      </c>
      <c r="O40" s="124"/>
      <c r="U40" s="165" t="str">
        <f>Mon!U40</f>
        <v>(SN)</v>
      </c>
      <c r="V40" s="9">
        <f t="shared" si="4"/>
        <v>4</v>
      </c>
      <c r="W40" s="36">
        <f>SUM(Mon!V40,Tue!V40,Wed!V40,Thur!V40,Fri!V40)</f>
        <v>14</v>
      </c>
      <c r="X40" s="165" t="str">
        <f>Mon!U40</f>
        <v>(SN)</v>
      </c>
      <c r="Y40" s="20">
        <f t="shared" si="0"/>
        <v>1</v>
      </c>
      <c r="Z40" s="21">
        <f t="shared" si="1"/>
        <v>1</v>
      </c>
      <c r="AA40" s="21">
        <f t="shared" si="2"/>
        <v>1</v>
      </c>
      <c r="AB40" s="22">
        <f t="shared" si="3"/>
        <v>1</v>
      </c>
      <c r="AC40" s="25" t="str">
        <f t="shared" si="18"/>
        <v xml:space="preserve"> </v>
      </c>
      <c r="AD40" s="26" t="str">
        <f t="shared" si="19"/>
        <v xml:space="preserve"> </v>
      </c>
      <c r="AE40" s="26" t="str">
        <f t="shared" si="20"/>
        <v xml:space="preserve"> </v>
      </c>
      <c r="AF40" s="27" t="str">
        <f t="shared" si="21"/>
        <v xml:space="preserve"> </v>
      </c>
      <c r="AG40" s="178" t="str">
        <f t="shared" si="9"/>
        <v xml:space="preserve"> </v>
      </c>
      <c r="AH40" s="177" t="str">
        <f t="shared" si="10"/>
        <v xml:space="preserve"> </v>
      </c>
      <c r="AI40" s="177" t="str">
        <f t="shared" si="11"/>
        <v xml:space="preserve"> </v>
      </c>
      <c r="AJ40" s="180" t="str">
        <f t="shared" si="12"/>
        <v xml:space="preserve"> </v>
      </c>
      <c r="AK40" s="178" t="str">
        <f t="shared" si="13"/>
        <v>GE (C)</v>
      </c>
      <c r="AL40" s="177" t="str">
        <f t="shared" si="14"/>
        <v>AE (G)</v>
      </c>
      <c r="AM40" s="177" t="str">
        <f t="shared" si="15"/>
        <v>GE (J)</v>
      </c>
      <c r="AN40" s="179" t="str">
        <f t="shared" si="16"/>
        <v>GE (K)</v>
      </c>
    </row>
    <row r="41" spans="1:40" ht="18.75" customHeight="1" thickBot="1" x14ac:dyDescent="0.4">
      <c r="A41" s="333"/>
      <c r="B41" s="19" t="str">
        <f>Mon!B41</f>
        <v>AE</v>
      </c>
      <c r="C41" s="19" t="s">
        <v>37</v>
      </c>
      <c r="D41" s="76">
        <v>306</v>
      </c>
      <c r="E41" s="49" t="str">
        <f>_xlfn.XLOOKUP(F41, $G$74:$G$83, $H$74:$H$83, "Training")</f>
        <v>BM</v>
      </c>
      <c r="F41" s="50" t="s">
        <v>149</v>
      </c>
      <c r="G41" s="49" t="str">
        <f>_xlfn.XLOOKUP(H41, $G$74:$G$83, $H$74:$H$83, "Training")</f>
        <v>AE</v>
      </c>
      <c r="H41" s="50" t="s">
        <v>123</v>
      </c>
      <c r="I41" s="337"/>
      <c r="J41" s="338"/>
      <c r="K41" s="49" t="str">
        <f>_xlfn.XLOOKUP(L41, $G$74:$G$83, $H$74:$H$83, "Training")</f>
        <v>FA</v>
      </c>
      <c r="L41" s="50" t="s">
        <v>150</v>
      </c>
      <c r="M41" s="49" t="str">
        <f>_xlfn.XLOOKUP(N41, $G$74:$G$83, $H$74:$H$83, "Training")</f>
        <v>BT</v>
      </c>
      <c r="N41" s="50" t="s">
        <v>95</v>
      </c>
      <c r="O41" s="124"/>
      <c r="U41" s="165" t="str">
        <f>Mon!U41</f>
        <v>(SP)</v>
      </c>
      <c r="V41" s="9">
        <f t="shared" si="4"/>
        <v>4</v>
      </c>
      <c r="W41" s="36">
        <f>SUM(Mon!V41,Tue!V41,Wed!V41,Thur!V41,Fri!V41)</f>
        <v>18</v>
      </c>
      <c r="X41" s="165" t="str">
        <f>Mon!U41</f>
        <v>(SP)</v>
      </c>
      <c r="Y41" s="20">
        <f t="shared" si="0"/>
        <v>1</v>
      </c>
      <c r="Z41" s="21">
        <f t="shared" si="1"/>
        <v>1</v>
      </c>
      <c r="AA41" s="21">
        <f t="shared" si="2"/>
        <v>1</v>
      </c>
      <c r="AB41" s="22">
        <f t="shared" si="3"/>
        <v>1</v>
      </c>
      <c r="AC41" s="25" t="str">
        <f t="shared" si="18"/>
        <v>PR (K)</v>
      </c>
      <c r="AD41" s="26" t="str">
        <f t="shared" si="19"/>
        <v>PR (L)</v>
      </c>
      <c r="AE41" s="26" t="str">
        <f t="shared" si="20"/>
        <v xml:space="preserve"> </v>
      </c>
      <c r="AF41" s="27" t="str">
        <f t="shared" si="21"/>
        <v xml:space="preserve"> </v>
      </c>
      <c r="AG41" s="178" t="str">
        <f t="shared" si="9"/>
        <v xml:space="preserve"> </v>
      </c>
      <c r="AH41" s="177" t="str">
        <f t="shared" si="10"/>
        <v xml:space="preserve"> </v>
      </c>
      <c r="AI41" s="177" t="str">
        <f t="shared" si="11"/>
        <v>CP (G)</v>
      </c>
      <c r="AJ41" s="180" t="str">
        <f t="shared" si="12"/>
        <v>CP (I)</v>
      </c>
      <c r="AK41" s="178" t="str">
        <f t="shared" si="13"/>
        <v xml:space="preserve"> </v>
      </c>
      <c r="AL41" s="177" t="str">
        <f t="shared" si="14"/>
        <v xml:space="preserve"> </v>
      </c>
      <c r="AM41" s="177" t="str">
        <f t="shared" si="15"/>
        <v xml:space="preserve"> </v>
      </c>
      <c r="AN41" s="179" t="str">
        <f t="shared" si="16"/>
        <v xml:space="preserve"> </v>
      </c>
    </row>
    <row r="42" spans="1:40" ht="18.75" customHeight="1" thickBot="1" x14ac:dyDescent="0.4">
      <c r="A42" s="333"/>
      <c r="B42" s="19" t="str">
        <f>Mon!B42</f>
        <v>AE</v>
      </c>
      <c r="C42" s="19" t="s">
        <v>38</v>
      </c>
      <c r="D42" s="76">
        <v>206</v>
      </c>
      <c r="E42" s="48" t="str">
        <f>_xlfn.XLOOKUP(F42, $I$74:$I$83, $J$74:$J$83, "Training")</f>
        <v>QT</v>
      </c>
      <c r="F42" s="51" t="s">
        <v>120</v>
      </c>
      <c r="G42" s="48" t="str">
        <f>_xlfn.XLOOKUP(H42, $I$74:$I$83, $J$74:$J$83, "Training")</f>
        <v>FA</v>
      </c>
      <c r="H42" s="51" t="s">
        <v>182</v>
      </c>
      <c r="I42" s="337"/>
      <c r="J42" s="338"/>
      <c r="K42" s="48" t="str">
        <f>_xlfn.XLOOKUP(L42, $I$74:$I$83, $J$74:$J$83, "Training")</f>
        <v>BT</v>
      </c>
      <c r="L42" s="51" t="s">
        <v>95</v>
      </c>
      <c r="M42" s="48" t="str">
        <f>_xlfn.XLOOKUP(N42, $I$74:$I$83, $J$74:$J$83, "Training")</f>
        <v>AE</v>
      </c>
      <c r="N42" s="51" t="s">
        <v>144</v>
      </c>
      <c r="O42" s="124"/>
      <c r="U42" s="165" t="str">
        <f>Mon!U42</f>
        <v>(SR)</v>
      </c>
      <c r="V42" s="9">
        <f t="shared" si="4"/>
        <v>3</v>
      </c>
      <c r="W42" s="36">
        <f>SUM(Mon!V42,Tue!V42,Wed!V42,Thur!V42,Fri!V42)</f>
        <v>15</v>
      </c>
      <c r="X42" s="165" t="str">
        <f>Mon!U42</f>
        <v>(SR)</v>
      </c>
      <c r="Y42" s="20">
        <f t="shared" si="0"/>
        <v>1</v>
      </c>
      <c r="Z42" s="21">
        <f t="shared" si="1"/>
        <v>1</v>
      </c>
      <c r="AA42" s="21">
        <f t="shared" si="2"/>
        <v>1</v>
      </c>
      <c r="AB42" s="22">
        <f t="shared" si="3"/>
        <v>0</v>
      </c>
      <c r="AC42" s="25" t="str">
        <f t="shared" si="18"/>
        <v>IHRM (L)</v>
      </c>
      <c r="AD42" s="26" t="str">
        <f t="shared" si="19"/>
        <v>ECOM (H)</v>
      </c>
      <c r="AE42" s="26" t="str">
        <f t="shared" si="20"/>
        <v>ECOM (G)</v>
      </c>
      <c r="AF42" s="27" t="str">
        <f t="shared" si="21"/>
        <v xml:space="preserve"> </v>
      </c>
      <c r="AG42" s="178" t="str">
        <f t="shared" si="9"/>
        <v xml:space="preserve"> </v>
      </c>
      <c r="AH42" s="177" t="str">
        <f t="shared" si="10"/>
        <v xml:space="preserve"> </v>
      </c>
      <c r="AI42" s="177" t="str">
        <f t="shared" si="11"/>
        <v xml:space="preserve"> </v>
      </c>
      <c r="AJ42" s="180" t="str">
        <f t="shared" si="12"/>
        <v xml:space="preserve"> </v>
      </c>
      <c r="AK42" s="178" t="str">
        <f t="shared" si="13"/>
        <v xml:space="preserve"> </v>
      </c>
      <c r="AL42" s="177" t="str">
        <f t="shared" si="14"/>
        <v xml:space="preserve"> </v>
      </c>
      <c r="AM42" s="177" t="str">
        <f t="shared" si="15"/>
        <v xml:space="preserve"> </v>
      </c>
      <c r="AN42" s="179" t="str">
        <f t="shared" si="16"/>
        <v xml:space="preserve"> </v>
      </c>
    </row>
    <row r="43" spans="1:40" ht="18.75" customHeight="1" thickBot="1" x14ac:dyDescent="0.4">
      <c r="A43" s="333"/>
      <c r="B43" s="19" t="str">
        <f>Mon!B43</f>
        <v>AE</v>
      </c>
      <c r="C43" s="19" t="s">
        <v>65</v>
      </c>
      <c r="D43" s="76">
        <v>207</v>
      </c>
      <c r="E43" s="48" t="str">
        <f>_xlfn.XLOOKUP(F43, $K$74:$K$83, $L$74:$L$83, "Training")</f>
        <v>GE</v>
      </c>
      <c r="F43" s="51" t="s">
        <v>123</v>
      </c>
      <c r="G43" s="48" t="str">
        <f>_xlfn.XLOOKUP(H43, $K$74:$K$83, $L$74:$L$83, "Training")</f>
        <v>AE</v>
      </c>
      <c r="H43" s="51" t="s">
        <v>144</v>
      </c>
      <c r="I43" s="337"/>
      <c r="J43" s="338"/>
      <c r="K43" s="48" t="str">
        <f>_xlfn.XLOOKUP(L43, $K$74:$K$83, $L$74:$L$83, "Training")</f>
        <v>BM</v>
      </c>
      <c r="L43" s="51" t="s">
        <v>146</v>
      </c>
      <c r="M43" s="48" t="str">
        <f>_xlfn.XLOOKUP(N43, $K$74:$K$83, $L$74:$L$83, "Training")</f>
        <v>FA</v>
      </c>
      <c r="N43" s="51" t="s">
        <v>151</v>
      </c>
      <c r="O43" s="124"/>
      <c r="U43" s="165" t="str">
        <f>Mon!U43</f>
        <v>(SRN)</v>
      </c>
      <c r="V43" s="9">
        <f t="shared" si="4"/>
        <v>3</v>
      </c>
      <c r="W43" s="36">
        <f>SUM(Mon!V43,Tue!V43,Wed!V43,Thur!V43,Fri!V43)</f>
        <v>16</v>
      </c>
      <c r="X43" s="165" t="str">
        <f>Mon!U43</f>
        <v>(SRN)</v>
      </c>
      <c r="Y43" s="20">
        <f t="shared" si="0"/>
        <v>0</v>
      </c>
      <c r="Z43" s="21">
        <f t="shared" si="1"/>
        <v>1</v>
      </c>
      <c r="AA43" s="21">
        <f t="shared" si="2"/>
        <v>1</v>
      </c>
      <c r="AB43" s="22">
        <f t="shared" si="3"/>
        <v>1</v>
      </c>
      <c r="AC43" s="25" t="str">
        <f t="shared" si="18"/>
        <v xml:space="preserve"> </v>
      </c>
      <c r="AD43" s="26" t="str">
        <f t="shared" si="19"/>
        <v>IT (A)</v>
      </c>
      <c r="AE43" s="26" t="str">
        <f t="shared" si="20"/>
        <v>IT (D)</v>
      </c>
      <c r="AF43" s="27" t="str">
        <f t="shared" si="21"/>
        <v>IF (E)</v>
      </c>
      <c r="AG43" s="178" t="str">
        <f t="shared" si="9"/>
        <v xml:space="preserve"> </v>
      </c>
      <c r="AH43" s="177" t="str">
        <f t="shared" si="10"/>
        <v xml:space="preserve"> </v>
      </c>
      <c r="AI43" s="177" t="str">
        <f t="shared" si="11"/>
        <v xml:space="preserve"> </v>
      </c>
      <c r="AJ43" s="180" t="str">
        <f t="shared" si="12"/>
        <v xml:space="preserve"> </v>
      </c>
      <c r="AK43" s="178" t="str">
        <f t="shared" si="13"/>
        <v xml:space="preserve"> </v>
      </c>
      <c r="AL43" s="177" t="str">
        <f t="shared" si="14"/>
        <v xml:space="preserve"> </v>
      </c>
      <c r="AM43" s="177" t="str">
        <f t="shared" si="15"/>
        <v xml:space="preserve"> </v>
      </c>
      <c r="AN43" s="179" t="str">
        <f t="shared" si="16"/>
        <v xml:space="preserve"> </v>
      </c>
    </row>
    <row r="44" spans="1:40" ht="18.75" customHeight="1" thickBot="1" x14ac:dyDescent="0.4">
      <c r="A44" s="333"/>
      <c r="B44" s="19" t="str">
        <f>Mon!B44</f>
        <v>AE</v>
      </c>
      <c r="C44" s="19" t="s">
        <v>69</v>
      </c>
      <c r="D44" s="76">
        <v>202</v>
      </c>
      <c r="E44" s="48" t="str">
        <f>_xlfn.XLOOKUP(F44, $M$74:$M$83, $N$74:$N$83, "Training")</f>
        <v>GE</v>
      </c>
      <c r="F44" s="51" t="s">
        <v>144</v>
      </c>
      <c r="G44" s="48" t="str">
        <f>_xlfn.XLOOKUP(H44, $M$74:$M$83, $N$74:$N$83, "Training")</f>
        <v>AE</v>
      </c>
      <c r="H44" s="51" t="s">
        <v>147</v>
      </c>
      <c r="I44" s="337"/>
      <c r="J44" s="338"/>
      <c r="K44" s="48" t="str">
        <f>_xlfn.XLOOKUP(L44, $M$74:$M$83, $N$74:$N$83, "Training")</f>
        <v>FA</v>
      </c>
      <c r="L44" s="51" t="s">
        <v>145</v>
      </c>
      <c r="M44" s="48" t="str">
        <f>_xlfn.XLOOKUP(N44, $M$74:$M$83, $N$74:$N$83, "Training")</f>
        <v>BM</v>
      </c>
      <c r="N44" s="51" t="s">
        <v>54</v>
      </c>
      <c r="O44" s="124"/>
      <c r="U44" s="165" t="str">
        <f>Mon!U44</f>
        <v>(SRS)</v>
      </c>
      <c r="V44" s="9">
        <f t="shared" si="4"/>
        <v>3</v>
      </c>
      <c r="W44" s="36">
        <f>SUM(Mon!V44,Tue!V44,Wed!V44,Thur!V44,Fri!V44)</f>
        <v>16</v>
      </c>
      <c r="X44" s="165" t="str">
        <f>Mon!U44</f>
        <v>(SRS)</v>
      </c>
      <c r="Y44" s="20">
        <f t="shared" si="0"/>
        <v>1</v>
      </c>
      <c r="Z44" s="21">
        <f t="shared" si="1"/>
        <v>0</v>
      </c>
      <c r="AA44" s="21">
        <f t="shared" si="2"/>
        <v>1</v>
      </c>
      <c r="AB44" s="22">
        <f t="shared" si="3"/>
        <v>1</v>
      </c>
      <c r="AC44" s="25" t="str">
        <f t="shared" si="18"/>
        <v xml:space="preserve"> </v>
      </c>
      <c r="AD44" s="26" t="str">
        <f t="shared" si="19"/>
        <v xml:space="preserve"> </v>
      </c>
      <c r="AE44" s="26" t="str">
        <f t="shared" si="20"/>
        <v xml:space="preserve"> </v>
      </c>
      <c r="AF44" s="27" t="str">
        <f t="shared" si="21"/>
        <v xml:space="preserve"> </v>
      </c>
      <c r="AG44" s="178" t="str">
        <f t="shared" si="9"/>
        <v>MM (L)</v>
      </c>
      <c r="AH44" s="177" t="str">
        <f t="shared" si="10"/>
        <v xml:space="preserve"> </v>
      </c>
      <c r="AI44" s="177" t="str">
        <f t="shared" si="11"/>
        <v>MM (B)</v>
      </c>
      <c r="AJ44" s="180" t="str">
        <f t="shared" si="12"/>
        <v>MM (H)</v>
      </c>
      <c r="AK44" s="178" t="str">
        <f t="shared" si="13"/>
        <v xml:space="preserve"> </v>
      </c>
      <c r="AL44" s="177" t="str">
        <f t="shared" si="14"/>
        <v xml:space="preserve"> </v>
      </c>
      <c r="AM44" s="177" t="str">
        <f t="shared" si="15"/>
        <v xml:space="preserve"> </v>
      </c>
      <c r="AN44" s="179" t="str">
        <f t="shared" si="16"/>
        <v xml:space="preserve"> </v>
      </c>
    </row>
    <row r="45" spans="1:40" ht="18.75" customHeight="1" thickBot="1" x14ac:dyDescent="0.4">
      <c r="A45" s="333"/>
      <c r="B45" s="19" t="str">
        <f>Mon!B45</f>
        <v>AE</v>
      </c>
      <c r="C45" s="19" t="s">
        <v>72</v>
      </c>
      <c r="D45" s="76">
        <v>205</v>
      </c>
      <c r="E45" s="48" t="str">
        <f>_xlfn.XLOOKUP(F45, $O$74:$O$83, $P$74:$P$83, "Training")</f>
        <v>FA</v>
      </c>
      <c r="F45" s="51" t="s">
        <v>115</v>
      </c>
      <c r="G45" s="48" t="str">
        <f>_xlfn.XLOOKUP(H45, $O$74:$O$83, $P$74:$P$83, "Training")</f>
        <v>BT</v>
      </c>
      <c r="H45" s="51" t="s">
        <v>56</v>
      </c>
      <c r="I45" s="337"/>
      <c r="J45" s="338"/>
      <c r="K45" s="48" t="str">
        <f>_xlfn.XLOOKUP(L45, $O$74:$O$83, $P$74:$P$83, "Training")</f>
        <v>GE</v>
      </c>
      <c r="L45" s="51" t="s">
        <v>133</v>
      </c>
      <c r="M45" s="48" t="str">
        <f>_xlfn.XLOOKUP(N45, $O$74:$O$83, $P$74:$P$83, "Training")</f>
        <v>QT</v>
      </c>
      <c r="N45" s="51" t="s">
        <v>148</v>
      </c>
      <c r="O45" s="124"/>
      <c r="U45" s="165" t="str">
        <f>Mon!U45</f>
        <v>(SUH)</v>
      </c>
      <c r="V45" s="9">
        <f t="shared" si="4"/>
        <v>3</v>
      </c>
      <c r="W45" s="36">
        <f>SUM(Mon!V45,Tue!V45,Wed!V45,Thur!V45,Fri!V45)</f>
        <v>15</v>
      </c>
      <c r="X45" s="165" t="str">
        <f>Mon!U45</f>
        <v>(SUH)</v>
      </c>
      <c r="Y45" s="20">
        <f t="shared" si="0"/>
        <v>1</v>
      </c>
      <c r="Z45" s="21">
        <f t="shared" si="1"/>
        <v>0</v>
      </c>
      <c r="AA45" s="21">
        <f t="shared" si="2"/>
        <v>1</v>
      </c>
      <c r="AB45" s="22">
        <f t="shared" si="3"/>
        <v>1</v>
      </c>
      <c r="AC45" s="25" t="str">
        <f t="shared" si="18"/>
        <v xml:space="preserve"> </v>
      </c>
      <c r="AD45" s="26" t="str">
        <f t="shared" si="19"/>
        <v xml:space="preserve"> </v>
      </c>
      <c r="AE45" s="26" t="str">
        <f t="shared" si="20"/>
        <v xml:space="preserve"> </v>
      </c>
      <c r="AF45" s="27" t="str">
        <f t="shared" si="21"/>
        <v xml:space="preserve"> </v>
      </c>
      <c r="AG45" s="178" t="str">
        <f t="shared" si="9"/>
        <v>EVS</v>
      </c>
      <c r="AH45" s="177" t="str">
        <f t="shared" si="10"/>
        <v xml:space="preserve"> </v>
      </c>
      <c r="AI45" s="177" t="str">
        <f t="shared" si="11"/>
        <v>CM (C)</v>
      </c>
      <c r="AJ45" s="180" t="str">
        <f t="shared" si="12"/>
        <v>CM (M)</v>
      </c>
      <c r="AK45" s="178" t="str">
        <f t="shared" si="13"/>
        <v xml:space="preserve"> </v>
      </c>
      <c r="AL45" s="177" t="str">
        <f t="shared" si="14"/>
        <v xml:space="preserve"> </v>
      </c>
      <c r="AM45" s="177" t="str">
        <f t="shared" si="15"/>
        <v xml:space="preserve"> </v>
      </c>
      <c r="AN45" s="179" t="str">
        <f t="shared" si="16"/>
        <v xml:space="preserve"> </v>
      </c>
    </row>
    <row r="46" spans="1:40" ht="18.75" customHeight="1" thickBot="1" x14ac:dyDescent="0.4">
      <c r="A46" s="333"/>
      <c r="B46" s="19" t="str">
        <f>Mon!B46</f>
        <v>HIN</v>
      </c>
      <c r="C46" s="19" t="s">
        <v>76</v>
      </c>
      <c r="D46" s="76">
        <v>203</v>
      </c>
      <c r="E46" s="48" t="str">
        <f>_xlfn.XLOOKUP(F46, $Q$74:$Q$83, $R$74:$R$83, "Training")</f>
        <v>FA</v>
      </c>
      <c r="F46" s="51" t="s">
        <v>145</v>
      </c>
      <c r="G46" s="48" t="str">
        <f>_xlfn.XLOOKUP(H46, $Q$74:$Q$83, $R$74:$R$83, "Training")</f>
        <v>QT</v>
      </c>
      <c r="H46" s="51" t="s">
        <v>120</v>
      </c>
      <c r="I46" s="337"/>
      <c r="J46" s="338"/>
      <c r="K46" s="48" t="str">
        <f>_xlfn.XLOOKUP(L46, $Q$74:$Q$83, $R$74:$R$83, "Training")</f>
        <v>GE</v>
      </c>
      <c r="L46" s="51" t="s">
        <v>77</v>
      </c>
      <c r="M46" s="48" t="str">
        <f>_xlfn.XLOOKUP(N46, $Q$74:$Q$83, $R$74:$R$83, "Training")</f>
        <v>BM</v>
      </c>
      <c r="N46" s="51" t="s">
        <v>149</v>
      </c>
      <c r="O46" s="124"/>
      <c r="U46" s="165" t="str">
        <f>Mon!U46</f>
        <v>(SUN)</v>
      </c>
      <c r="V46" s="9">
        <f t="shared" si="4"/>
        <v>2</v>
      </c>
      <c r="W46" s="36">
        <f>SUM(Mon!V46,Tue!V46,Wed!V46,Thur!V46,Fri!V46)</f>
        <v>12</v>
      </c>
      <c r="X46" s="165" t="str">
        <f>Mon!U46</f>
        <v>(SUN)</v>
      </c>
      <c r="Y46" s="20">
        <f t="shared" si="0"/>
        <v>1</v>
      </c>
      <c r="Z46" s="21">
        <f t="shared" si="1"/>
        <v>0</v>
      </c>
      <c r="AA46" s="21">
        <f t="shared" si="2"/>
        <v>0</v>
      </c>
      <c r="AB46" s="22">
        <f t="shared" si="3"/>
        <v>1</v>
      </c>
      <c r="AC46" s="25" t="str">
        <f t="shared" si="18"/>
        <v>IB (H)</v>
      </c>
      <c r="AD46" s="26" t="str">
        <f t="shared" si="19"/>
        <v xml:space="preserve"> </v>
      </c>
      <c r="AE46" s="26" t="str">
        <f t="shared" si="20"/>
        <v xml:space="preserve"> </v>
      </c>
      <c r="AF46" s="27" t="str">
        <f t="shared" si="21"/>
        <v>FMS (A)</v>
      </c>
      <c r="AG46" s="178" t="str">
        <f t="shared" si="9"/>
        <v xml:space="preserve"> </v>
      </c>
      <c r="AH46" s="177" t="str">
        <f t="shared" si="10"/>
        <v xml:space="preserve"> </v>
      </c>
      <c r="AI46" s="177" t="str">
        <f t="shared" si="11"/>
        <v xml:space="preserve"> </v>
      </c>
      <c r="AJ46" s="180" t="str">
        <f t="shared" si="12"/>
        <v xml:space="preserve"> </v>
      </c>
      <c r="AK46" s="178" t="str">
        <f t="shared" si="13"/>
        <v xml:space="preserve"> </v>
      </c>
      <c r="AL46" s="177" t="str">
        <f t="shared" si="14"/>
        <v xml:space="preserve"> </v>
      </c>
      <c r="AM46" s="177" t="str">
        <f t="shared" si="15"/>
        <v xml:space="preserve"> </v>
      </c>
      <c r="AN46" s="179" t="str">
        <f t="shared" si="16"/>
        <v xml:space="preserve"> </v>
      </c>
    </row>
    <row r="47" spans="1:40" ht="18.75" customHeight="1" thickBot="1" x14ac:dyDescent="0.4">
      <c r="A47" s="333"/>
      <c r="B47" s="19" t="str">
        <f>Mon!B47</f>
        <v>HIN</v>
      </c>
      <c r="C47" s="19" t="s">
        <v>79</v>
      </c>
      <c r="D47" s="76">
        <v>201</v>
      </c>
      <c r="E47" s="48" t="str">
        <f>_xlfn.XLOOKUP(F47, $S$74:$S$83, $T$74:$T$83, "Training")</f>
        <v>FA</v>
      </c>
      <c r="F47" s="51" t="s">
        <v>110</v>
      </c>
      <c r="G47" s="48" t="str">
        <f>_xlfn.XLOOKUP(H47, $S$74:$S$83, $T$74:$T$83, "Training")</f>
        <v>HIN</v>
      </c>
      <c r="H47" s="51" t="s">
        <v>153</v>
      </c>
      <c r="I47" s="337"/>
      <c r="J47" s="338"/>
      <c r="K47" s="48" t="str">
        <f>_xlfn.XLOOKUP(L47, $S$74:$S$83, $T$74:$T$83, "Training")</f>
        <v>GE</v>
      </c>
      <c r="L47" s="51" t="s">
        <v>147</v>
      </c>
      <c r="M47" s="48" t="str">
        <f>_xlfn.XLOOKUP(N47, $S$74:$S$83, $T$74:$T$83, "Training")</f>
        <v>BT</v>
      </c>
      <c r="N47" s="51" t="s">
        <v>34</v>
      </c>
      <c r="O47" s="124"/>
      <c r="U47" s="165" t="str">
        <f>Mon!U47</f>
        <v>(SUP)</v>
      </c>
      <c r="V47" s="9">
        <f t="shared" si="4"/>
        <v>4</v>
      </c>
      <c r="W47" s="36">
        <f>SUM(Mon!V47,Tue!V47,Wed!V47,Thur!V47,Fri!V47)</f>
        <v>15</v>
      </c>
      <c r="X47" s="165" t="str">
        <f>Mon!U47</f>
        <v>(SUP)</v>
      </c>
      <c r="Y47" s="20">
        <f t="shared" si="0"/>
        <v>1</v>
      </c>
      <c r="Z47" s="21">
        <f t="shared" si="1"/>
        <v>1</v>
      </c>
      <c r="AA47" s="21">
        <f t="shared" si="2"/>
        <v>1</v>
      </c>
      <c r="AB47" s="22">
        <f t="shared" si="3"/>
        <v>1</v>
      </c>
      <c r="AC47" s="25" t="str">
        <f t="shared" si="18"/>
        <v>AA (E)</v>
      </c>
      <c r="AD47" s="26" t="str">
        <f t="shared" si="19"/>
        <v>IT (C)</v>
      </c>
      <c r="AE47" s="26" t="str">
        <f t="shared" si="20"/>
        <v>IT (I)</v>
      </c>
      <c r="AF47" s="27" t="str">
        <f t="shared" si="21"/>
        <v>AA (D)</v>
      </c>
      <c r="AG47" s="178" t="str">
        <f t="shared" si="9"/>
        <v xml:space="preserve"> </v>
      </c>
      <c r="AH47" s="177" t="str">
        <f t="shared" si="10"/>
        <v xml:space="preserve"> </v>
      </c>
      <c r="AI47" s="177" t="str">
        <f t="shared" si="11"/>
        <v xml:space="preserve"> </v>
      </c>
      <c r="AJ47" s="180" t="str">
        <f t="shared" si="12"/>
        <v xml:space="preserve"> </v>
      </c>
      <c r="AK47" s="178" t="str">
        <f t="shared" si="13"/>
        <v xml:space="preserve"> </v>
      </c>
      <c r="AL47" s="177" t="str">
        <f t="shared" si="14"/>
        <v xml:space="preserve"> </v>
      </c>
      <c r="AM47" s="177" t="str">
        <f t="shared" si="15"/>
        <v xml:space="preserve"> </v>
      </c>
      <c r="AN47" s="179" t="str">
        <f t="shared" si="16"/>
        <v xml:space="preserve"> </v>
      </c>
    </row>
    <row r="48" spans="1:40" ht="18.75" customHeight="1" thickBot="1" x14ac:dyDescent="0.4">
      <c r="A48" s="333"/>
      <c r="B48" s="19" t="str">
        <f>Mon!B48</f>
        <v>HIN</v>
      </c>
      <c r="C48" s="19" t="s">
        <v>81</v>
      </c>
      <c r="D48" s="76">
        <v>301</v>
      </c>
      <c r="E48" s="48" t="str">
        <f>_xlfn.XLOOKUP(F48, $U$74:$U$83, $V$74:$V$83, "Training")</f>
        <v>BT</v>
      </c>
      <c r="F48" s="51" t="s">
        <v>56</v>
      </c>
      <c r="G48" s="48" t="str">
        <f>_xlfn.XLOOKUP(H48, $U$74:$U$83, $V$74:$V$83, "Training")</f>
        <v>BM</v>
      </c>
      <c r="H48" s="51" t="s">
        <v>54</v>
      </c>
      <c r="I48" s="337"/>
      <c r="J48" s="338"/>
      <c r="K48" s="48" t="str">
        <f>_xlfn.XLOOKUP(L48, $U$74:$U$83, $V$74:$V$83, "Training")</f>
        <v>HIN</v>
      </c>
      <c r="L48" s="51" t="s">
        <v>153</v>
      </c>
      <c r="M48" s="48" t="str">
        <f>_xlfn.XLOOKUP(N48, $U$74:$U$83, $V$74:$V$83, "Training")</f>
        <v>GE</v>
      </c>
      <c r="N48" s="51" t="s">
        <v>147</v>
      </c>
      <c r="O48" s="124"/>
      <c r="U48" s="165" t="str">
        <f>Mon!U48</f>
        <v>(SV)</v>
      </c>
      <c r="V48" s="9">
        <f t="shared" si="4"/>
        <v>3</v>
      </c>
      <c r="W48" s="36">
        <f>SUM(Mon!V48,Tue!V48,Wed!V48,Thur!V48,Fri!V48)</f>
        <v>11</v>
      </c>
      <c r="X48" s="165" t="str">
        <f>Mon!U48</f>
        <v>(SV)</v>
      </c>
      <c r="Y48" s="20">
        <f t="shared" si="0"/>
        <v>0</v>
      </c>
      <c r="Z48" s="21">
        <f t="shared" si="1"/>
        <v>1</v>
      </c>
      <c r="AA48" s="21">
        <f t="shared" si="2"/>
        <v>1</v>
      </c>
      <c r="AB48" s="22">
        <f t="shared" si="3"/>
        <v>1</v>
      </c>
      <c r="AC48" s="25" t="str">
        <f t="shared" si="18"/>
        <v xml:space="preserve"> </v>
      </c>
      <c r="AD48" s="26" t="str">
        <f t="shared" si="19"/>
        <v xml:space="preserve"> </v>
      </c>
      <c r="AE48" s="26" t="str">
        <f t="shared" si="20"/>
        <v xml:space="preserve"> </v>
      </c>
      <c r="AF48" s="27" t="str">
        <f t="shared" si="21"/>
        <v xml:space="preserve"> </v>
      </c>
      <c r="AG48" s="178" t="str">
        <f t="shared" si="9"/>
        <v xml:space="preserve"> </v>
      </c>
      <c r="AH48" s="177" t="str">
        <f t="shared" si="10"/>
        <v xml:space="preserve"> </v>
      </c>
      <c r="AI48" s="177" t="str">
        <f t="shared" si="11"/>
        <v xml:space="preserve"> </v>
      </c>
      <c r="AJ48" s="180" t="str">
        <f t="shared" si="12"/>
        <v xml:space="preserve"> </v>
      </c>
      <c r="AK48" s="178" t="str">
        <f t="shared" si="13"/>
        <v xml:space="preserve"> </v>
      </c>
      <c r="AL48" s="177" t="str">
        <f t="shared" si="14"/>
        <v>HIN (J)</v>
      </c>
      <c r="AM48" s="177" t="str">
        <f t="shared" si="15"/>
        <v>HIN (K)</v>
      </c>
      <c r="AN48" s="179" t="str">
        <f t="shared" si="16"/>
        <v>HIN (L)</v>
      </c>
    </row>
    <row r="49" spans="1:40" ht="15.75" customHeight="1" thickBot="1" x14ac:dyDescent="0.4">
      <c r="A49" s="333"/>
      <c r="B49" s="19" t="s">
        <v>152</v>
      </c>
      <c r="C49" s="19" t="s">
        <v>84</v>
      </c>
      <c r="D49" s="91">
        <v>307</v>
      </c>
      <c r="E49" s="48" t="str">
        <f>_xlfn.XLOOKUP(F49, $W$74:$W$83, $X$74:$X$83, "Training")</f>
        <v>FA</v>
      </c>
      <c r="F49" s="51" t="s">
        <v>182</v>
      </c>
      <c r="G49" s="48" t="str">
        <f>_xlfn.XLOOKUP(H49, $W$74:$W$83, $X$74:$X$83, "Training")</f>
        <v>QT</v>
      </c>
      <c r="H49" s="51" t="s">
        <v>71</v>
      </c>
      <c r="I49" s="337"/>
      <c r="J49" s="338"/>
      <c r="K49" s="48" t="str">
        <f>_xlfn.XLOOKUP(L49, $W$74:$W$83, $X$74:$X$83, "Training")</f>
        <v>BM</v>
      </c>
      <c r="L49" s="51" t="s">
        <v>149</v>
      </c>
      <c r="M49" s="48" t="str">
        <f>_xlfn.XLOOKUP(N49, $W$74:$W$83, $X$74:$X$83, "Training")</f>
        <v>HIN</v>
      </c>
      <c r="N49" s="51" t="s">
        <v>153</v>
      </c>
      <c r="O49" s="124"/>
      <c r="U49" s="165" t="str">
        <f>Mon!U49</f>
        <v>(SW)</v>
      </c>
      <c r="V49" s="9">
        <f t="shared" si="4"/>
        <v>3</v>
      </c>
      <c r="W49" s="36">
        <f>SUM(Mon!V49,Tue!V49,Wed!V49,Thur!V49,Fri!V49)</f>
        <v>16</v>
      </c>
      <c r="X49" s="165" t="str">
        <f>Mon!U49</f>
        <v>(SW)</v>
      </c>
      <c r="Y49" s="20">
        <f t="shared" si="0"/>
        <v>1</v>
      </c>
      <c r="Z49" s="21">
        <f t="shared" si="1"/>
        <v>1</v>
      </c>
      <c r="AA49" s="21">
        <f t="shared" si="2"/>
        <v>1</v>
      </c>
      <c r="AB49" s="22">
        <f t="shared" si="3"/>
        <v>0</v>
      </c>
      <c r="AC49" s="25" t="str">
        <f t="shared" si="18"/>
        <v xml:space="preserve"> </v>
      </c>
      <c r="AD49" s="26" t="str">
        <f t="shared" si="19"/>
        <v xml:space="preserve"> </v>
      </c>
      <c r="AE49" s="26" t="str">
        <f t="shared" si="20"/>
        <v xml:space="preserve"> </v>
      </c>
      <c r="AF49" s="27" t="str">
        <f t="shared" si="21"/>
        <v xml:space="preserve"> </v>
      </c>
      <c r="AG49" s="178" t="str">
        <f t="shared" si="9"/>
        <v>CM (D)</v>
      </c>
      <c r="AH49" s="177" t="str">
        <f t="shared" si="10"/>
        <v>CA (J)</v>
      </c>
      <c r="AI49" s="177" t="str">
        <f t="shared" si="11"/>
        <v>CA (E)</v>
      </c>
      <c r="AJ49" s="180" t="str">
        <f t="shared" si="12"/>
        <v xml:space="preserve"> </v>
      </c>
      <c r="AK49" s="178" t="str">
        <f t="shared" si="13"/>
        <v xml:space="preserve"> </v>
      </c>
      <c r="AL49" s="177" t="str">
        <f t="shared" si="14"/>
        <v xml:space="preserve"> </v>
      </c>
      <c r="AM49" s="177" t="str">
        <f t="shared" si="15"/>
        <v xml:space="preserve"> </v>
      </c>
      <c r="AN49" s="179" t="str">
        <f t="shared" si="16"/>
        <v xml:space="preserve"> </v>
      </c>
    </row>
    <row r="50" spans="1:40" ht="15.75" customHeight="1" thickBot="1" x14ac:dyDescent="0.4">
      <c r="A50" s="333"/>
      <c r="B50" s="19" t="s">
        <v>154</v>
      </c>
      <c r="C50" s="19" t="s">
        <v>126</v>
      </c>
      <c r="D50" s="91"/>
      <c r="E50" s="83" t="str">
        <f>_xlfn.XLOOKUP(F50, $Y$74:$Y$83, $Z$74:$Z$83, "Training")</f>
        <v>GE</v>
      </c>
      <c r="F50" s="187" t="s">
        <v>133</v>
      </c>
      <c r="G50" s="83" t="str">
        <f>_xlfn.XLOOKUP(H50, $Y$74:$Y$83, $Z$74:$Z$83, "Training")</f>
        <v>FA</v>
      </c>
      <c r="H50" s="188" t="s">
        <v>145</v>
      </c>
      <c r="I50" s="337"/>
      <c r="J50" s="338"/>
      <c r="K50" s="83" t="str">
        <f>_xlfn.XLOOKUP(L50, $Y$74:$Y$83, $Z$74:$Z$83, "Training")</f>
        <v>KAN</v>
      </c>
      <c r="L50" s="187" t="s">
        <v>85</v>
      </c>
      <c r="M50" s="83" t="str">
        <f>_xlfn.XLOOKUP(N50, $Y$74:$Y$83, $Z$74:$Z$83, "Training")</f>
        <v>BT</v>
      </c>
      <c r="N50" s="187" t="s">
        <v>146</v>
      </c>
      <c r="O50" s="125"/>
      <c r="U50" s="165" t="str">
        <f>Mon!U50</f>
        <v>(TK)</v>
      </c>
      <c r="V50" s="9">
        <f t="shared" si="4"/>
        <v>3</v>
      </c>
      <c r="W50" s="36">
        <f>SUM(Mon!V50,Tue!V50,Wed!V50,Thur!V50,Fri!V50)</f>
        <v>14</v>
      </c>
      <c r="X50" s="165" t="str">
        <f>Mon!U50</f>
        <v>(TK)</v>
      </c>
      <c r="Y50" s="20">
        <f t="shared" si="0"/>
        <v>1</v>
      </c>
      <c r="Z50" s="21">
        <f t="shared" si="1"/>
        <v>1</v>
      </c>
      <c r="AA50" s="21">
        <f t="shared" si="2"/>
        <v>1</v>
      </c>
      <c r="AB50" s="22">
        <f t="shared" si="3"/>
        <v>0</v>
      </c>
      <c r="AC50" s="25" t="str">
        <f t="shared" si="18"/>
        <v xml:space="preserve"> </v>
      </c>
      <c r="AD50" s="26" t="str">
        <f t="shared" si="19"/>
        <v xml:space="preserve"> </v>
      </c>
      <c r="AE50" s="26" t="str">
        <f t="shared" si="20"/>
        <v xml:space="preserve"> </v>
      </c>
      <c r="AF50" s="27" t="str">
        <f t="shared" si="21"/>
        <v xml:space="preserve"> </v>
      </c>
      <c r="AG50" s="178" t="str">
        <f t="shared" si="9"/>
        <v>CA (N)</v>
      </c>
      <c r="AH50" s="177" t="str">
        <f t="shared" si="10"/>
        <v>CA (B)</v>
      </c>
      <c r="AI50" s="177" t="str">
        <f t="shared" si="11"/>
        <v>CA (K)</v>
      </c>
      <c r="AJ50" s="180" t="str">
        <f t="shared" si="12"/>
        <v xml:space="preserve"> </v>
      </c>
      <c r="AK50" s="178" t="str">
        <f t="shared" si="13"/>
        <v xml:space="preserve"> </v>
      </c>
      <c r="AL50" s="177" t="str">
        <f t="shared" si="14"/>
        <v xml:space="preserve"> </v>
      </c>
      <c r="AM50" s="177" t="str">
        <f t="shared" si="15"/>
        <v xml:space="preserve"> </v>
      </c>
      <c r="AN50" s="179" t="str">
        <f t="shared" si="16"/>
        <v xml:space="preserve"> </v>
      </c>
    </row>
    <row r="51" spans="1:40" ht="15.75" customHeight="1" thickBot="1" x14ac:dyDescent="0.4">
      <c r="A51" s="333"/>
      <c r="B51" s="161" t="s">
        <v>155</v>
      </c>
      <c r="C51" s="98" t="s">
        <v>128</v>
      </c>
      <c r="D51" s="201"/>
      <c r="E51" s="49" t="str">
        <f>_xlfn.XLOOKUP(F51, $AA$74:$AA$83, $AB$74:$AB$83, "Training")</f>
        <v>BT</v>
      </c>
      <c r="F51" s="203" t="s">
        <v>95</v>
      </c>
      <c r="G51" s="49" t="str">
        <f>_xlfn.XLOOKUP(H51, $AA$74:$AA$83, $AB$74:$AB$83, "Training")</f>
        <v>QT</v>
      </c>
      <c r="H51" s="50" t="s">
        <v>151</v>
      </c>
      <c r="I51" s="337"/>
      <c r="J51" s="338"/>
      <c r="K51" s="49" t="str">
        <f>_xlfn.XLOOKUP(L51, $AA$74:$AA$83, $AB$74:$AB$83, "Training")</f>
        <v>FA</v>
      </c>
      <c r="L51" s="203" t="s">
        <v>115</v>
      </c>
      <c r="M51" s="49" t="str">
        <f>_xlfn.XLOOKUP(N51, $AA$74:$AA$83, $AB$74:$AB$83, "Training")</f>
        <v>GE</v>
      </c>
      <c r="N51" s="203" t="s">
        <v>133</v>
      </c>
      <c r="O51" s="125"/>
      <c r="U51" s="165" t="str">
        <f>Mon!U51</f>
        <v>(UK)</v>
      </c>
      <c r="V51" s="9">
        <f t="shared" si="4"/>
        <v>3</v>
      </c>
      <c r="W51" s="36">
        <f>SUM(Mon!V51,Tue!V51,Wed!V51,Thur!V51,Fri!V51)</f>
        <v>11</v>
      </c>
      <c r="X51" s="165" t="str">
        <f>Mon!U51</f>
        <v>(UK)</v>
      </c>
      <c r="Y51" s="20">
        <f t="shared" si="0"/>
        <v>1</v>
      </c>
      <c r="Z51" s="21">
        <f t="shared" si="1"/>
        <v>0</v>
      </c>
      <c r="AA51" s="21">
        <f t="shared" si="2"/>
        <v>1</v>
      </c>
      <c r="AB51" s="22">
        <f t="shared" si="3"/>
        <v>1</v>
      </c>
      <c r="AC51" s="25" t="str">
        <f t="shared" si="18"/>
        <v>IT (F)</v>
      </c>
      <c r="AD51" s="26" t="str">
        <f t="shared" si="19"/>
        <v xml:space="preserve"> </v>
      </c>
      <c r="AE51" s="26" t="str">
        <f t="shared" si="20"/>
        <v>IT (L)</v>
      </c>
      <c r="AF51" s="27" t="str">
        <f t="shared" si="21"/>
        <v>IT (B)</v>
      </c>
      <c r="AG51" s="178" t="str">
        <f t="shared" si="9"/>
        <v xml:space="preserve"> </v>
      </c>
      <c r="AH51" s="177" t="str">
        <f t="shared" si="10"/>
        <v xml:space="preserve"> </v>
      </c>
      <c r="AI51" s="177" t="str">
        <f t="shared" si="11"/>
        <v xml:space="preserve"> </v>
      </c>
      <c r="AJ51" s="180" t="str">
        <f t="shared" si="12"/>
        <v xml:space="preserve"> </v>
      </c>
      <c r="AK51" s="178" t="str">
        <f t="shared" si="13"/>
        <v xml:space="preserve"> </v>
      </c>
      <c r="AL51" s="177" t="str">
        <f t="shared" si="14"/>
        <v xml:space="preserve"> </v>
      </c>
      <c r="AM51" s="177" t="str">
        <f t="shared" si="15"/>
        <v xml:space="preserve"> </v>
      </c>
      <c r="AN51" s="179" t="str">
        <f t="shared" si="16"/>
        <v xml:space="preserve"> </v>
      </c>
    </row>
    <row r="52" spans="1:40" ht="15.75" customHeight="1" thickBot="1" x14ac:dyDescent="0.4">
      <c r="A52" s="333"/>
      <c r="B52" s="19" t="s">
        <v>87</v>
      </c>
      <c r="C52" s="98" t="s">
        <v>41</v>
      </c>
      <c r="D52" s="201">
        <v>401</v>
      </c>
      <c r="E52" s="48" t="s">
        <v>159</v>
      </c>
      <c r="F52" s="51" t="s">
        <v>131</v>
      </c>
      <c r="G52" s="48" t="s">
        <v>177</v>
      </c>
      <c r="H52" s="51" t="s">
        <v>94</v>
      </c>
      <c r="I52" s="337"/>
      <c r="J52" s="338"/>
      <c r="K52" s="48" t="s">
        <v>158</v>
      </c>
      <c r="L52" s="51" t="s">
        <v>77</v>
      </c>
      <c r="M52" s="48" t="s">
        <v>179</v>
      </c>
      <c r="N52" s="51" t="s">
        <v>131</v>
      </c>
      <c r="O52" s="125"/>
      <c r="U52" s="165" t="str">
        <f>Mon!U52</f>
        <v>(VA)</v>
      </c>
      <c r="V52" s="9">
        <f t="shared" si="4"/>
        <v>3</v>
      </c>
      <c r="W52" s="36">
        <f>SUM(Mon!V52,Tue!V52,Wed!V52,Thur!V52,Fri!V52)</f>
        <v>15</v>
      </c>
      <c r="X52" s="165" t="str">
        <f>Mon!U52</f>
        <v>(VA)</v>
      </c>
      <c r="Y52" s="20">
        <f t="shared" si="0"/>
        <v>1</v>
      </c>
      <c r="Z52" s="23">
        <f t="shared" si="1"/>
        <v>1</v>
      </c>
      <c r="AA52" s="23">
        <f t="shared" si="2"/>
        <v>1</v>
      </c>
      <c r="AB52" s="24">
        <f t="shared" si="3"/>
        <v>0</v>
      </c>
      <c r="AC52" s="25" t="str">
        <f t="shared" si="18"/>
        <v xml:space="preserve"> </v>
      </c>
      <c r="AD52" s="26" t="str">
        <f t="shared" si="19"/>
        <v xml:space="preserve"> </v>
      </c>
      <c r="AE52" s="26" t="str">
        <f t="shared" si="20"/>
        <v xml:space="preserve"> </v>
      </c>
      <c r="AF52" s="27" t="str">
        <f t="shared" si="21"/>
        <v xml:space="preserve"> </v>
      </c>
      <c r="AG52" s="178" t="str">
        <f t="shared" si="9"/>
        <v xml:space="preserve"> </v>
      </c>
      <c r="AH52" s="177" t="str">
        <f t="shared" si="10"/>
        <v>CA (C)</v>
      </c>
      <c r="AI52" s="177" t="str">
        <f t="shared" si="11"/>
        <v>CA (I)</v>
      </c>
      <c r="AJ52" s="180" t="str">
        <f t="shared" si="12"/>
        <v xml:space="preserve"> </v>
      </c>
      <c r="AK52" s="178" t="str">
        <f t="shared" si="13"/>
        <v>FA (J)</v>
      </c>
      <c r="AL52" s="177" t="str">
        <f t="shared" si="14"/>
        <v xml:space="preserve"> </v>
      </c>
      <c r="AM52" s="177" t="str">
        <f t="shared" si="15"/>
        <v xml:space="preserve"> </v>
      </c>
      <c r="AN52" s="179" t="str">
        <f t="shared" si="16"/>
        <v xml:space="preserve"> </v>
      </c>
    </row>
    <row r="53" spans="1:40" ht="15.75" customHeight="1" thickBot="1" x14ac:dyDescent="0.4">
      <c r="A53" s="334"/>
      <c r="B53" s="19" t="s">
        <v>87</v>
      </c>
      <c r="C53" s="98" t="s">
        <v>49</v>
      </c>
      <c r="D53" s="201">
        <v>402</v>
      </c>
      <c r="E53" s="48" t="s">
        <v>177</v>
      </c>
      <c r="F53" s="51" t="s">
        <v>94</v>
      </c>
      <c r="G53" s="48" t="s">
        <v>158</v>
      </c>
      <c r="H53" s="51" t="s">
        <v>77</v>
      </c>
      <c r="I53" s="339"/>
      <c r="J53" s="340"/>
      <c r="K53" s="48" t="s">
        <v>159</v>
      </c>
      <c r="L53" s="51" t="s">
        <v>131</v>
      </c>
      <c r="M53" s="48" t="s">
        <v>157</v>
      </c>
      <c r="N53" s="51" t="s">
        <v>98</v>
      </c>
      <c r="O53" s="125"/>
      <c r="U53" s="165" t="str">
        <f>Mon!U53</f>
        <v>(VAR)</v>
      </c>
      <c r="V53" s="9">
        <f t="shared" si="4"/>
        <v>4</v>
      </c>
      <c r="W53" s="36">
        <f>SUM(Mon!V53,Tue!V53,Wed!V53,Thur!V53,Fri!V53)</f>
        <v>16</v>
      </c>
      <c r="X53" s="165" t="str">
        <f>Mon!U53</f>
        <v>(VAR)</v>
      </c>
      <c r="Y53" s="20"/>
      <c r="Z53" s="21"/>
      <c r="AA53" s="21"/>
      <c r="AB53" s="22"/>
      <c r="AC53" s="25" t="str">
        <f t="shared" si="18"/>
        <v xml:space="preserve"> </v>
      </c>
      <c r="AD53" s="26" t="str">
        <f t="shared" si="19"/>
        <v>IF (D)</v>
      </c>
      <c r="AE53" s="26" t="str">
        <f t="shared" si="20"/>
        <v>AA (B)</v>
      </c>
      <c r="AF53" s="27" t="str">
        <f t="shared" si="21"/>
        <v>IF (F)</v>
      </c>
      <c r="AG53" s="178" t="str">
        <f t="shared" si="9"/>
        <v>MM (G)</v>
      </c>
      <c r="AH53" s="177" t="str">
        <f t="shared" si="10"/>
        <v xml:space="preserve"> </v>
      </c>
      <c r="AI53" s="177" t="str">
        <f t="shared" si="11"/>
        <v xml:space="preserve"> </v>
      </c>
      <c r="AJ53" s="180" t="str">
        <f t="shared" si="12"/>
        <v xml:space="preserve"> </v>
      </c>
      <c r="AK53" s="178" t="str">
        <f t="shared" si="13"/>
        <v xml:space="preserve"> </v>
      </c>
      <c r="AL53" s="177" t="str">
        <f t="shared" si="14"/>
        <v xml:space="preserve"> </v>
      </c>
      <c r="AM53" s="177" t="str">
        <f t="shared" si="15"/>
        <v xml:space="preserve"> </v>
      </c>
      <c r="AN53" s="179" t="str">
        <f t="shared" si="16"/>
        <v xml:space="preserve"> </v>
      </c>
    </row>
    <row r="54" spans="1:40" ht="15" thickBot="1" x14ac:dyDescent="0.4">
      <c r="U54" s="165" t="str">
        <f>Mon!U54</f>
        <v>(VIN)</v>
      </c>
      <c r="V54" s="9">
        <f t="shared" si="4"/>
        <v>4</v>
      </c>
      <c r="W54" s="36">
        <f>SUM(Mon!V54,Tue!V54,Wed!V54,Thur!V54,Fri!V54)</f>
        <v>16</v>
      </c>
      <c r="X54" s="165" t="str">
        <f>Mon!U54</f>
        <v>(VIN)</v>
      </c>
      <c r="Y54" s="20"/>
      <c r="Z54" s="21"/>
      <c r="AA54" s="21"/>
      <c r="AB54" s="22"/>
      <c r="AC54" s="25" t="str">
        <f t="shared" si="18"/>
        <v xml:space="preserve"> </v>
      </c>
      <c r="AD54" s="26" t="str">
        <f t="shared" si="19"/>
        <v xml:space="preserve"> </v>
      </c>
      <c r="AE54" s="26" t="str">
        <f t="shared" si="20"/>
        <v xml:space="preserve"> </v>
      </c>
      <c r="AF54" s="27" t="str">
        <f t="shared" si="21"/>
        <v xml:space="preserve"> </v>
      </c>
      <c r="AG54" s="178" t="str">
        <f t="shared" si="9"/>
        <v xml:space="preserve"> </v>
      </c>
      <c r="AH54" s="177" t="str">
        <f t="shared" si="10"/>
        <v xml:space="preserve"> </v>
      </c>
      <c r="AI54" s="177" t="str">
        <f t="shared" si="11"/>
        <v xml:space="preserve"> </v>
      </c>
      <c r="AJ54" s="180" t="str">
        <f t="shared" si="12"/>
        <v xml:space="preserve"> </v>
      </c>
      <c r="AK54" s="178" t="str">
        <f t="shared" si="13"/>
        <v>FA (I)</v>
      </c>
      <c r="AL54" s="177" t="str">
        <f t="shared" si="14"/>
        <v>FA (M)</v>
      </c>
      <c r="AM54" s="177" t="str">
        <f t="shared" si="15"/>
        <v>FA (G)</v>
      </c>
      <c r="AN54" s="179" t="str">
        <f t="shared" si="16"/>
        <v>FA (B)</v>
      </c>
    </row>
    <row r="55" spans="1:40" ht="15" thickBot="1" x14ac:dyDescent="0.4">
      <c r="U55" s="165" t="str">
        <f>Mon!U55</f>
        <v>(VRL)</v>
      </c>
      <c r="V55" s="9">
        <f t="shared" si="4"/>
        <v>3</v>
      </c>
      <c r="W55" s="36">
        <f>SUM(Mon!V55,Tue!V55,Wed!V55,Thur!V55,Fri!V55)</f>
        <v>15</v>
      </c>
      <c r="X55" s="165" t="str">
        <f>Mon!U55</f>
        <v>(VRL)</v>
      </c>
      <c r="Y55" s="20"/>
      <c r="Z55" s="21"/>
      <c r="AA55" s="21"/>
      <c r="AB55" s="22"/>
      <c r="AC55" s="25" t="str">
        <f t="shared" si="18"/>
        <v xml:space="preserve"> </v>
      </c>
      <c r="AD55" s="26" t="str">
        <f t="shared" si="19"/>
        <v xml:space="preserve"> </v>
      </c>
      <c r="AE55" s="26" t="str">
        <f t="shared" si="20"/>
        <v xml:space="preserve"> </v>
      </c>
      <c r="AF55" s="27" t="str">
        <f t="shared" si="21"/>
        <v>RM (H)</v>
      </c>
      <c r="AG55" s="178" t="str">
        <f t="shared" si="9"/>
        <v xml:space="preserve"> </v>
      </c>
      <c r="AH55" s="177" t="str">
        <f t="shared" si="10"/>
        <v xml:space="preserve"> </v>
      </c>
      <c r="AI55" s="177" t="str">
        <f t="shared" si="11"/>
        <v xml:space="preserve"> </v>
      </c>
      <c r="AJ55" s="180" t="str">
        <f t="shared" si="12"/>
        <v xml:space="preserve"> </v>
      </c>
      <c r="AK55" s="178" t="str">
        <f t="shared" si="13"/>
        <v>QT (A)</v>
      </c>
      <c r="AL55" s="177" t="str">
        <f t="shared" si="14"/>
        <v xml:space="preserve"> </v>
      </c>
      <c r="AM55" s="177" t="str">
        <f t="shared" si="15"/>
        <v xml:space="preserve"> </v>
      </c>
      <c r="AN55" s="179" t="str">
        <f t="shared" si="16"/>
        <v>QT (H)</v>
      </c>
    </row>
    <row r="56" spans="1:40" ht="15" thickBot="1" x14ac:dyDescent="0.4">
      <c r="U56" s="165" t="str">
        <f>Mon!U56</f>
        <v>(YL)</v>
      </c>
      <c r="V56" s="9">
        <f t="shared" si="4"/>
        <v>3</v>
      </c>
      <c r="W56" s="36">
        <f>SUM(Mon!V56,Tue!V56,Wed!V56,Thur!V56,Fri!V56)</f>
        <v>16</v>
      </c>
      <c r="X56" s="165" t="str">
        <f>Mon!U56</f>
        <v>(YL)</v>
      </c>
      <c r="Y56" s="20"/>
      <c r="Z56" s="21"/>
      <c r="AA56" s="21"/>
      <c r="AB56" s="22"/>
      <c r="AC56" s="25" t="str">
        <f t="shared" si="18"/>
        <v>IB (D)</v>
      </c>
      <c r="AD56" s="26" t="str">
        <f t="shared" si="19"/>
        <v xml:space="preserve"> </v>
      </c>
      <c r="AE56" s="26" t="str">
        <f t="shared" si="20"/>
        <v xml:space="preserve"> </v>
      </c>
      <c r="AF56" s="27" t="str">
        <f t="shared" si="21"/>
        <v xml:space="preserve"> </v>
      </c>
      <c r="AG56" s="178" t="str">
        <f t="shared" si="9"/>
        <v xml:space="preserve"> </v>
      </c>
      <c r="AH56" s="177" t="str">
        <f t="shared" si="10"/>
        <v>ED (F)</v>
      </c>
      <c r="AI56" s="177" t="str">
        <f t="shared" si="11"/>
        <v xml:space="preserve"> </v>
      </c>
      <c r="AJ56" s="180" t="str">
        <f t="shared" si="12"/>
        <v>ED (N)</v>
      </c>
      <c r="AK56" s="178" t="str">
        <f t="shared" si="13"/>
        <v xml:space="preserve"> </v>
      </c>
      <c r="AL56" s="177" t="str">
        <f t="shared" si="14"/>
        <v xml:space="preserve"> </v>
      </c>
      <c r="AM56" s="177" t="str">
        <f t="shared" si="15"/>
        <v xml:space="preserve"> </v>
      </c>
      <c r="AN56" s="179" t="str">
        <f t="shared" si="16"/>
        <v xml:space="preserve"> </v>
      </c>
    </row>
    <row r="57" spans="1:40" ht="15" thickBot="1" x14ac:dyDescent="0.4">
      <c r="U57" s="165" t="str">
        <f>Mon!U57</f>
        <v>(RR)</v>
      </c>
      <c r="V57" s="9">
        <f t="shared" si="4"/>
        <v>4</v>
      </c>
      <c r="W57" s="36">
        <f>SUM(Mon!V57,Tue!V57,Wed!V57,Thur!V57,Fri!V57)</f>
        <v>16</v>
      </c>
      <c r="X57" s="165" t="str">
        <f>Mon!U57</f>
        <v>(RR)</v>
      </c>
      <c r="Y57" s="171"/>
      <c r="Z57" s="23"/>
      <c r="AA57" s="23"/>
      <c r="AB57" s="24"/>
      <c r="AC57" s="25" t="str">
        <f t="shared" si="18"/>
        <v xml:space="preserve"> </v>
      </c>
      <c r="AD57" s="26" t="str">
        <f t="shared" si="19"/>
        <v xml:space="preserve"> </v>
      </c>
      <c r="AE57" s="26" t="str">
        <f t="shared" si="20"/>
        <v xml:space="preserve"> </v>
      </c>
      <c r="AF57" s="27" t="str">
        <f t="shared" si="21"/>
        <v xml:space="preserve"> </v>
      </c>
      <c r="AG57" s="178" t="str">
        <f t="shared" si="9"/>
        <v xml:space="preserve">ED </v>
      </c>
      <c r="AH57" s="177" t="str">
        <f t="shared" si="10"/>
        <v>ED (G)</v>
      </c>
      <c r="AI57" s="177" t="str">
        <f t="shared" si="11"/>
        <v>EVS (F)</v>
      </c>
      <c r="AJ57" s="180" t="str">
        <f t="shared" si="12"/>
        <v>EVS (L)</v>
      </c>
      <c r="AK57" s="178" t="str">
        <f t="shared" si="13"/>
        <v xml:space="preserve"> </v>
      </c>
      <c r="AL57" s="177" t="str">
        <f t="shared" si="14"/>
        <v xml:space="preserve"> </v>
      </c>
      <c r="AM57" s="177" t="str">
        <f t="shared" si="15"/>
        <v xml:space="preserve"> </v>
      </c>
      <c r="AN57" s="179" t="str">
        <f t="shared" si="16"/>
        <v xml:space="preserve"> </v>
      </c>
    </row>
    <row r="58" spans="1:40" ht="15" thickBot="1" x14ac:dyDescent="0.4">
      <c r="U58" s="165" t="str">
        <f>Mon!U58</f>
        <v>(DRP)</v>
      </c>
      <c r="V58" s="9">
        <f t="shared" si="4"/>
        <v>3</v>
      </c>
      <c r="W58" s="36">
        <f>SUM(Mon!V58,Tue!V58,Wed!V58,Thur!V58,Fri!V58)</f>
        <v>14</v>
      </c>
      <c r="X58" s="165" t="str">
        <f>Mon!U58</f>
        <v>(DRP)</v>
      </c>
      <c r="Y58" s="171">
        <f>SUM((COUNTIF($E$5:$F$55,$U58)),IF($T58&lt;&gt;0,(COUNTIF($E$5:$F$55,$T58))),IF($S58&lt;&gt;0,(COUNTIF($E$5:$F$55,$S58))))</f>
        <v>1</v>
      </c>
      <c r="Z58" s="23">
        <f>SUM(COUNTIF($G$5:$J$55,$U58),IF($T58&lt;&gt;0,(COUNTIF($G$5:$J$55,$T58))),IF($S58&lt;&gt;0,(COUNTIF($G$5:$J$55,$S58))))</f>
        <v>0</v>
      </c>
      <c r="AA58" s="23">
        <f>SUM(COUNTIF($K$5:$L$55,$U58),IF($T58&lt;&gt;0,(COUNTIF($K$5:$L$55,$T58))),IF($S58&lt;&gt;0,(COUNTIF($K$5:$L$55,$S58))))</f>
        <v>1</v>
      </c>
      <c r="AB58" s="24">
        <f>SUM(COUNTIF($M$5:$N$55,$U58),IF($T58&lt;&gt;0,(COUNTIF($M$5:$N$55,$T58))),IF($S58&lt;&gt;0,(COUNTIF($M$5:$N$55,$S58))))</f>
        <v>1</v>
      </c>
      <c r="AC58" s="25" t="str">
        <f t="shared" si="18"/>
        <v xml:space="preserve"> </v>
      </c>
      <c r="AD58" s="26" t="str">
        <f t="shared" si="19"/>
        <v xml:space="preserve"> </v>
      </c>
      <c r="AE58" s="26" t="str">
        <f t="shared" si="20"/>
        <v xml:space="preserve"> </v>
      </c>
      <c r="AF58" s="27" t="str">
        <f t="shared" si="21"/>
        <v xml:space="preserve"> </v>
      </c>
      <c r="AG58" s="178" t="str">
        <f t="shared" si="9"/>
        <v xml:space="preserve"> </v>
      </c>
      <c r="AH58" s="177" t="str">
        <f t="shared" si="10"/>
        <v xml:space="preserve"> </v>
      </c>
      <c r="AI58" s="177" t="str">
        <f t="shared" si="11"/>
        <v xml:space="preserve"> </v>
      </c>
      <c r="AJ58" s="180" t="str">
        <f t="shared" si="12"/>
        <v xml:space="preserve"> </v>
      </c>
      <c r="AK58" s="178" t="str">
        <f t="shared" si="13"/>
        <v>BM (D)</v>
      </c>
      <c r="AL58" s="177" t="str">
        <f t="shared" si="14"/>
        <v xml:space="preserve"> </v>
      </c>
      <c r="AM58" s="177" t="str">
        <f t="shared" si="15"/>
        <v>BM (L)</v>
      </c>
      <c r="AN58" s="179" t="str">
        <f t="shared" si="16"/>
        <v>BM (I)</v>
      </c>
    </row>
    <row r="59" spans="1:40" x14ac:dyDescent="0.35">
      <c r="U59" s="165" t="str">
        <f>Mon!U59</f>
        <v>(NEW)</v>
      </c>
      <c r="V59" s="9">
        <f t="shared" ref="V59" si="23">SUM(COUNTIF($E$5:$N$55,U59),IF(T59&lt;&gt;0,COUNTIF($E$5:$N$55,T59),0),IF(S59&lt;&gt;0,COUNTIF($E$5:$N$55,S59),0))</f>
        <v>3</v>
      </c>
      <c r="W59" s="36">
        <f>SUM(Mon!V59,Tue!V59,Wed!V59,Thur!V59,Fri!V59)</f>
        <v>9</v>
      </c>
      <c r="X59" s="165" t="str">
        <f>Mon!U59</f>
        <v>(NEW)</v>
      </c>
      <c r="Y59" s="171">
        <f>SUM((COUNTIF($E$5:$F$55,$U59)),IF($T59&lt;&gt;0,(COUNTIF($E$5:$F$55,$T59))),IF($S59&lt;&gt;0,(COUNTIF($E$5:$F$55,$S59))))</f>
        <v>1</v>
      </c>
      <c r="Z59" s="23">
        <f>SUM(COUNTIF($G$5:$J$55,$U59),IF($T59&lt;&gt;0,(COUNTIF($G$5:$J$55,$T59))),IF($S59&lt;&gt;0,(COUNTIF($G$5:$J$55,$S59))))</f>
        <v>1</v>
      </c>
      <c r="AA59" s="23">
        <f>SUM(COUNTIF($K$5:$L$55,$U59),IF($T59&lt;&gt;0,(COUNTIF($K$5:$L$55,$T59))),IF($S59&lt;&gt;0,(COUNTIF($K$5:$L$55,$S59))))</f>
        <v>1</v>
      </c>
      <c r="AB59" s="24">
        <f>SUM(COUNTIF($M$5:$N$55,$U59),IF($T59&lt;&gt;0,(COUNTIF($M$5:$N$55,$T59))),IF($S59&lt;&gt;0,(COUNTIF($M$5:$N$55,$S59))))</f>
        <v>0</v>
      </c>
      <c r="AC59" s="25" t="str">
        <f t="shared" si="18"/>
        <v xml:space="preserve"> </v>
      </c>
      <c r="AD59" s="26" t="str">
        <f t="shared" si="19"/>
        <v xml:space="preserve"> </v>
      </c>
      <c r="AE59" s="26" t="str">
        <f t="shared" si="20"/>
        <v xml:space="preserve"> </v>
      </c>
      <c r="AF59" s="27" t="str">
        <f t="shared" si="21"/>
        <v xml:space="preserve"> </v>
      </c>
      <c r="AG59" s="178" t="str">
        <f t="shared" si="9"/>
        <v>EVS (I)</v>
      </c>
      <c r="AH59" s="177" t="str">
        <f t="shared" si="10"/>
        <v>EVS (K)</v>
      </c>
      <c r="AI59" s="177" t="str">
        <f t="shared" si="11"/>
        <v>EVS (H)</v>
      </c>
      <c r="AJ59" s="180" t="str">
        <f t="shared" si="12"/>
        <v xml:space="preserve"> </v>
      </c>
      <c r="AK59" s="178" t="str">
        <f t="shared" si="13"/>
        <v xml:space="preserve"> </v>
      </c>
      <c r="AL59" s="177" t="str">
        <f t="shared" si="14"/>
        <v xml:space="preserve"> </v>
      </c>
      <c r="AM59" s="177" t="str">
        <f t="shared" si="15"/>
        <v xml:space="preserve"> </v>
      </c>
      <c r="AN59" s="179" t="str">
        <f t="shared" si="16"/>
        <v xml:space="preserve"> </v>
      </c>
    </row>
    <row r="71" spans="1:30" x14ac:dyDescent="0.35">
      <c r="A71" s="361" t="s">
        <v>4</v>
      </c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3"/>
      <c r="AC71" s="323" t="s">
        <v>87</v>
      </c>
      <c r="AD71" s="324"/>
    </row>
    <row r="72" spans="1:30" x14ac:dyDescent="0.35">
      <c r="A72" s="341" t="s">
        <v>161</v>
      </c>
      <c r="B72" s="342"/>
      <c r="C72" s="341" t="s">
        <v>162</v>
      </c>
      <c r="D72" s="342"/>
      <c r="E72" s="341" t="s">
        <v>163</v>
      </c>
      <c r="F72" s="342"/>
      <c r="G72" s="341" t="s">
        <v>164</v>
      </c>
      <c r="H72" s="342"/>
      <c r="I72" s="341" t="s">
        <v>165</v>
      </c>
      <c r="J72" s="342"/>
      <c r="K72" s="341" t="s">
        <v>166</v>
      </c>
      <c r="L72" s="342"/>
      <c r="M72" s="341" t="s">
        <v>167</v>
      </c>
      <c r="N72" s="342"/>
      <c r="O72" s="341" t="s">
        <v>168</v>
      </c>
      <c r="P72" s="342"/>
      <c r="Q72" s="341" t="s">
        <v>169</v>
      </c>
      <c r="R72" s="342"/>
      <c r="S72" s="341" t="s">
        <v>170</v>
      </c>
      <c r="T72" s="342"/>
      <c r="U72" s="341" t="s">
        <v>171</v>
      </c>
      <c r="V72" s="342"/>
      <c r="W72" s="341" t="s">
        <v>172</v>
      </c>
      <c r="X72" s="342"/>
      <c r="Y72" s="341" t="s">
        <v>173</v>
      </c>
      <c r="Z72" s="342"/>
      <c r="AA72" s="341" t="s">
        <v>174</v>
      </c>
      <c r="AB72" s="342"/>
      <c r="AC72" s="318" t="s">
        <v>175</v>
      </c>
      <c r="AD72" s="172" t="s">
        <v>176</v>
      </c>
    </row>
    <row r="73" spans="1:30" x14ac:dyDescent="0.35">
      <c r="A73" s="166" t="s">
        <v>175</v>
      </c>
      <c r="B73" s="167" t="s">
        <v>176</v>
      </c>
      <c r="C73" s="166" t="s">
        <v>175</v>
      </c>
      <c r="D73" s="167" t="s">
        <v>176</v>
      </c>
      <c r="E73" s="166" t="s">
        <v>175</v>
      </c>
      <c r="F73" s="167" t="s">
        <v>176</v>
      </c>
      <c r="G73" s="166" t="s">
        <v>175</v>
      </c>
      <c r="H73" s="167" t="s">
        <v>176</v>
      </c>
      <c r="I73" s="166" t="s">
        <v>175</v>
      </c>
      <c r="J73" s="167" t="s">
        <v>176</v>
      </c>
      <c r="K73" s="166" t="s">
        <v>175</v>
      </c>
      <c r="L73" s="167" t="s">
        <v>176</v>
      </c>
      <c r="M73" s="166" t="s">
        <v>175</v>
      </c>
      <c r="N73" s="167" t="s">
        <v>176</v>
      </c>
      <c r="O73" s="166" t="s">
        <v>175</v>
      </c>
      <c r="P73" s="167" t="s">
        <v>176</v>
      </c>
      <c r="Q73" s="166" t="s">
        <v>175</v>
      </c>
      <c r="R73" s="167" t="s">
        <v>176</v>
      </c>
      <c r="S73" s="166" t="s">
        <v>175</v>
      </c>
      <c r="T73" s="167" t="s">
        <v>176</v>
      </c>
      <c r="U73" s="166" t="s">
        <v>175</v>
      </c>
      <c r="V73" s="172" t="s">
        <v>176</v>
      </c>
      <c r="W73" s="166" t="s">
        <v>175</v>
      </c>
      <c r="X73" s="167" t="s">
        <v>176</v>
      </c>
      <c r="Y73" s="166" t="s">
        <v>175</v>
      </c>
      <c r="Z73" s="167" t="s">
        <v>176</v>
      </c>
      <c r="AA73" s="166" t="s">
        <v>175</v>
      </c>
      <c r="AB73" s="167" t="s">
        <v>176</v>
      </c>
      <c r="AC73" s="315" t="s">
        <v>98</v>
      </c>
      <c r="AD73" s="315" t="s">
        <v>157</v>
      </c>
    </row>
    <row r="74" spans="1:30" x14ac:dyDescent="0.35">
      <c r="A74" s="174" t="str">
        <f>Mon!A74</f>
        <v>(SC)</v>
      </c>
      <c r="B74" s="170" t="str">
        <f>Mon!B74</f>
        <v>AE</v>
      </c>
      <c r="C74" s="174" t="str">
        <f>Mon!C74</f>
        <v>(SA)</v>
      </c>
      <c r="D74" s="170" t="str">
        <f>Mon!D74</f>
        <v>AE</v>
      </c>
      <c r="E74" s="169" t="str">
        <f>Mon!E74</f>
        <v>(PR)</v>
      </c>
      <c r="F74" s="170" t="str">
        <f>Mon!F74</f>
        <v>AE</v>
      </c>
      <c r="G74" s="174" t="str">
        <f>Mon!G74</f>
        <v>(PR)</v>
      </c>
      <c r="H74" s="170" t="str">
        <f>Mon!H74</f>
        <v>AE</v>
      </c>
      <c r="I74" s="169" t="str">
        <f>Mon!I74</f>
        <v>(SC)</v>
      </c>
      <c r="J74" s="170" t="str">
        <f>Mon!J74</f>
        <v>AE</v>
      </c>
      <c r="K74" s="174" t="str">
        <f>Mon!K74</f>
        <v>(SC)</v>
      </c>
      <c r="L74" s="170" t="str">
        <f>Mon!L74</f>
        <v>AE</v>
      </c>
      <c r="M74" s="174" t="str">
        <f>Mon!M74</f>
        <v>(SN)</v>
      </c>
      <c r="N74" s="170" t="str">
        <f>Mon!N74</f>
        <v>AE</v>
      </c>
      <c r="O74" s="169" t="str">
        <f>Mon!O74</f>
        <v>(SN)</v>
      </c>
      <c r="P74" s="170" t="str">
        <f>Mon!P74</f>
        <v>AE</v>
      </c>
      <c r="Q74" s="174" t="str">
        <f>Mon!Q74</f>
        <v>(SV)</v>
      </c>
      <c r="R74" s="170" t="str">
        <f>Mon!R74</f>
        <v>HIN</v>
      </c>
      <c r="S74" s="169" t="str">
        <f>Mon!S74</f>
        <v>(SV)</v>
      </c>
      <c r="T74" s="89" t="str">
        <f>Mon!T74</f>
        <v>HIN</v>
      </c>
      <c r="U74" s="183" t="str">
        <f>Mon!U74</f>
        <v>(SV)</v>
      </c>
      <c r="V74" s="89" t="str">
        <f>Mon!V74</f>
        <v>HIN</v>
      </c>
      <c r="W74" s="184" t="str">
        <f>Mon!W74</f>
        <v>(SV)</v>
      </c>
      <c r="X74" s="170" t="str">
        <f>Mon!X74</f>
        <v>HIN</v>
      </c>
      <c r="Y74" s="8" t="str">
        <f>Mon!Y74</f>
        <v>(HEM)</v>
      </c>
      <c r="Z74" s="170" t="str">
        <f>Mon!Z74</f>
        <v>KAN</v>
      </c>
      <c r="AA74" s="8" t="str">
        <f>Mon!AA74</f>
        <v>(RP)</v>
      </c>
      <c r="AB74" s="170" t="str">
        <f>Mon!AB74</f>
        <v>SAN</v>
      </c>
      <c r="AC74" s="315" t="s">
        <v>131</v>
      </c>
      <c r="AD74" s="315" t="s">
        <v>159</v>
      </c>
    </row>
    <row r="75" spans="1:30" x14ac:dyDescent="0.35">
      <c r="A75" s="169" t="str">
        <f>Mon!A75</f>
        <v>(SA)</v>
      </c>
      <c r="B75" s="170" t="str">
        <f>Mon!B75</f>
        <v>GE</v>
      </c>
      <c r="C75" s="169" t="str">
        <f>Mon!C75</f>
        <v>(PR)</v>
      </c>
      <c r="D75" s="170" t="str">
        <f>Mon!D75</f>
        <v>GE</v>
      </c>
      <c r="E75" s="169" t="str">
        <f>Mon!E75</f>
        <v>(SN)</v>
      </c>
      <c r="F75" s="170" t="str">
        <f>Mon!F75</f>
        <v>GE</v>
      </c>
      <c r="G75" s="169" t="str">
        <f>Mon!G75</f>
        <v>(SC)</v>
      </c>
      <c r="H75" s="170" t="str">
        <f>Mon!H75</f>
        <v>GE</v>
      </c>
      <c r="I75" s="174" t="str">
        <f>Mon!I75</f>
        <v>(CG)</v>
      </c>
      <c r="J75" s="170" t="str">
        <f>Mon!J75</f>
        <v>GE</v>
      </c>
      <c r="K75" s="169" t="str">
        <f>Mon!K75</f>
        <v>(PR)</v>
      </c>
      <c r="L75" s="170" t="str">
        <f>Mon!L75</f>
        <v>GE</v>
      </c>
      <c r="M75" s="169" t="str">
        <f>Mon!M75</f>
        <v>(SC)</v>
      </c>
      <c r="N75" s="170" t="str">
        <f>Mon!N75</f>
        <v>GE</v>
      </c>
      <c r="O75" s="169" t="str">
        <f>Mon!O75</f>
        <v>(SA)</v>
      </c>
      <c r="P75" s="170" t="str">
        <f>Mon!P75</f>
        <v>GE</v>
      </c>
      <c r="Q75" s="169" t="str">
        <f>Mon!Q75</f>
        <v>(CG)</v>
      </c>
      <c r="R75" s="170" t="str">
        <f>Mon!R75</f>
        <v>GE</v>
      </c>
      <c r="S75" s="169" t="str">
        <f>Mon!S75</f>
        <v>(SN)</v>
      </c>
      <c r="T75" s="170" t="str">
        <f>Mon!T75</f>
        <v>GE</v>
      </c>
      <c r="U75" s="169" t="str">
        <f>Mon!U75</f>
        <v>(SN)</v>
      </c>
      <c r="V75" s="88" t="str">
        <f>Mon!V75</f>
        <v>GE</v>
      </c>
      <c r="W75" s="185" t="str">
        <f>Mon!W75</f>
        <v>(PR)</v>
      </c>
      <c r="X75" s="170" t="str">
        <f>Mon!X75</f>
        <v>GE</v>
      </c>
      <c r="Y75" s="8" t="str">
        <f>Mon!Y75</f>
        <v>(SA)</v>
      </c>
      <c r="Z75" s="170" t="str">
        <f>Mon!Z75</f>
        <v>GE</v>
      </c>
      <c r="AA75" s="8" t="str">
        <f>Mon!AA75</f>
        <v>(SA)</v>
      </c>
      <c r="AB75" s="170" t="str">
        <f>Mon!AB75</f>
        <v>GE</v>
      </c>
      <c r="AC75" s="315" t="s">
        <v>94</v>
      </c>
      <c r="AD75" s="315" t="s">
        <v>177</v>
      </c>
    </row>
    <row r="76" spans="1:30" x14ac:dyDescent="0.35">
      <c r="A76" s="169" t="str">
        <f>Mon!A76</f>
        <v>(AW)</v>
      </c>
      <c r="B76" s="170" t="str">
        <f>Mon!B76</f>
        <v>BT</v>
      </c>
      <c r="C76" s="169" t="str">
        <f>Mon!C76</f>
        <v>(YL)</v>
      </c>
      <c r="D76" s="170" t="str">
        <f>Mon!D76</f>
        <v>BT</v>
      </c>
      <c r="E76" s="169" t="str">
        <f>Mon!E76</f>
        <v>(AW)</v>
      </c>
      <c r="F76" s="170" t="str">
        <f>Mon!F76</f>
        <v>BT</v>
      </c>
      <c r="G76" s="169" t="str">
        <f>Mon!G76</f>
        <v>(JAY)</v>
      </c>
      <c r="H76" s="170" t="str">
        <f>Mon!H76</f>
        <v>BT</v>
      </c>
      <c r="I76" s="169" t="str">
        <f>Mon!I76</f>
        <v>(JAY)</v>
      </c>
      <c r="J76" s="170" t="str">
        <f>Mon!J76</f>
        <v>BT</v>
      </c>
      <c r="K76" s="169" t="str">
        <f>Mon!K76</f>
        <v>(JAY)</v>
      </c>
      <c r="L76" s="170" t="str">
        <f>Mon!L76</f>
        <v>BT</v>
      </c>
      <c r="M76" s="169" t="str">
        <f>Mon!M76</f>
        <v>(AB)</v>
      </c>
      <c r="N76" s="170" t="str">
        <f>Mon!N76</f>
        <v>BT</v>
      </c>
      <c r="O76" s="169" t="str">
        <f>Mon!O76</f>
        <v>(AW)</v>
      </c>
      <c r="P76" s="170" t="str">
        <f>Mon!P76</f>
        <v>BT</v>
      </c>
      <c r="Q76" s="169" t="str">
        <f>Mon!Q76</f>
        <v>(JAY)</v>
      </c>
      <c r="R76" s="170" t="str">
        <f>Mon!R76</f>
        <v>BT</v>
      </c>
      <c r="S76" s="169" t="str">
        <f>Mon!S76</f>
        <v>(AB)</v>
      </c>
      <c r="T76" s="170" t="str">
        <f>Mon!T76</f>
        <v>BT</v>
      </c>
      <c r="U76" s="169" t="str">
        <f>Mon!U76</f>
        <v>(AW)</v>
      </c>
      <c r="V76" s="170" t="str">
        <f>Mon!V76</f>
        <v>BT</v>
      </c>
      <c r="W76" s="185" t="str">
        <f>Mon!W76</f>
        <v>(SE)</v>
      </c>
      <c r="X76" s="170" t="str">
        <f>Mon!X76</f>
        <v>BT</v>
      </c>
      <c r="Y76" s="8" t="str">
        <f>Mon!Y76</f>
        <v>(SE)</v>
      </c>
      <c r="Z76" s="170" t="str">
        <f>Mon!Z76</f>
        <v>BT</v>
      </c>
      <c r="AA76" s="8" t="str">
        <f>Mon!AA76</f>
        <v>(JAY)</v>
      </c>
      <c r="AB76" s="170" t="str">
        <f>Mon!AB76</f>
        <v>BT</v>
      </c>
      <c r="AC76" s="315" t="s">
        <v>77</v>
      </c>
      <c r="AD76" s="315" t="s">
        <v>179</v>
      </c>
    </row>
    <row r="77" spans="1:30" x14ac:dyDescent="0.35">
      <c r="A77" s="169" t="str">
        <f>Mon!A77</f>
        <v>(AS)</v>
      </c>
      <c r="B77" s="170" t="str">
        <f>Mon!B77</f>
        <v>BM</v>
      </c>
      <c r="C77" s="169" t="str">
        <f>Mon!C77</f>
        <v>(SE)</v>
      </c>
      <c r="D77" s="170" t="str">
        <f>Mon!D77</f>
        <v>BM</v>
      </c>
      <c r="E77" s="169" t="str">
        <f>Mon!E77</f>
        <v>(JAY)</v>
      </c>
      <c r="F77" s="170" t="str">
        <f>Mon!F77</f>
        <v>BM</v>
      </c>
      <c r="G77" s="169" t="str">
        <f>Mon!G77</f>
        <v>(DRP)</v>
      </c>
      <c r="H77" s="170" t="str">
        <f>Mon!H77</f>
        <v>BM</v>
      </c>
      <c r="I77" s="169" t="str">
        <f>Mon!I77</f>
        <v>(SE)</v>
      </c>
      <c r="J77" s="170" t="str">
        <f>Mon!J77</f>
        <v>BM</v>
      </c>
      <c r="K77" s="169" t="str">
        <f>Mon!K77</f>
        <v>(SE)</v>
      </c>
      <c r="L77" s="170" t="str">
        <f>Mon!L77</f>
        <v>BM</v>
      </c>
      <c r="M77" s="169" t="str">
        <f>Mon!M77</f>
        <v>(AG)</v>
      </c>
      <c r="N77" s="170" t="str">
        <f>Mon!N77</f>
        <v>BM</v>
      </c>
      <c r="O77" s="174" t="str">
        <f>Mon!O77</f>
        <v>(DRP)</v>
      </c>
      <c r="P77" s="170" t="str">
        <f>Mon!P77</f>
        <v>BM</v>
      </c>
      <c r="Q77" s="174" t="str">
        <f>Mon!Q77</f>
        <v>(DRP)</v>
      </c>
      <c r="R77" s="170" t="str">
        <f>Mon!R77</f>
        <v>BM</v>
      </c>
      <c r="S77" s="169" t="str">
        <f>Mon!S77</f>
        <v>(SE)</v>
      </c>
      <c r="T77" s="170" t="str">
        <f>Mon!T77</f>
        <v>BM</v>
      </c>
      <c r="U77" s="169" t="str">
        <f>Mon!U77</f>
        <v>(AG)</v>
      </c>
      <c r="V77" s="170" t="str">
        <f>Mon!V77</f>
        <v>BM</v>
      </c>
      <c r="W77" s="169" t="str">
        <f>Mon!W77</f>
        <v>(DRP)</v>
      </c>
      <c r="X77" s="170" t="str">
        <f>Mon!X77</f>
        <v>BM</v>
      </c>
      <c r="Y77" s="8" t="str">
        <f>Mon!Y77</f>
        <v>(DRP)</v>
      </c>
      <c r="Z77" s="170" t="str">
        <f>Mon!Z77</f>
        <v>BM</v>
      </c>
      <c r="AA77" s="8" t="str">
        <f>Mon!AA77</f>
        <v>(AG)</v>
      </c>
      <c r="AB77" s="170" t="str">
        <f>Mon!AB77</f>
        <v>BM</v>
      </c>
      <c r="AC77" s="315" t="s">
        <v>153</v>
      </c>
      <c r="AD77" s="315" t="s">
        <v>158</v>
      </c>
    </row>
    <row r="78" spans="1:30" x14ac:dyDescent="0.35">
      <c r="A78" s="169" t="str">
        <f>Mon!A78</f>
        <v>(MK)</v>
      </c>
      <c r="B78" s="170" t="str">
        <f>Mon!B78</f>
        <v>FA</v>
      </c>
      <c r="C78" s="169" t="str">
        <f>Mon!C78</f>
        <v>(VIN)</v>
      </c>
      <c r="D78" s="170" t="str">
        <f>Mon!D78</f>
        <v>FA</v>
      </c>
      <c r="E78" s="169" t="str">
        <f>Mon!E78</f>
        <v>(MK)</v>
      </c>
      <c r="F78" s="170" t="str">
        <f>Mon!F78</f>
        <v>FA</v>
      </c>
      <c r="G78" s="169" t="str">
        <f>Mon!G78</f>
        <v>Y</v>
      </c>
      <c r="H78" s="170" t="str">
        <f>Mon!H78</f>
        <v>FA</v>
      </c>
      <c r="I78" s="169" t="str">
        <f>Mon!I78</f>
        <v>x</v>
      </c>
      <c r="J78" s="170" t="str">
        <f>Mon!J78</f>
        <v>FA</v>
      </c>
      <c r="K78" s="169" t="str">
        <f>Mon!K78</f>
        <v>X</v>
      </c>
      <c r="L78" s="170" t="str">
        <f>Mon!L78</f>
        <v>FA</v>
      </c>
      <c r="M78" s="169" t="str">
        <f>Mon!M78</f>
        <v>(VIN)</v>
      </c>
      <c r="N78" s="170" t="str">
        <f>Mon!N78</f>
        <v>FA</v>
      </c>
      <c r="O78" s="169" t="str">
        <f>Mon!O78</f>
        <v>(MK)</v>
      </c>
      <c r="P78" s="170" t="str">
        <f>Mon!P78</f>
        <v>FA</v>
      </c>
      <c r="Q78" s="169" t="str">
        <f>Mon!Q78</f>
        <v>(VIN)</v>
      </c>
      <c r="R78" s="170" t="str">
        <f>Mon!R78</f>
        <v>FA</v>
      </c>
      <c r="S78" s="169" t="str">
        <f>Mon!S78</f>
        <v>(VA)</v>
      </c>
      <c r="T78" s="170" t="str">
        <f>Mon!T78</f>
        <v>FA</v>
      </c>
      <c r="U78" s="169" t="str">
        <f>Mon!U78</f>
        <v>(VA)</v>
      </c>
      <c r="V78" s="170" t="str">
        <f>Mon!V78</f>
        <v>FA</v>
      </c>
      <c r="W78" s="169" t="s">
        <v>182</v>
      </c>
      <c r="X78" s="170" t="str">
        <f>Mon!X78</f>
        <v>FA</v>
      </c>
      <c r="Y78" s="165" t="str">
        <f>Mon!Y78</f>
        <v>(VIN)</v>
      </c>
      <c r="Z78" s="170" t="str">
        <f>Mon!Z78</f>
        <v>FA</v>
      </c>
      <c r="AA78" s="165" t="str">
        <f>Mon!AA78</f>
        <v>(MK)</v>
      </c>
      <c r="AB78" s="170" t="str">
        <f>Mon!AB78</f>
        <v>FA</v>
      </c>
      <c r="AC78" s="315" t="s">
        <v>127</v>
      </c>
      <c r="AD78" s="315" t="s">
        <v>156</v>
      </c>
    </row>
    <row r="79" spans="1:30" x14ac:dyDescent="0.35">
      <c r="A79" s="169" t="str">
        <f>Mon!A79</f>
        <v>(VRL)</v>
      </c>
      <c r="B79" s="170" t="str">
        <f>Mon!B79</f>
        <v>QT</v>
      </c>
      <c r="C79" s="169" t="str">
        <f>Mon!C79</f>
        <v>(BB)</v>
      </c>
      <c r="D79" s="170" t="str">
        <f>Mon!D79</f>
        <v>QT</v>
      </c>
      <c r="E79" s="169" t="str">
        <f>Mon!E79</f>
        <v>(BB)</v>
      </c>
      <c r="F79" s="170" t="str">
        <f>Mon!F79</f>
        <v>QT</v>
      </c>
      <c r="G79" s="169" t="str">
        <f>Mon!G79</f>
        <v>(VRL)</v>
      </c>
      <c r="H79" s="170" t="str">
        <f>Mon!H79</f>
        <v>QT</v>
      </c>
      <c r="I79" s="169" t="str">
        <f>Mon!I79</f>
        <v>(PM)</v>
      </c>
      <c r="J79" s="170" t="str">
        <f>Mon!J79</f>
        <v>QT</v>
      </c>
      <c r="K79" s="169" t="str">
        <f>Mon!K79</f>
        <v>(PM)</v>
      </c>
      <c r="L79" s="170" t="str">
        <f>Mon!L79</f>
        <v>QT</v>
      </c>
      <c r="M79" s="169" t="str">
        <f>Mon!M79</f>
        <v>(BB)</v>
      </c>
      <c r="N79" s="170" t="str">
        <f>Mon!N79</f>
        <v>QT</v>
      </c>
      <c r="O79" s="169" t="str">
        <f>Mon!O79</f>
        <v>(VRL)</v>
      </c>
      <c r="P79" s="170" t="str">
        <f>Mon!P79</f>
        <v>QT</v>
      </c>
      <c r="Q79" s="169" t="str">
        <f>Mon!Q79</f>
        <v>(PM)</v>
      </c>
      <c r="R79" s="170" t="str">
        <f>Mon!R79</f>
        <v>QT</v>
      </c>
      <c r="S79" s="169" t="str">
        <f>Mon!S79</f>
        <v>(BD)</v>
      </c>
      <c r="T79" s="170" t="str">
        <f>Mon!T79</f>
        <v>QT</v>
      </c>
      <c r="U79" s="169" t="str">
        <f>Mon!U79</f>
        <v>(BD)</v>
      </c>
      <c r="V79" s="170" t="str">
        <f>Mon!V79</f>
        <v>QT</v>
      </c>
      <c r="W79" s="169" t="s">
        <v>71</v>
      </c>
      <c r="X79" s="170" t="str">
        <f>Mon!X79</f>
        <v>QT</v>
      </c>
      <c r="Y79" s="165" t="str">
        <f>Mon!Y79</f>
        <v>(PM)</v>
      </c>
      <c r="Z79" s="170" t="str">
        <f>Mon!Z79</f>
        <v>QT</v>
      </c>
      <c r="AA79" s="165" t="str">
        <f>Mon!AA79</f>
        <v>X</v>
      </c>
      <c r="AB79" s="170" t="str">
        <f>Mon!AB79</f>
        <v>QT</v>
      </c>
      <c r="AC79" s="315" t="s">
        <v>144</v>
      </c>
      <c r="AD79" s="315"/>
    </row>
    <row r="80" spans="1:30" x14ac:dyDescent="0.35">
      <c r="A80" s="169"/>
      <c r="B80" s="170"/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0"/>
      <c r="O80" s="169"/>
      <c r="P80" s="170"/>
      <c r="Q80" s="169"/>
      <c r="R80" s="170"/>
      <c r="S80" s="169"/>
      <c r="T80" s="170"/>
      <c r="U80" s="169"/>
      <c r="V80" s="170"/>
      <c r="W80" s="169"/>
      <c r="X80" s="170"/>
      <c r="Y80" s="165"/>
      <c r="Z80" s="170"/>
      <c r="AA80" s="165"/>
      <c r="AB80" s="170"/>
      <c r="AC80" s="315" t="s">
        <v>85</v>
      </c>
      <c r="AD80" s="315"/>
    </row>
    <row r="81" spans="1:30" x14ac:dyDescent="0.35">
      <c r="A81" s="169"/>
      <c r="B81" s="170"/>
      <c r="C81" s="169"/>
      <c r="D81" s="170"/>
      <c r="E81" s="169"/>
      <c r="F81" s="170"/>
      <c r="G81" s="169"/>
      <c r="H81" s="170"/>
      <c r="I81" s="169"/>
      <c r="J81" s="170"/>
      <c r="K81" s="169"/>
      <c r="L81" s="170"/>
      <c r="M81" s="169"/>
      <c r="N81" s="170"/>
      <c r="O81" s="169"/>
      <c r="P81" s="170"/>
      <c r="Q81" s="169"/>
      <c r="R81" s="170"/>
      <c r="S81" s="169"/>
      <c r="T81" s="170"/>
      <c r="U81" s="169"/>
      <c r="V81" s="170"/>
      <c r="W81" s="169"/>
      <c r="X81" s="170"/>
      <c r="Y81" s="165"/>
      <c r="Z81" s="170"/>
      <c r="AA81" s="165"/>
      <c r="AB81" s="170"/>
      <c r="AC81" s="315"/>
      <c r="AD81" s="315"/>
    </row>
    <row r="82" spans="1:30" x14ac:dyDescent="0.35">
      <c r="A82" s="169"/>
      <c r="B82" s="170"/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0"/>
      <c r="O82" s="169"/>
      <c r="P82" s="170"/>
      <c r="Q82" s="169"/>
      <c r="R82" s="170"/>
      <c r="S82" s="169"/>
      <c r="T82" s="170"/>
      <c r="U82" s="169"/>
      <c r="V82" s="170"/>
      <c r="W82" s="169"/>
      <c r="X82" s="170"/>
      <c r="Y82" s="165"/>
      <c r="Z82" s="170"/>
      <c r="AA82" s="165"/>
      <c r="AB82" s="170"/>
      <c r="AC82" s="315"/>
      <c r="AD82" s="315"/>
    </row>
    <row r="83" spans="1:30" x14ac:dyDescent="0.35">
      <c r="A83" s="30"/>
      <c r="B83" s="31"/>
      <c r="C83" s="30"/>
      <c r="D83" s="31"/>
      <c r="E83" s="30"/>
      <c r="F83" s="31"/>
      <c r="G83" s="30"/>
      <c r="H83" s="31"/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0"/>
      <c r="V83" s="31"/>
      <c r="W83" s="30"/>
      <c r="X83" s="31"/>
      <c r="Y83" s="30"/>
      <c r="Z83" s="31"/>
      <c r="AA83" s="30"/>
      <c r="AB83" s="31"/>
      <c r="AC83" s="315"/>
      <c r="AD83" s="315"/>
    </row>
    <row r="85" spans="1:30" x14ac:dyDescent="0.35">
      <c r="A85" s="376" t="s">
        <v>3</v>
      </c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8"/>
      <c r="AC85" s="359" t="s">
        <v>184</v>
      </c>
      <c r="AD85" s="360"/>
    </row>
    <row r="86" spans="1:30" x14ac:dyDescent="0.35">
      <c r="A86" s="341" t="s">
        <v>161</v>
      </c>
      <c r="B86" s="342"/>
      <c r="C86" s="341" t="s">
        <v>162</v>
      </c>
      <c r="D86" s="342"/>
      <c r="E86" s="341" t="s">
        <v>163</v>
      </c>
      <c r="F86" s="342"/>
      <c r="G86" s="341" t="s">
        <v>164</v>
      </c>
      <c r="H86" s="342"/>
      <c r="I86" s="341" t="s">
        <v>165</v>
      </c>
      <c r="J86" s="342"/>
      <c r="K86" s="341" t="s">
        <v>166</v>
      </c>
      <c r="L86" s="342"/>
      <c r="M86" s="341" t="s">
        <v>167</v>
      </c>
      <c r="N86" s="342"/>
      <c r="O86" s="341" t="s">
        <v>168</v>
      </c>
      <c r="P86" s="342"/>
      <c r="Q86" s="341" t="s">
        <v>169</v>
      </c>
      <c r="R86" s="342"/>
      <c r="S86" s="341" t="s">
        <v>170</v>
      </c>
      <c r="T86" s="342"/>
      <c r="U86" s="341" t="s">
        <v>171</v>
      </c>
      <c r="V86" s="342"/>
      <c r="W86" s="341" t="s">
        <v>172</v>
      </c>
      <c r="X86" s="342"/>
      <c r="Y86" s="341" t="s">
        <v>173</v>
      </c>
      <c r="Z86" s="342"/>
      <c r="AA86" s="341" t="s">
        <v>174</v>
      </c>
      <c r="AB86" s="342"/>
      <c r="AC86" s="321" t="s">
        <v>113</v>
      </c>
      <c r="AD86" s="319"/>
    </row>
    <row r="87" spans="1:30" x14ac:dyDescent="0.35">
      <c r="A87" s="166" t="s">
        <v>175</v>
      </c>
      <c r="B87" s="167" t="s">
        <v>176</v>
      </c>
      <c r="C87" s="166" t="s">
        <v>175</v>
      </c>
      <c r="D87" s="167" t="s">
        <v>176</v>
      </c>
      <c r="E87" s="166" t="s">
        <v>175</v>
      </c>
      <c r="F87" s="167" t="s">
        <v>176</v>
      </c>
      <c r="G87" s="166" t="s">
        <v>175</v>
      </c>
      <c r="H87" s="167" t="s">
        <v>176</v>
      </c>
      <c r="I87" s="166" t="s">
        <v>175</v>
      </c>
      <c r="J87" s="167" t="s">
        <v>176</v>
      </c>
      <c r="K87" s="166" t="s">
        <v>175</v>
      </c>
      <c r="L87" s="167" t="s">
        <v>176</v>
      </c>
      <c r="M87" s="166" t="s">
        <v>175</v>
      </c>
      <c r="N87" s="167" t="s">
        <v>176</v>
      </c>
      <c r="O87" s="166" t="s">
        <v>175</v>
      </c>
      <c r="P87" s="167" t="s">
        <v>176</v>
      </c>
      <c r="Q87" s="166" t="s">
        <v>175</v>
      </c>
      <c r="R87" s="167" t="s">
        <v>176</v>
      </c>
      <c r="S87" s="166" t="s">
        <v>175</v>
      </c>
      <c r="T87" s="167" t="s">
        <v>176</v>
      </c>
      <c r="U87" s="166" t="s">
        <v>175</v>
      </c>
      <c r="V87" s="167" t="s">
        <v>176</v>
      </c>
      <c r="W87" s="166" t="s">
        <v>175</v>
      </c>
      <c r="X87" s="167" t="s">
        <v>176</v>
      </c>
      <c r="Y87" s="166" t="s">
        <v>175</v>
      </c>
      <c r="Z87" s="167" t="s">
        <v>176</v>
      </c>
      <c r="AA87" s="166" t="s">
        <v>175</v>
      </c>
      <c r="AB87" s="167" t="s">
        <v>176</v>
      </c>
      <c r="AC87" s="322" t="s">
        <v>98</v>
      </c>
      <c r="AD87" s="315" t="s">
        <v>129</v>
      </c>
    </row>
    <row r="88" spans="1:30" x14ac:dyDescent="0.35">
      <c r="A88" s="169" t="str">
        <f>Mon!A88</f>
        <v>(KM)</v>
      </c>
      <c r="B88" s="170" t="str">
        <f>Mon!B88</f>
        <v>MM</v>
      </c>
      <c r="C88" s="169" t="str">
        <f>Mon!C88</f>
        <v>(SRS)</v>
      </c>
      <c r="D88" s="170" t="str">
        <f>Mon!D88</f>
        <v>MM</v>
      </c>
      <c r="E88" s="169" t="str">
        <f>Mon!E88</f>
        <v>(SB)</v>
      </c>
      <c r="F88" s="170" t="str">
        <f>Mon!F88</f>
        <v>MM</v>
      </c>
      <c r="G88" s="169" t="str">
        <f>Mon!G88</f>
        <v>(SAK)</v>
      </c>
      <c r="H88" s="170" t="str">
        <f>Mon!H88</f>
        <v>MM</v>
      </c>
      <c r="I88" s="174" t="str">
        <f>Mon!I88</f>
        <v>(LV)</v>
      </c>
      <c r="J88" s="170" t="str">
        <f>Mon!J88</f>
        <v>MM</v>
      </c>
      <c r="K88" s="169" t="str">
        <f>Mon!K88</f>
        <v>(SB)</v>
      </c>
      <c r="L88" s="170" t="str">
        <f>Mon!L88</f>
        <v>MM</v>
      </c>
      <c r="M88" s="169" t="str">
        <f>Mon!M88</f>
        <v>(VAR)</v>
      </c>
      <c r="N88" s="170" t="str">
        <f>Mon!N88</f>
        <v>MM</v>
      </c>
      <c r="O88" s="169" t="str">
        <f>Mon!O88</f>
        <v>(SRS)</v>
      </c>
      <c r="P88" s="170" t="str">
        <f>Mon!P88</f>
        <v>MM</v>
      </c>
      <c r="Q88" s="174" t="str">
        <f>Mon!Q88</f>
        <v>(SAK)</v>
      </c>
      <c r="R88" s="170" t="str">
        <f>Mon!R88</f>
        <v>MM</v>
      </c>
      <c r="S88" s="169" t="str">
        <f>Mon!S88</f>
        <v>(SRS)</v>
      </c>
      <c r="T88" s="170" t="str">
        <f>Mon!T88</f>
        <v>MM</v>
      </c>
      <c r="U88" s="169" t="str">
        <f>Mon!U88</f>
        <v>(SAK)</v>
      </c>
      <c r="V88" s="170" t="str">
        <f>Mon!V88</f>
        <v>MM</v>
      </c>
      <c r="W88" s="169" t="str">
        <f>Mon!W88</f>
        <v>(SRS)</v>
      </c>
      <c r="X88" s="170" t="str">
        <f>Mon!X88</f>
        <v>MM</v>
      </c>
      <c r="Y88" s="169" t="str">
        <f>Mon!Y88</f>
        <v>(SB)</v>
      </c>
      <c r="Z88" s="170" t="str">
        <f>Mon!Z88</f>
        <v>MM</v>
      </c>
      <c r="AA88" s="169" t="str">
        <f>Mon!AA88</f>
        <v>(KM)</v>
      </c>
      <c r="AB88" s="170" t="str">
        <f>Mon!AB88</f>
        <v>MM</v>
      </c>
      <c r="AC88" s="322" t="s">
        <v>131</v>
      </c>
      <c r="AD88" s="315" t="s">
        <v>130</v>
      </c>
    </row>
    <row r="89" spans="1:30" x14ac:dyDescent="0.35">
      <c r="A89" s="169" t="str">
        <f>Mon!A89</f>
        <v>(RT)</v>
      </c>
      <c r="B89" s="170" t="str">
        <f>Mon!B89</f>
        <v>HR</v>
      </c>
      <c r="C89" s="169" t="str">
        <f>Mon!C89</f>
        <v>(BD)</v>
      </c>
      <c r="D89" s="170" t="str">
        <f>Mon!D89</f>
        <v>HR</v>
      </c>
      <c r="E89" s="174" t="str">
        <f>Mon!E89</f>
        <v>(AS)</v>
      </c>
      <c r="F89" s="170" t="str">
        <f>Mon!F89</f>
        <v>HR</v>
      </c>
      <c r="G89" s="169" t="str">
        <f>Mon!G89</f>
        <v>(SUH)</v>
      </c>
      <c r="H89" s="170" t="str">
        <f>Mon!H89</f>
        <v>HR</v>
      </c>
      <c r="I89" s="169" t="str">
        <f>Mon!I89</f>
        <v>(SUH)</v>
      </c>
      <c r="J89" s="170" t="str">
        <f>Mon!J89</f>
        <v>HR</v>
      </c>
      <c r="K89" s="169" t="str">
        <f>Mon!K89</f>
        <v>(BD)</v>
      </c>
      <c r="L89" s="170" t="str">
        <f>Mon!L89</f>
        <v>HR</v>
      </c>
      <c r="M89" s="174" t="str">
        <f>Mon!M89</f>
        <v>(AS)</v>
      </c>
      <c r="N89" s="170" t="str">
        <f>Mon!N89</f>
        <v>HR</v>
      </c>
      <c r="O89" s="174" t="str">
        <f>Mon!O89</f>
        <v>(RT)</v>
      </c>
      <c r="P89" s="170" t="str">
        <f>Mon!P89</f>
        <v>HR</v>
      </c>
      <c r="Q89" s="169" t="str">
        <f>Mon!Q89</f>
        <v>(SUH)</v>
      </c>
      <c r="R89" s="170" t="str">
        <f>Mon!R89</f>
        <v>HR</v>
      </c>
      <c r="S89" s="169" t="str">
        <f>Mon!S89</f>
        <v>(AS)</v>
      </c>
      <c r="T89" s="170" t="str">
        <f>Mon!T89</f>
        <v>HR</v>
      </c>
      <c r="U89" s="169" t="str">
        <f>Mon!U89</f>
        <v>(AS)</v>
      </c>
      <c r="V89" s="170" t="str">
        <f>Mon!V89</f>
        <v>HR</v>
      </c>
      <c r="W89" s="169" t="str">
        <f>Mon!W89</f>
        <v>(AS)</v>
      </c>
      <c r="X89" s="170" t="str">
        <f>Mon!X89</f>
        <v>HR</v>
      </c>
      <c r="Y89" s="169" t="str">
        <f>Mon!Y89</f>
        <v>(RT)</v>
      </c>
      <c r="Z89" s="170" t="str">
        <f>Mon!Z89</f>
        <v>HR</v>
      </c>
      <c r="AA89" s="169" t="str">
        <f>Mon!AA89</f>
        <v>(BD)</v>
      </c>
      <c r="AB89" s="170" t="str">
        <f>Mon!AB89</f>
        <v>HR</v>
      </c>
      <c r="AC89" s="322" t="s">
        <v>94</v>
      </c>
      <c r="AD89" s="315" t="s">
        <v>135</v>
      </c>
    </row>
    <row r="90" spans="1:30" x14ac:dyDescent="0.35">
      <c r="A90" s="169" t="str">
        <f>Mon!A90</f>
        <v>(YL)</v>
      </c>
      <c r="B90" s="170" t="str">
        <f>Mon!B90</f>
        <v>ED</v>
      </c>
      <c r="C90" s="174" t="str">
        <f>Mon!C90</f>
        <v>(LV)</v>
      </c>
      <c r="D90" s="170" t="str">
        <f>Mon!D90</f>
        <v>ED</v>
      </c>
      <c r="E90" s="169" t="str">
        <f>Mon!E90</f>
        <v>(MS)</v>
      </c>
      <c r="F90" s="170" t="str">
        <f>Mon!F90</f>
        <v>ED</v>
      </c>
      <c r="G90" s="174" t="str">
        <f>Mon!G90</f>
        <v>(RR)</v>
      </c>
      <c r="H90" s="170" t="str">
        <f>Mon!H90</f>
        <v>ED</v>
      </c>
      <c r="I90" s="169" t="str">
        <f>Mon!I90</f>
        <v>(EC)</v>
      </c>
      <c r="J90" s="170" t="str">
        <f>Mon!J90</f>
        <v>ED</v>
      </c>
      <c r="K90" s="169" t="str">
        <f>Mon!K90</f>
        <v>(YL)</v>
      </c>
      <c r="L90" s="170" t="str">
        <f>Mon!L90</f>
        <v>ED</v>
      </c>
      <c r="M90" s="174" t="str">
        <f>Mon!M90</f>
        <v>(RR)</v>
      </c>
      <c r="N90" s="170" t="str">
        <f>Mon!N90</f>
        <v>ED</v>
      </c>
      <c r="O90" s="169" t="str">
        <f>Mon!O90</f>
        <v>(LV)</v>
      </c>
      <c r="P90" s="170" t="str">
        <f>Mon!P90</f>
        <v>ED</v>
      </c>
      <c r="Q90" s="174" t="str">
        <f>Mon!Q90</f>
        <v>(MS)</v>
      </c>
      <c r="R90" s="170" t="str">
        <f>Mon!R90</f>
        <v>ED</v>
      </c>
      <c r="S90" s="174" t="str">
        <f>Mon!S90</f>
        <v>(LV)</v>
      </c>
      <c r="T90" s="170" t="str">
        <f>Mon!T90</f>
        <v>ED</v>
      </c>
      <c r="U90" s="169" t="str">
        <f>Mon!U90</f>
        <v>(RR)</v>
      </c>
      <c r="V90" s="170" t="str">
        <f>Mon!V90</f>
        <v>ED</v>
      </c>
      <c r="W90" s="174" t="str">
        <f>Mon!W90</f>
        <v>(LV)</v>
      </c>
      <c r="X90" s="170" t="str">
        <f>Mon!X90</f>
        <v>ED</v>
      </c>
      <c r="Y90" s="174" t="str">
        <f>Mon!Y90</f>
        <v>(LV)</v>
      </c>
      <c r="Z90" s="170" t="str">
        <f>Mon!Z90</f>
        <v>ED</v>
      </c>
      <c r="AA90" s="174" t="str">
        <f>Mon!AA90</f>
        <v>(YL)</v>
      </c>
      <c r="AB90" s="170" t="str">
        <f>Mon!AB90</f>
        <v>ED</v>
      </c>
      <c r="AC90" s="322" t="s">
        <v>100</v>
      </c>
      <c r="AD90" s="315" t="s">
        <v>188</v>
      </c>
    </row>
    <row r="91" spans="1:30" x14ac:dyDescent="0.35">
      <c r="A91" s="169" t="str">
        <f>Mon!A91</f>
        <v>(RG)</v>
      </c>
      <c r="B91" s="170" t="str">
        <f>Mon!B91</f>
        <v>CA</v>
      </c>
      <c r="C91" s="169" t="str">
        <f>Mon!C91</f>
        <v>(TK)</v>
      </c>
      <c r="D91" s="170" t="str">
        <f>Mon!D91</f>
        <v>CA</v>
      </c>
      <c r="E91" s="169" t="str">
        <f>Mon!E91</f>
        <v>(VA)</v>
      </c>
      <c r="F91" s="170" t="str">
        <f>Mon!F91</f>
        <v>CA</v>
      </c>
      <c r="G91" s="169" t="str">
        <f>Mon!G91</f>
        <v>(MEG)</v>
      </c>
      <c r="H91" s="170" t="str">
        <f>Mon!H91</f>
        <v>CA</v>
      </c>
      <c r="I91" s="169" t="str">
        <f>Mon!I91</f>
        <v>(SW)</v>
      </c>
      <c r="J91" s="170" t="str">
        <f>Mon!J91</f>
        <v>CA</v>
      </c>
      <c r="K91" s="169" t="str">
        <f>Mon!K91</f>
        <v>(VA)</v>
      </c>
      <c r="L91" s="170" t="str">
        <f>Mon!L91</f>
        <v>CA</v>
      </c>
      <c r="M91" s="169" t="str">
        <f>Mon!M91</f>
        <v>(KR)</v>
      </c>
      <c r="N91" s="170" t="str">
        <f>Mon!N91</f>
        <v>CA</v>
      </c>
      <c r="O91" s="169" t="str">
        <f>Mon!O91</f>
        <v>(SW)</v>
      </c>
      <c r="P91" s="170" t="str">
        <f>Mon!P91</f>
        <v>CA</v>
      </c>
      <c r="Q91" s="169" t="str">
        <f>Mon!Q91</f>
        <v>(VA)</v>
      </c>
      <c r="R91" s="170" t="str">
        <f>Mon!R91</f>
        <v>CA</v>
      </c>
      <c r="S91" s="169" t="str">
        <f>Mon!S91</f>
        <v>(SW)</v>
      </c>
      <c r="T91" s="170" t="str">
        <f>Mon!T91</f>
        <v>CA</v>
      </c>
      <c r="U91" s="169" t="str">
        <f>Mon!U91</f>
        <v>(TK)</v>
      </c>
      <c r="V91" s="170" t="str">
        <f>Mon!V91</f>
        <v>CA</v>
      </c>
      <c r="W91" s="169" t="str">
        <f>Mon!W91</f>
        <v>(MEG)</v>
      </c>
      <c r="X91" s="170" t="str">
        <f>Mon!X91</f>
        <v>CA</v>
      </c>
      <c r="Y91" s="169" t="str">
        <f>Mon!Y91</f>
        <v>(SW)</v>
      </c>
      <c r="Z91" s="170" t="str">
        <f>Mon!Z91</f>
        <v>CA</v>
      </c>
      <c r="AA91" s="169" t="str">
        <f>Mon!AA91</f>
        <v>(TK)</v>
      </c>
      <c r="AB91" s="170" t="str">
        <f>Mon!AB91</f>
        <v>CA</v>
      </c>
      <c r="AC91" s="322" t="s">
        <v>89</v>
      </c>
      <c r="AD91" s="315" t="s">
        <v>190</v>
      </c>
    </row>
    <row r="92" spans="1:30" x14ac:dyDescent="0.35">
      <c r="A92" s="169" t="str">
        <f>Mon!A92</f>
        <v>(SUH)</v>
      </c>
      <c r="B92" s="170" t="str">
        <f>Mon!B92</f>
        <v>EVS</v>
      </c>
      <c r="C92" s="174" t="str">
        <f>Mon!C92</f>
        <v>(MB)</v>
      </c>
      <c r="D92" s="170" t="str">
        <f>Mon!D92</f>
        <v>EVS</v>
      </c>
      <c r="E92" s="169" t="str">
        <f>Mon!E92</f>
        <v>(AG)</v>
      </c>
      <c r="F92" s="170" t="str">
        <f>Mon!F92</f>
        <v>EVS</v>
      </c>
      <c r="G92" s="174" t="str">
        <f>Mon!G92</f>
        <v>(MH)</v>
      </c>
      <c r="H92" s="170" t="str">
        <f>Mon!H92</f>
        <v>EVS</v>
      </c>
      <c r="I92" s="174" t="str">
        <f>Mon!I92</f>
        <v>(RR)</v>
      </c>
      <c r="J92" s="170" t="str">
        <f>Mon!J92</f>
        <v>EVS</v>
      </c>
      <c r="K92" s="169" t="str">
        <f>Mon!K92</f>
        <v>(RR)</v>
      </c>
      <c r="L92" s="170" t="str">
        <f>Mon!L92</f>
        <v>EVS</v>
      </c>
      <c r="M92" s="169" t="str">
        <f>Mon!M92</f>
        <v>(MB)</v>
      </c>
      <c r="N92" s="170" t="str">
        <f>Mon!N92</f>
        <v>EVS</v>
      </c>
      <c r="O92" s="169" t="str">
        <f>Mon!O92</f>
        <v>(NEW)</v>
      </c>
      <c r="P92" s="170" t="str">
        <f>Mon!P92</f>
        <v>EVS</v>
      </c>
      <c r="Q92" s="174" t="str">
        <f>Mon!Q92</f>
        <v>(NEW)</v>
      </c>
      <c r="R92" s="170" t="str">
        <f>Mon!R92</f>
        <v>EVS</v>
      </c>
      <c r="S92" s="169" t="str">
        <f>Mon!S92</f>
        <v>(AG)</v>
      </c>
      <c r="T92" s="170" t="str">
        <f>Mon!T92</f>
        <v>EVS</v>
      </c>
      <c r="U92" s="174" t="str">
        <f>Mon!U92</f>
        <v>(New)</v>
      </c>
      <c r="V92" s="170" t="str">
        <f>Mon!V92</f>
        <v>EVS</v>
      </c>
      <c r="W92" s="169" t="str">
        <f>Mon!W92</f>
        <v>(RR)</v>
      </c>
      <c r="X92" s="170" t="str">
        <f>Mon!X92</f>
        <v>EVS</v>
      </c>
      <c r="Y92" s="169" t="str">
        <f>Mon!Y92</f>
        <v>(AG)</v>
      </c>
      <c r="Z92" s="170" t="str">
        <f>Mon!Z92</f>
        <v>EVS</v>
      </c>
      <c r="AA92" s="169" t="str">
        <f>Mon!AA92</f>
        <v>(MB)</v>
      </c>
      <c r="AB92" s="170" t="str">
        <f>Mon!AB92</f>
        <v>EVS</v>
      </c>
      <c r="AC92" s="322" t="s">
        <v>192</v>
      </c>
      <c r="AD92" s="315" t="s">
        <v>132</v>
      </c>
    </row>
    <row r="93" spans="1:30" x14ac:dyDescent="0.35">
      <c r="A93" s="169" t="str">
        <f>Mon!A93</f>
        <v>(AV)</v>
      </c>
      <c r="B93" s="170" t="str">
        <f>Mon!B93</f>
        <v>CM</v>
      </c>
      <c r="C93" s="169" t="str">
        <f>Mon!C93</f>
        <v>(SAK)</v>
      </c>
      <c r="D93" s="170" t="str">
        <f>Mon!D93</f>
        <v>CM</v>
      </c>
      <c r="E93" s="169" t="str">
        <f>Mon!E93</f>
        <v>(SUH)</v>
      </c>
      <c r="F93" s="170" t="str">
        <f>Mon!F93</f>
        <v>CM</v>
      </c>
      <c r="G93" s="169" t="str">
        <f>Mon!G93</f>
        <v>(SW)</v>
      </c>
      <c r="H93" s="170" t="str">
        <f>Mon!H93</f>
        <v>CM</v>
      </c>
      <c r="I93" s="169" t="str">
        <f>Mon!I93</f>
        <v>(SAK)</v>
      </c>
      <c r="J93" s="170" t="str">
        <f>Mon!J93</f>
        <v>CM</v>
      </c>
      <c r="K93" s="169" t="str">
        <f>Mon!K93</f>
        <v>(SAK)</v>
      </c>
      <c r="L93" s="170" t="str">
        <f>Mon!L93</f>
        <v>CM</v>
      </c>
      <c r="M93" s="169" t="str">
        <f>Mon!M93</f>
        <v>(SP)</v>
      </c>
      <c r="N93" s="170" t="str">
        <f>Mon!N93</f>
        <v>CP</v>
      </c>
      <c r="O93" s="169" t="str">
        <f>Mon!O93</f>
        <v>(MB)</v>
      </c>
      <c r="P93" s="170" t="str">
        <f>Mon!P93</f>
        <v>CP</v>
      </c>
      <c r="Q93" s="169" t="str">
        <f>Mon!Q93</f>
        <v>(SP)</v>
      </c>
      <c r="R93" s="170" t="str">
        <f>Mon!R93</f>
        <v>CP</v>
      </c>
      <c r="S93" s="181" t="str">
        <f>Mon!S93</f>
        <v>(MB)</v>
      </c>
      <c r="T93" s="170" t="str">
        <f>Mon!T93</f>
        <v>CP</v>
      </c>
      <c r="U93" s="169" t="str">
        <f>Mon!U93</f>
        <v>(AV)</v>
      </c>
      <c r="V93" s="170" t="str">
        <f>Mon!V93</f>
        <v>CM</v>
      </c>
      <c r="W93" s="169" t="str">
        <f>Mon!W93</f>
        <v>(SP)</v>
      </c>
      <c r="X93" s="170" t="str">
        <f>Mon!X93</f>
        <v>CP</v>
      </c>
      <c r="Y93" s="169" t="str">
        <f>Mon!Y93</f>
        <v>(SUH)</v>
      </c>
      <c r="Z93" s="170" t="str">
        <f>Mon!Z93</f>
        <v>CM</v>
      </c>
      <c r="AA93" s="169" t="str">
        <f>Mon!AA93</f>
        <v>(SP)</v>
      </c>
      <c r="AB93" s="170" t="str">
        <f>Mon!AB93</f>
        <v>CP</v>
      </c>
      <c r="AC93" s="322" t="s">
        <v>195</v>
      </c>
      <c r="AD93" s="315" t="s">
        <v>134</v>
      </c>
    </row>
    <row r="94" spans="1:30" x14ac:dyDescent="0.35">
      <c r="A94" s="169" t="str">
        <f>Mon!A94</f>
        <v>(ND)</v>
      </c>
      <c r="B94" s="170" t="str">
        <f>Mon!B94</f>
        <v>OP</v>
      </c>
      <c r="C94" s="169" t="str">
        <f>Mon!C94</f>
        <v>(SB)</v>
      </c>
      <c r="D94" s="170" t="str">
        <f>Mon!D94</f>
        <v>OP</v>
      </c>
      <c r="E94" s="169" t="str">
        <f>Mon!E94</f>
        <v>(ND)</v>
      </c>
      <c r="F94" s="170" t="str">
        <f>Mon!F94</f>
        <v>OP</v>
      </c>
      <c r="G94" s="169" t="str">
        <f>Mon!G94</f>
        <v>NEW</v>
      </c>
      <c r="H94" s="170" t="str">
        <f>Mon!H94</f>
        <v>OP</v>
      </c>
      <c r="I94" s="169" t="str">
        <f>Mon!I94</f>
        <v>NEW</v>
      </c>
      <c r="J94" s="170" t="str">
        <f>Mon!J94</f>
        <v>OP</v>
      </c>
      <c r="K94" s="169" t="str">
        <f>Mon!K94</f>
        <v>(MH)</v>
      </c>
      <c r="L94" s="170" t="str">
        <f>Mon!L94</f>
        <v>SP</v>
      </c>
      <c r="M94" s="169" t="str">
        <f>Mon!M94</f>
        <v>(SB)</v>
      </c>
      <c r="N94" s="170" t="str">
        <f>Mon!N94</f>
        <v>OP</v>
      </c>
      <c r="O94" s="169" t="str">
        <f>Mon!O94</f>
        <v>(MH)</v>
      </c>
      <c r="P94" s="170" t="str">
        <f>Mon!P94</f>
        <v>SP</v>
      </c>
      <c r="Q94" s="169" t="str">
        <f>Mon!Q94</f>
        <v>(SB)</v>
      </c>
      <c r="R94" s="170" t="str">
        <f>Mon!R94</f>
        <v>OP</v>
      </c>
      <c r="S94" s="169" t="str">
        <f>Mon!S94</f>
        <v>(ND)</v>
      </c>
      <c r="T94" s="170" t="str">
        <f>Mon!T94</f>
        <v>OP</v>
      </c>
      <c r="U94" s="169" t="str">
        <f>Mon!U94</f>
        <v>(ND)</v>
      </c>
      <c r="V94" s="170" t="str">
        <f>Mon!V94</f>
        <v>OP</v>
      </c>
      <c r="W94" s="169" t="str">
        <f>Mon!W94</f>
        <v>(ND)</v>
      </c>
      <c r="X94" s="170" t="str">
        <f>Mon!X94</f>
        <v>OP</v>
      </c>
      <c r="Y94" s="174" t="str">
        <f>Mon!Y94</f>
        <v>(MH)</v>
      </c>
      <c r="Z94" s="175" t="str">
        <f>Mon!Z94</f>
        <v>SP</v>
      </c>
      <c r="AA94" s="174" t="str">
        <f>Mon!AA94</f>
        <v>(MH)</v>
      </c>
      <c r="AB94" s="175" t="str">
        <f>Mon!AB94</f>
        <v>SP</v>
      </c>
      <c r="AC94" s="322" t="s">
        <v>133</v>
      </c>
      <c r="AD94" s="315" t="s">
        <v>197</v>
      </c>
    </row>
    <row r="95" spans="1:30" x14ac:dyDescent="0.35">
      <c r="A95" s="30"/>
      <c r="B95" s="31"/>
      <c r="C95" s="30"/>
      <c r="D95" s="31"/>
      <c r="E95" s="30"/>
      <c r="F95" s="31"/>
      <c r="G95" s="30"/>
      <c r="H95" s="31"/>
      <c r="I95" s="30"/>
      <c r="J95" s="31"/>
      <c r="K95" s="30"/>
      <c r="L95" s="31"/>
      <c r="M95" s="169">
        <f>Mon!M95</f>
        <v>0</v>
      </c>
      <c r="N95" s="170">
        <f>Mon!N95</f>
        <v>0</v>
      </c>
      <c r="O95" s="30"/>
      <c r="P95" s="31"/>
      <c r="Q95" s="30"/>
      <c r="R95" s="31"/>
      <c r="S95" s="30"/>
      <c r="T95" s="31"/>
      <c r="U95" s="30"/>
      <c r="V95" s="31"/>
      <c r="W95" s="169">
        <f>Mon!W95</f>
        <v>0</v>
      </c>
      <c r="X95" s="170">
        <f>Mon!X95</f>
        <v>0</v>
      </c>
      <c r="Y95" s="30"/>
      <c r="Z95" s="31"/>
      <c r="AA95" s="30"/>
      <c r="AB95" s="31"/>
      <c r="AC95" s="322" t="s">
        <v>123</v>
      </c>
      <c r="AD95" s="315" t="s">
        <v>198</v>
      </c>
    </row>
    <row r="96" spans="1:30" x14ac:dyDescent="0.35">
      <c r="AC96" s="315" t="s">
        <v>147</v>
      </c>
      <c r="AD96" s="315"/>
    </row>
    <row r="97" spans="1:28" x14ac:dyDescent="0.35">
      <c r="A97" s="355" t="s">
        <v>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7"/>
      <c r="AA97" s="325" t="s">
        <v>199</v>
      </c>
      <c r="AB97" s="326"/>
    </row>
    <row r="98" spans="1:28" x14ac:dyDescent="0.35">
      <c r="A98" s="341" t="s">
        <v>161</v>
      </c>
      <c r="B98" s="342"/>
      <c r="C98" s="341" t="s">
        <v>162</v>
      </c>
      <c r="D98" s="342"/>
      <c r="E98" s="341" t="s">
        <v>163</v>
      </c>
      <c r="F98" s="342"/>
      <c r="G98" s="341" t="s">
        <v>164</v>
      </c>
      <c r="H98" s="342"/>
      <c r="I98" s="341" t="s">
        <v>165</v>
      </c>
      <c r="J98" s="342"/>
      <c r="K98" s="341" t="s">
        <v>166</v>
      </c>
      <c r="L98" s="342"/>
      <c r="M98" s="341" t="s">
        <v>167</v>
      </c>
      <c r="N98" s="342"/>
      <c r="O98" s="341" t="s">
        <v>168</v>
      </c>
      <c r="P98" s="342"/>
      <c r="Q98" s="341" t="s">
        <v>169</v>
      </c>
      <c r="R98" s="342"/>
      <c r="S98" s="341" t="s">
        <v>170</v>
      </c>
      <c r="T98" s="342"/>
      <c r="U98" s="341" t="s">
        <v>171</v>
      </c>
      <c r="V98" s="342"/>
      <c r="W98" s="341" t="s">
        <v>172</v>
      </c>
      <c r="X98" s="342"/>
      <c r="Y98" s="341" t="s">
        <v>200</v>
      </c>
      <c r="Z98" s="342"/>
      <c r="AA98" s="318" t="s">
        <v>175</v>
      </c>
      <c r="AB98" s="172" t="s">
        <v>176</v>
      </c>
    </row>
    <row r="99" spans="1:28" x14ac:dyDescent="0.35">
      <c r="A99" s="166" t="s">
        <v>175</v>
      </c>
      <c r="B99" s="167" t="s">
        <v>176</v>
      </c>
      <c r="C99" s="166" t="s">
        <v>175</v>
      </c>
      <c r="D99" s="167" t="s">
        <v>176</v>
      </c>
      <c r="E99" s="166" t="s">
        <v>175</v>
      </c>
      <c r="F99" s="167" t="s">
        <v>176</v>
      </c>
      <c r="G99" s="166" t="s">
        <v>175</v>
      </c>
      <c r="H99" s="167" t="s">
        <v>176</v>
      </c>
      <c r="I99" s="166" t="s">
        <v>175</v>
      </c>
      <c r="J99" s="167" t="s">
        <v>176</v>
      </c>
      <c r="K99" s="166" t="s">
        <v>175</v>
      </c>
      <c r="L99" s="167" t="s">
        <v>176</v>
      </c>
      <c r="M99" s="166" t="s">
        <v>175</v>
      </c>
      <c r="N99" s="167" t="s">
        <v>176</v>
      </c>
      <c r="O99" s="166" t="s">
        <v>175</v>
      </c>
      <c r="P99" s="167" t="s">
        <v>176</v>
      </c>
      <c r="Q99" s="166" t="s">
        <v>175</v>
      </c>
      <c r="R99" s="167" t="s">
        <v>176</v>
      </c>
      <c r="S99" s="166" t="s">
        <v>175</v>
      </c>
      <c r="T99" s="167" t="s">
        <v>176</v>
      </c>
      <c r="U99" s="166" t="s">
        <v>175</v>
      </c>
      <c r="V99" s="167" t="s">
        <v>176</v>
      </c>
      <c r="W99" s="166" t="s">
        <v>175</v>
      </c>
      <c r="X99" s="167" t="s">
        <v>176</v>
      </c>
      <c r="Y99" s="166" t="s">
        <v>175</v>
      </c>
      <c r="Z99" s="167" t="s">
        <v>176</v>
      </c>
      <c r="AA99" s="315" t="s">
        <v>89</v>
      </c>
      <c r="AB99" s="315" t="s">
        <v>88</v>
      </c>
    </row>
    <row r="100" spans="1:28" x14ac:dyDescent="0.35">
      <c r="A100" s="169" t="str">
        <f>Mon!A100</f>
        <v>(AV)</v>
      </c>
      <c r="B100" s="170" t="str">
        <f>Mon!B100</f>
        <v>IB</v>
      </c>
      <c r="C100" s="169" t="str">
        <f>Mon!C100</f>
        <v>(KM)</v>
      </c>
      <c r="D100" s="170" t="str">
        <f>Mon!D100</f>
        <v>IB</v>
      </c>
      <c r="E100" s="169" t="str">
        <f>Mon!E100</f>
        <v>(SUN)</v>
      </c>
      <c r="F100" s="170" t="str">
        <f>Mon!F100</f>
        <v>IB</v>
      </c>
      <c r="G100" s="169" t="str">
        <f>Mon!G100</f>
        <v>(YL)</v>
      </c>
      <c r="H100" s="170" t="str">
        <f>Mon!H100</f>
        <v>IB</v>
      </c>
      <c r="I100" s="169" t="str">
        <f>Mon!I100</f>
        <v>(EC)</v>
      </c>
      <c r="J100" s="170" t="str">
        <f>Mon!J100</f>
        <v>IB</v>
      </c>
      <c r="K100" s="169" t="str">
        <f>Mon!K100</f>
        <v>(YL)</v>
      </c>
      <c r="L100" s="170" t="str">
        <f>Mon!L100</f>
        <v>IB</v>
      </c>
      <c r="M100" s="169" t="str">
        <f>Mon!M100</f>
        <v>(EC)</v>
      </c>
      <c r="N100" s="170" t="str">
        <f>Mon!N100</f>
        <v>IB</v>
      </c>
      <c r="O100" s="169" t="str">
        <f>Mon!O100</f>
        <v>(SUN)</v>
      </c>
      <c r="P100" s="170" t="str">
        <f>Mon!P100</f>
        <v>IB</v>
      </c>
      <c r="Q100" s="169" t="str">
        <f>Mon!Q100</f>
        <v>(AV)</v>
      </c>
      <c r="R100" s="170" t="str">
        <f>Mon!R100</f>
        <v>IB</v>
      </c>
      <c r="S100" s="169" t="str">
        <f>Mon!S100</f>
        <v>(EC)</v>
      </c>
      <c r="T100" s="170" t="str">
        <f>Mon!T100</f>
        <v>IB</v>
      </c>
      <c r="U100" s="169" t="str">
        <f>Mon!U100</f>
        <v>(EC)</v>
      </c>
      <c r="V100" s="170" t="str">
        <f>Mon!V100</f>
        <v>IB</v>
      </c>
      <c r="W100" s="169" t="str">
        <f>Mon!W100</f>
        <v>(AV)</v>
      </c>
      <c r="X100" s="170" t="str">
        <f>Mon!X100</f>
        <v>IB</v>
      </c>
      <c r="Y100" s="169" t="str">
        <f>Mon!Y100</f>
        <v>(DT)</v>
      </c>
      <c r="Z100" s="170" t="str">
        <f>Mon!Z100</f>
        <v>EBO</v>
      </c>
      <c r="AA100" s="315" t="s">
        <v>100</v>
      </c>
      <c r="AB100" s="315" t="s">
        <v>203</v>
      </c>
    </row>
    <row r="101" spans="1:28" x14ac:dyDescent="0.35">
      <c r="A101" s="169" t="str">
        <f>Mon!A101</f>
        <v>(SRN)</v>
      </c>
      <c r="B101" s="170" t="str">
        <f>Mon!B101</f>
        <v>IT</v>
      </c>
      <c r="C101" s="169" t="str">
        <f>Mon!C101</f>
        <v>(UK)</v>
      </c>
      <c r="D101" s="170" t="str">
        <f>Mon!D101</f>
        <v>IT</v>
      </c>
      <c r="E101" s="169" t="str">
        <f>Mon!E101</f>
        <v>(SUP)</v>
      </c>
      <c r="F101" s="170" t="str">
        <f>Mon!F101</f>
        <v>IT</v>
      </c>
      <c r="G101" s="174" t="str">
        <f>Mon!G101</f>
        <v>(SRN)</v>
      </c>
      <c r="H101" s="170" t="str">
        <f>Mon!H101</f>
        <v>IT</v>
      </c>
      <c r="I101" s="169" t="str">
        <f>Mon!I101</f>
        <v>(AD)</v>
      </c>
      <c r="J101" s="170" t="str">
        <f>Mon!J101</f>
        <v>IT</v>
      </c>
      <c r="K101" s="169" t="str">
        <f>Mon!K101</f>
        <v>(UK)</v>
      </c>
      <c r="L101" s="170" t="str">
        <f>Mon!L101</f>
        <v>IT</v>
      </c>
      <c r="M101" s="174" t="str">
        <f>Mon!M101</f>
        <v>(UK)</v>
      </c>
      <c r="N101" s="170" t="str">
        <f>Mon!N101</f>
        <v>IT</v>
      </c>
      <c r="O101" s="169" t="str">
        <f>Mon!O101</f>
        <v>(SRN)</v>
      </c>
      <c r="P101" s="170" t="str">
        <f>Mon!P101</f>
        <v>IT</v>
      </c>
      <c r="Q101" s="169" t="str">
        <f>Mon!Q101</f>
        <v>(SUP)</v>
      </c>
      <c r="R101" s="170" t="str">
        <f>Mon!R101</f>
        <v>IT</v>
      </c>
      <c r="S101" s="174" t="str">
        <f>Mon!S101</f>
        <v>(AD)</v>
      </c>
      <c r="T101" s="170" t="str">
        <f>Mon!T101</f>
        <v>IT</v>
      </c>
      <c r="U101" s="169" t="str">
        <f>Mon!U101</f>
        <v>(AD)</v>
      </c>
      <c r="V101" s="170" t="str">
        <f>Mon!V101</f>
        <v>IT</v>
      </c>
      <c r="W101" s="174" t="s">
        <v>52</v>
      </c>
      <c r="X101" s="170" t="str">
        <f>Mon!X101</f>
        <v>IT</v>
      </c>
      <c r="Y101" s="169" t="str">
        <f>Mon!Y101</f>
        <v>(ND)</v>
      </c>
      <c r="Z101" s="170" t="str">
        <f>Mon!Z101</f>
        <v>ES</v>
      </c>
      <c r="AA101" s="315"/>
      <c r="AB101" s="315" t="s">
        <v>96</v>
      </c>
    </row>
    <row r="102" spans="1:28" x14ac:dyDescent="0.35">
      <c r="A102" s="169" t="str">
        <f>Mon!A102</f>
        <v>(KR)</v>
      </c>
      <c r="B102" s="170" t="str">
        <f>Mon!B102</f>
        <v>MA</v>
      </c>
      <c r="C102" s="169" t="str">
        <f>Mon!C102</f>
        <v>(TK)</v>
      </c>
      <c r="D102" s="170" t="str">
        <f>Mon!D102</f>
        <v>MA</v>
      </c>
      <c r="E102" s="169" t="str">
        <f>Mon!E102</f>
        <v>(RG)</v>
      </c>
      <c r="F102" s="170" t="str">
        <f>Mon!F102</f>
        <v>MA</v>
      </c>
      <c r="G102" s="169" t="str">
        <f>Mon!G102</f>
        <v>(MEG)</v>
      </c>
      <c r="H102" s="170" t="str">
        <f>Mon!H102</f>
        <v>MA</v>
      </c>
      <c r="I102" s="169" t="str">
        <f>Mon!I102</f>
        <v>(KR)</v>
      </c>
      <c r="J102" s="170" t="str">
        <f>Mon!J102</f>
        <v>MA</v>
      </c>
      <c r="K102" s="174" t="str">
        <f>Mon!K102</f>
        <v>(PM)</v>
      </c>
      <c r="L102" s="170" t="str">
        <f>Mon!L102</f>
        <v>MA</v>
      </c>
      <c r="M102" s="169" t="str">
        <f>Mon!M102</f>
        <v>(NG)</v>
      </c>
      <c r="N102" s="170" t="str">
        <f>Mon!N102</f>
        <v>MA</v>
      </c>
      <c r="O102" s="169" t="str">
        <f>Mon!O102</f>
        <v>(RG)</v>
      </c>
      <c r="P102" s="170" t="str">
        <f>Mon!P102</f>
        <v>MA</v>
      </c>
      <c r="Q102" s="169" t="str">
        <f>Mon!Q102</f>
        <v>(NG)</v>
      </c>
      <c r="R102" s="170" t="str">
        <f>Mon!R102</f>
        <v>MA</v>
      </c>
      <c r="S102" s="169" t="str">
        <f>Mon!S102</f>
        <v>(MEG)</v>
      </c>
      <c r="T102" s="170" t="str">
        <f>Mon!T102</f>
        <v>MA</v>
      </c>
      <c r="U102" s="169" t="str">
        <f>Mon!U102</f>
        <v>(NG)</v>
      </c>
      <c r="V102" s="170" t="str">
        <f>Mon!V102</f>
        <v>MA</v>
      </c>
      <c r="W102" s="169" t="str">
        <f>Mon!W102</f>
        <v>(RG)</v>
      </c>
      <c r="X102" s="170" t="str">
        <f>Mon!X102</f>
        <v>MA</v>
      </c>
      <c r="Y102" s="181" t="str">
        <f>Mon!Y102</f>
        <v>(LK)</v>
      </c>
      <c r="Z102" s="170" t="str">
        <f>Mon!Z102</f>
        <v>LE</v>
      </c>
      <c r="AA102" s="315" t="s">
        <v>98</v>
      </c>
      <c r="AB102" s="315" t="s">
        <v>92</v>
      </c>
    </row>
    <row r="103" spans="1:28" x14ac:dyDescent="0.35">
      <c r="A103" s="169" t="str">
        <f>Mon!A103</f>
        <v>(SUN)</v>
      </c>
      <c r="B103" s="170" t="str">
        <f>Mon!B103</f>
        <v>FMS</v>
      </c>
      <c r="C103" s="174" t="str">
        <f>Mon!C103</f>
        <v>(MS)</v>
      </c>
      <c r="D103" s="170" t="str">
        <f>Mon!D103</f>
        <v>FMS</v>
      </c>
      <c r="E103" s="169" t="str">
        <f>Mon!E103</f>
        <v>(NG)</v>
      </c>
      <c r="F103" s="170" t="str">
        <f>Mon!F103</f>
        <v>FMS</v>
      </c>
      <c r="G103" s="169" t="str">
        <f>Mon!G103</f>
        <v>(SUN)</v>
      </c>
      <c r="H103" s="170" t="str">
        <f>Mon!H103</f>
        <v>FMS</v>
      </c>
      <c r="I103" s="169" t="str">
        <f>Mon!I103</f>
        <v>(MS)</v>
      </c>
      <c r="J103" s="170" t="str">
        <f>Mon!J103</f>
        <v>FMS</v>
      </c>
      <c r="K103" s="174" t="str">
        <f>Mon!K103</f>
        <v>(NG)</v>
      </c>
      <c r="L103" s="170" t="str">
        <f>Mon!L103</f>
        <v>FMS</v>
      </c>
      <c r="M103" s="169" t="str">
        <f>Mon!M103</f>
        <v>(KM)</v>
      </c>
      <c r="N103" s="170" t="str">
        <f>Mon!N103</f>
        <v>CB</v>
      </c>
      <c r="O103" s="169" t="str">
        <f>Mon!O103</f>
        <v>(SRS)</v>
      </c>
      <c r="P103" s="170" t="str">
        <f>Mon!P103</f>
        <v>CB</v>
      </c>
      <c r="Q103" s="169" t="str">
        <f>Mon!Q103</f>
        <v>(KM)</v>
      </c>
      <c r="R103" s="170" t="str">
        <f>Mon!R103</f>
        <v>CB</v>
      </c>
      <c r="S103" s="169" t="str">
        <f>Mon!S103</f>
        <v>(KM)</v>
      </c>
      <c r="T103" s="170" t="str">
        <f>Mon!T103</f>
        <v>CB</v>
      </c>
      <c r="U103" s="169" t="str">
        <f>Mon!U103</f>
        <v>(SRS)</v>
      </c>
      <c r="V103" s="170" t="str">
        <f>Mon!V103</f>
        <v>CB</v>
      </c>
      <c r="W103" s="174" t="str">
        <f>Mon!W103</f>
        <v>(EC)</v>
      </c>
      <c r="X103" s="175" t="str">
        <f>Mon!X103</f>
        <v>HRD</v>
      </c>
      <c r="Y103" s="169" t="str">
        <f>Mon!Y103</f>
        <v>(SP)</v>
      </c>
      <c r="Z103" s="170" t="str">
        <f>Mon!Z103</f>
        <v>PR</v>
      </c>
      <c r="AA103" s="315" t="s">
        <v>94</v>
      </c>
      <c r="AB103" s="315" t="s">
        <v>101</v>
      </c>
    </row>
    <row r="104" spans="1:28" x14ac:dyDescent="0.35">
      <c r="A104" s="169" t="str">
        <f>Mon!A104</f>
        <v>(VAR)</v>
      </c>
      <c r="B104" s="170" t="str">
        <f>Mon!B104</f>
        <v>IF</v>
      </c>
      <c r="C104" s="169" t="str">
        <f>Mon!C104</f>
        <v>(SRN)</v>
      </c>
      <c r="D104" s="170" t="str">
        <f>Mon!D104</f>
        <v>IF</v>
      </c>
      <c r="E104" s="169" t="str">
        <f>Mon!E104</f>
        <v>(VAR)</v>
      </c>
      <c r="F104" s="170" t="str">
        <f>Mon!F104</f>
        <v>IF</v>
      </c>
      <c r="G104" s="169" t="str">
        <f>Mon!G104</f>
        <v>(VAR)</v>
      </c>
      <c r="H104" s="170" t="str">
        <f>Mon!H104</f>
        <v>IF</v>
      </c>
      <c r="I104" s="169" t="str">
        <f>Mon!I104</f>
        <v>(SRN)</v>
      </c>
      <c r="J104" s="170" t="str">
        <f>Mon!J104</f>
        <v>IF</v>
      </c>
      <c r="K104" s="169" t="str">
        <f>Mon!K104</f>
        <v>(VAR)</v>
      </c>
      <c r="L104" s="170" t="str">
        <f>Mon!L104</f>
        <v>IF</v>
      </c>
      <c r="M104" s="169" t="str">
        <f>Mon!M104</f>
        <v>(DT)</v>
      </c>
      <c r="N104" s="170" t="str">
        <f>Mon!N104</f>
        <v>MIP</v>
      </c>
      <c r="O104" s="169" t="str">
        <f>Mon!O104</f>
        <v>(LK)</v>
      </c>
      <c r="P104" s="170" t="str">
        <f>Mon!P104</f>
        <v>MIP</v>
      </c>
      <c r="Q104" s="169" t="str">
        <f>Mon!Q104</f>
        <v>(LK)</v>
      </c>
      <c r="R104" s="170" t="str">
        <f>Mon!R104</f>
        <v>MIP</v>
      </c>
      <c r="S104" s="169" t="str">
        <f>Mon!S104</f>
        <v>(AV)</v>
      </c>
      <c r="T104" s="170" t="str">
        <f>Mon!T104</f>
        <v>MIP</v>
      </c>
      <c r="U104" s="169" t="str">
        <f>Mon!U104</f>
        <v>(DT)</v>
      </c>
      <c r="V104" s="170" t="str">
        <f>Mon!V104</f>
        <v>MIP</v>
      </c>
      <c r="W104" s="174" t="str">
        <f>Mon!W104</f>
        <v>(SR)</v>
      </c>
      <c r="X104" s="175" t="str">
        <f>Mon!X104</f>
        <v>IHRM</v>
      </c>
      <c r="Y104" s="169">
        <f>Mon!Y104</f>
        <v>0</v>
      </c>
      <c r="Z104" s="170">
        <f>Mon!Z104</f>
        <v>0</v>
      </c>
      <c r="AA104" s="315" t="s">
        <v>91</v>
      </c>
      <c r="AB104" s="315" t="s">
        <v>90</v>
      </c>
    </row>
    <row r="105" spans="1:28" x14ac:dyDescent="0.35">
      <c r="A105" s="169" t="str">
        <f>Mon!A105</f>
        <v>(SUP)</v>
      </c>
      <c r="B105" s="170" t="str">
        <f>Mon!B105</f>
        <v>AA</v>
      </c>
      <c r="C105" s="169" t="str">
        <f>Mon!C105</f>
        <v>(VAR)</v>
      </c>
      <c r="D105" s="170" t="str">
        <f>Mon!D105</f>
        <v>AA</v>
      </c>
      <c r="E105" s="169" t="str">
        <f>Mon!E105</f>
        <v>(MS)</v>
      </c>
      <c r="F105" s="170" t="str">
        <f>Mon!F105</f>
        <v>AA</v>
      </c>
      <c r="G105" s="169" t="str">
        <f>Mon!G105</f>
        <v>(SUP)</v>
      </c>
      <c r="H105" s="170" t="str">
        <f>Mon!H105</f>
        <v>AA</v>
      </c>
      <c r="I105" s="169" t="str">
        <f>Mon!I105</f>
        <v>(SUP)</v>
      </c>
      <c r="J105" s="170" t="str">
        <f>Mon!J105</f>
        <v>AA</v>
      </c>
      <c r="K105" s="169" t="str">
        <f>Mon!K105</f>
        <v>(MS)</v>
      </c>
      <c r="L105" s="170" t="str">
        <f>Mon!L105</f>
        <v>AA</v>
      </c>
      <c r="M105" s="169" t="str">
        <f>Mon!M105</f>
        <v>(LK)</v>
      </c>
      <c r="N105" s="170" t="str">
        <f>Mon!N105</f>
        <v>RM</v>
      </c>
      <c r="O105" s="169" t="str">
        <f>Mon!O105</f>
        <v>(VRL)</v>
      </c>
      <c r="P105" s="170" t="str">
        <f>Mon!P105</f>
        <v>RM</v>
      </c>
      <c r="Q105" s="169" t="str">
        <f>Mon!Q105</f>
        <v>(AD)</v>
      </c>
      <c r="R105" s="170" t="str">
        <f>Mon!R105</f>
        <v>RM</v>
      </c>
      <c r="S105" s="169" t="str">
        <f>Mon!S105</f>
        <v>(LK)</v>
      </c>
      <c r="T105" s="170" t="str">
        <f>Mon!T105</f>
        <v>RM</v>
      </c>
      <c r="U105" s="169" t="str">
        <f>Mon!U105</f>
        <v>(LK)</v>
      </c>
      <c r="V105" s="170" t="str">
        <f>Mon!V105</f>
        <v>RM</v>
      </c>
      <c r="W105" s="174" t="str">
        <f>Mon!W105</f>
        <v>(RT)</v>
      </c>
      <c r="X105" s="175" t="str">
        <f>Mon!X105</f>
        <v>CHRM</v>
      </c>
      <c r="Y105" s="181">
        <f>Mon!Y105</f>
        <v>0</v>
      </c>
      <c r="Z105" s="170">
        <f>Mon!Z105</f>
        <v>0</v>
      </c>
      <c r="AA105" s="315"/>
      <c r="AB105" s="315" t="s">
        <v>93</v>
      </c>
    </row>
    <row r="106" spans="1:28" x14ac:dyDescent="0.35">
      <c r="A106" s="169" t="str">
        <f>Mon!A106</f>
        <v>(AW)</v>
      </c>
      <c r="B106" s="170" t="str">
        <f>Mon!B106</f>
        <v>ECOM</v>
      </c>
      <c r="C106" s="169" t="str">
        <f>Mon!C106</f>
        <v>(SR)</v>
      </c>
      <c r="D106" s="170" t="str">
        <f>Mon!D106</f>
        <v>ECOM</v>
      </c>
      <c r="E106" s="169" t="str">
        <f>Mon!E106</f>
        <v>(AW)</v>
      </c>
      <c r="F106" s="170" t="str">
        <f>Mon!F106</f>
        <v>ECOM</v>
      </c>
      <c r="G106" s="169" t="str">
        <f>Mon!G106</f>
        <v>(SR)</v>
      </c>
      <c r="H106" s="170" t="str">
        <f>Mon!H106</f>
        <v>ECOM</v>
      </c>
      <c r="I106" s="169" t="str">
        <f>Mon!I106</f>
        <v>(DT)</v>
      </c>
      <c r="J106" s="170" t="str">
        <f>Mon!J106</f>
        <v>ECOM</v>
      </c>
      <c r="K106" s="169" t="str">
        <f>Mon!K106</f>
        <v>(SP)</v>
      </c>
      <c r="L106" s="170" t="str">
        <f>Mon!L106</f>
        <v>PR</v>
      </c>
      <c r="M106" s="169" t="str">
        <f>Mon!M106</f>
        <v>(SR)</v>
      </c>
      <c r="N106" s="170" t="str">
        <f>Mon!N106</f>
        <v>ECOM</v>
      </c>
      <c r="O106" s="169" t="str">
        <f>Mon!O106</f>
        <v>(SR)</v>
      </c>
      <c r="P106" s="170" t="str">
        <f>Mon!P106</f>
        <v>ECOM</v>
      </c>
      <c r="Q106" s="169" t="str">
        <f>Mon!Q106</f>
        <v>(DT)</v>
      </c>
      <c r="R106" s="170" t="str">
        <f>Mon!R106</f>
        <v>ECOM</v>
      </c>
      <c r="S106" s="169" t="str">
        <f>Mon!S106</f>
        <v>(SR)</v>
      </c>
      <c r="T106" s="170" t="str">
        <f>Mon!T106</f>
        <v>PR</v>
      </c>
      <c r="U106" s="169" t="str">
        <f>Mon!U106</f>
        <v>(SP)</v>
      </c>
      <c r="V106" s="170" t="str">
        <f>Mon!V106</f>
        <v>PR</v>
      </c>
      <c r="W106" s="174" t="str">
        <f>Mon!W106</f>
        <v>(BB)</v>
      </c>
      <c r="X106" s="175" t="str">
        <f>Mon!X106</f>
        <v>ECOM</v>
      </c>
      <c r="Y106" s="169">
        <f>Mon!Y106</f>
        <v>0</v>
      </c>
      <c r="Z106" s="170">
        <f>Mon!Z106</f>
        <v>0</v>
      </c>
      <c r="AA106" s="315"/>
      <c r="AB106" s="315" t="s">
        <v>99</v>
      </c>
    </row>
    <row r="107" spans="1:28" x14ac:dyDescent="0.35">
      <c r="A107" s="30"/>
      <c r="B107" s="31"/>
      <c r="C107" s="30"/>
      <c r="D107" s="31"/>
      <c r="E107" s="30"/>
      <c r="F107" s="31"/>
      <c r="G107" s="30"/>
      <c r="H107" s="31"/>
      <c r="I107" s="30"/>
      <c r="J107" s="31"/>
      <c r="K107" s="30"/>
      <c r="L107" s="31"/>
      <c r="M107" s="30"/>
      <c r="N107" s="170"/>
      <c r="O107" s="30"/>
      <c r="P107" s="31"/>
      <c r="Q107" s="30"/>
      <c r="R107" s="31"/>
      <c r="S107" s="30"/>
      <c r="T107" s="31"/>
      <c r="U107" s="30"/>
      <c r="V107" s="31"/>
      <c r="W107" s="169"/>
      <c r="X107" s="31"/>
      <c r="Y107" s="30"/>
      <c r="Z107" s="31"/>
      <c r="AA107" s="315"/>
      <c r="AB107" s="315" t="s">
        <v>97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</sheetData>
  <mergeCells count="76">
    <mergeCell ref="AC1:AN1"/>
    <mergeCell ref="Y2:AB2"/>
    <mergeCell ref="AC2:AF2"/>
    <mergeCell ref="AG2:AJ2"/>
    <mergeCell ref="AK2:AN2"/>
    <mergeCell ref="E20:F20"/>
    <mergeCell ref="G20:H20"/>
    <mergeCell ref="Y72:Z72"/>
    <mergeCell ref="A85:Z85"/>
    <mergeCell ref="K72:L72"/>
    <mergeCell ref="M72:N72"/>
    <mergeCell ref="O72:P72"/>
    <mergeCell ref="Q72:R72"/>
    <mergeCell ref="A72:B72"/>
    <mergeCell ref="C72:D72"/>
    <mergeCell ref="W72:X72"/>
    <mergeCell ref="E72:F72"/>
    <mergeCell ref="G72:H72"/>
    <mergeCell ref="I72:J72"/>
    <mergeCell ref="K37:L37"/>
    <mergeCell ref="M37:N37"/>
    <mergeCell ref="BX3:CA3"/>
    <mergeCell ref="B16:B17"/>
    <mergeCell ref="C16:C17"/>
    <mergeCell ref="M4:N4"/>
    <mergeCell ref="A3:H3"/>
    <mergeCell ref="I3:N3"/>
    <mergeCell ref="A5:A19"/>
    <mergeCell ref="E4:F4"/>
    <mergeCell ref="G4:H4"/>
    <mergeCell ref="I4:J4"/>
    <mergeCell ref="K4:L4"/>
    <mergeCell ref="I5:J19"/>
    <mergeCell ref="I20:J20"/>
    <mergeCell ref="K20:L20"/>
    <mergeCell ref="M20:N20"/>
    <mergeCell ref="AC85:AD85"/>
    <mergeCell ref="I98:J98"/>
    <mergeCell ref="K98:L98"/>
    <mergeCell ref="M98:N98"/>
    <mergeCell ref="K86:L86"/>
    <mergeCell ref="M86:N86"/>
    <mergeCell ref="O98:P98"/>
    <mergeCell ref="Q98:R98"/>
    <mergeCell ref="I86:J86"/>
    <mergeCell ref="A71:Z71"/>
    <mergeCell ref="S98:T98"/>
    <mergeCell ref="Q86:R86"/>
    <mergeCell ref="S86:T86"/>
    <mergeCell ref="U98:V98"/>
    <mergeCell ref="W98:X98"/>
    <mergeCell ref="Y98:Z98"/>
    <mergeCell ref="W86:X86"/>
    <mergeCell ref="Y86:Z86"/>
    <mergeCell ref="A97:Z97"/>
    <mergeCell ref="A98:B98"/>
    <mergeCell ref="C98:D98"/>
    <mergeCell ref="E98:F98"/>
    <mergeCell ref="G98:H98"/>
    <mergeCell ref="G86:H86"/>
    <mergeCell ref="A38:A53"/>
    <mergeCell ref="I38:J53"/>
    <mergeCell ref="AA86:AB86"/>
    <mergeCell ref="AA72:AB72"/>
    <mergeCell ref="A21:A36"/>
    <mergeCell ref="I21:J36"/>
    <mergeCell ref="E37:F37"/>
    <mergeCell ref="G37:H37"/>
    <mergeCell ref="I37:J37"/>
    <mergeCell ref="O86:P86"/>
    <mergeCell ref="U86:V86"/>
    <mergeCell ref="A86:B86"/>
    <mergeCell ref="C86:D86"/>
    <mergeCell ref="S72:T72"/>
    <mergeCell ref="U72:V72"/>
    <mergeCell ref="E86:F86"/>
  </mergeCells>
  <conditionalFormatting sqref="Q26">
    <cfRule type="duplicateValues" dxfId="13095" priority="8132"/>
    <cfRule type="duplicateValues" dxfId="13094" priority="8133"/>
  </conditionalFormatting>
  <conditionalFormatting sqref="Q26">
    <cfRule type="duplicateValues" dxfId="13093" priority="8279"/>
  </conditionalFormatting>
  <conditionalFormatting sqref="Q26">
    <cfRule type="duplicateValues" dxfId="13092" priority="8282"/>
  </conditionalFormatting>
  <conditionalFormatting sqref="W4:W59">
    <cfRule type="dataBar" priority="8130">
      <dataBar>
        <cfvo type="num" val="0"/>
        <cfvo type="num" val="16"/>
        <color rgb="FF00FF30"/>
      </dataBar>
      <extLst>
        <ext xmlns:x14="http://schemas.microsoft.com/office/spreadsheetml/2009/9/main" uri="{B025F937-C7B1-47D3-B67F-A62EFF666E3E}">
          <x14:id>{CDF1365E-E25E-4758-99C5-980D9AAF2157}</x14:id>
        </ext>
      </extLst>
    </cfRule>
  </conditionalFormatting>
  <conditionalFormatting sqref="R26">
    <cfRule type="duplicateValues" dxfId="13091" priority="8095"/>
  </conditionalFormatting>
  <conditionalFormatting sqref="R26">
    <cfRule type="duplicateValues" dxfId="13090" priority="8096"/>
    <cfRule type="duplicateValues" dxfId="13089" priority="8097"/>
  </conditionalFormatting>
  <conditionalFormatting sqref="R26">
    <cfRule type="duplicateValues" dxfId="13088" priority="8098"/>
  </conditionalFormatting>
  <conditionalFormatting sqref="S64:S70 V4:V59">
    <cfRule type="colorScale" priority="8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N37">
    <cfRule type="cellIs" dxfId="13087" priority="2702" operator="equal">
      <formula>$O$11</formula>
    </cfRule>
    <cfRule type="cellIs" dxfId="13086" priority="2703" operator="equal">
      <formula>$O$9</formula>
    </cfRule>
    <cfRule type="cellIs" dxfId="13085" priority="2704" operator="equal">
      <formula>$O$8</formula>
    </cfRule>
    <cfRule type="cellIs" dxfId="13084" priority="2705" operator="equal">
      <formula>$O$7</formula>
    </cfRule>
    <cfRule type="cellIs" dxfId="13083" priority="2706" operator="equal">
      <formula>$O$6</formula>
    </cfRule>
    <cfRule type="cellIs" dxfId="13082" priority="2707" operator="equal">
      <formula>$O$5</formula>
    </cfRule>
  </conditionalFormatting>
  <conditionalFormatting sqref="E37:N37">
    <cfRule type="cellIs" dxfId="13081" priority="2708" operator="equal">
      <formula>0</formula>
    </cfRule>
  </conditionalFormatting>
  <conditionalFormatting sqref="F38:F50 L38:L50 H38:H50 N38:N50">
    <cfRule type="cellIs" dxfId="13080" priority="2094" operator="equal">
      <formula>0</formula>
    </cfRule>
  </conditionalFormatting>
  <conditionalFormatting sqref="F38:F49">
    <cfRule type="duplicateValues" dxfId="13079" priority="2093"/>
  </conditionalFormatting>
  <conditionalFormatting sqref="H38:H49">
    <cfRule type="duplicateValues" dxfId="13078" priority="2092"/>
  </conditionalFormatting>
  <conditionalFormatting sqref="L38:L49">
    <cfRule type="duplicateValues" dxfId="13077" priority="2091"/>
  </conditionalFormatting>
  <conditionalFormatting sqref="N38:N49">
    <cfRule type="duplicateValues" dxfId="13076" priority="2090"/>
  </conditionalFormatting>
  <conditionalFormatting sqref="F38:F50 H38:H50 L38:L50 N38:N50">
    <cfRule type="cellIs" dxfId="13075" priority="2084" operator="equal">
      <formula>$O$16</formula>
    </cfRule>
    <cfRule type="cellIs" dxfId="13074" priority="2085" operator="equal">
      <formula>$O$15</formula>
    </cfRule>
    <cfRule type="cellIs" dxfId="13073" priority="2086" operator="equal">
      <formula>$O$14</formula>
    </cfRule>
    <cfRule type="cellIs" dxfId="13072" priority="2087" operator="equal">
      <formula>$O$13</formula>
    </cfRule>
    <cfRule type="cellIs" dxfId="13071" priority="2088" operator="equal">
      <formula>$O$12</formula>
    </cfRule>
    <cfRule type="cellIs" dxfId="13070" priority="2089" operator="equal">
      <formula>$O$11</formula>
    </cfRule>
  </conditionalFormatting>
  <conditionalFormatting sqref="F38:F49 L38:L49 N38:N49 H38:H49">
    <cfRule type="cellIs" dxfId="13069" priority="2081" operator="equal">
      <formula>$O$10</formula>
    </cfRule>
    <cfRule type="cellIs" dxfId="13068" priority="2082" operator="equal">
      <formula>$O$18</formula>
    </cfRule>
    <cfRule type="cellIs" dxfId="13067" priority="2083" operator="equal">
      <formula>$O$17</formula>
    </cfRule>
  </conditionalFormatting>
  <conditionalFormatting sqref="F38:F49 H38:H49 L38:L50 N38:N50">
    <cfRule type="cellIs" dxfId="13066" priority="2072" operator="equal">
      <formula>$O$13</formula>
    </cfRule>
    <cfRule type="cellIs" dxfId="13065" priority="2073" operator="equal">
      <formula>$O$12</formula>
    </cfRule>
    <cfRule type="cellIs" dxfId="13064" priority="2074" operator="equal">
      <formula>$O$11</formula>
    </cfRule>
    <cfRule type="cellIs" dxfId="13063" priority="2075" operator="equal">
      <formula>$O$10</formula>
    </cfRule>
    <cfRule type="cellIs" dxfId="13062" priority="2076" operator="equal">
      <formula>$O$9</formula>
    </cfRule>
    <cfRule type="cellIs" dxfId="13061" priority="2077" operator="equal">
      <formula>$O$8</formula>
    </cfRule>
    <cfRule type="cellIs" dxfId="13060" priority="2078" operator="equal">
      <formula>$O$7</formula>
    </cfRule>
    <cfRule type="cellIs" dxfId="13059" priority="2079" operator="equal">
      <formula>$O$6</formula>
    </cfRule>
    <cfRule type="cellIs" dxfId="13058" priority="2080" operator="equal">
      <formula>$O$5</formula>
    </cfRule>
  </conditionalFormatting>
  <conditionalFormatting sqref="H38:H49">
    <cfRule type="duplicateValues" dxfId="13057" priority="2067"/>
  </conditionalFormatting>
  <conditionalFormatting sqref="L38:L49">
    <cfRule type="duplicateValues" dxfId="13056" priority="2066"/>
  </conditionalFormatting>
  <conditionalFormatting sqref="N38:N49">
    <cfRule type="duplicateValues" dxfId="13055" priority="2065"/>
  </conditionalFormatting>
  <conditionalFormatting sqref="F38:F49">
    <cfRule type="duplicateValues" dxfId="13054" priority="2052"/>
    <cfRule type="duplicateValues" dxfId="13053" priority="2064"/>
  </conditionalFormatting>
  <conditionalFormatting sqref="F38 L38 H38 N38">
    <cfRule type="duplicateValues" dxfId="13052" priority="2063"/>
  </conditionalFormatting>
  <conditionalFormatting sqref="F39 L39 H39 N39">
    <cfRule type="duplicateValues" dxfId="13051" priority="2062"/>
  </conditionalFormatting>
  <conditionalFormatting sqref="F40 L40 H40 N40">
    <cfRule type="duplicateValues" dxfId="13050" priority="2061"/>
  </conditionalFormatting>
  <conditionalFormatting sqref="F41 L41 H41 N41">
    <cfRule type="duplicateValues" dxfId="13049" priority="2060"/>
  </conditionalFormatting>
  <conditionalFormatting sqref="F42 L42 H42 N42">
    <cfRule type="duplicateValues" dxfId="13048" priority="2059"/>
  </conditionalFormatting>
  <conditionalFormatting sqref="F43 L43 H43 N43">
    <cfRule type="duplicateValues" dxfId="13047" priority="2058"/>
  </conditionalFormatting>
  <conditionalFormatting sqref="F44 L44 H44 N44">
    <cfRule type="duplicateValues" dxfId="13046" priority="2057"/>
  </conditionalFormatting>
  <conditionalFormatting sqref="F45 L45 H45 N45">
    <cfRule type="duplicateValues" dxfId="13045" priority="2056"/>
  </conditionalFormatting>
  <conditionalFormatting sqref="F46 L46 H46 N46">
    <cfRule type="duplicateValues" dxfId="13044" priority="2055"/>
  </conditionalFormatting>
  <conditionalFormatting sqref="F47 L47 H47 N47">
    <cfRule type="duplicateValues" dxfId="13043" priority="2054"/>
  </conditionalFormatting>
  <conditionalFormatting sqref="F48 L48 H48 N48">
    <cfRule type="duplicateValues" dxfId="13042" priority="2053"/>
  </conditionalFormatting>
  <conditionalFormatting sqref="F49 H49">
    <cfRule type="cellIs" dxfId="13041" priority="2027" operator="equal">
      <formula>0</formula>
    </cfRule>
  </conditionalFormatting>
  <conditionalFormatting sqref="F49">
    <cfRule type="duplicateValues" dxfId="13040" priority="2026"/>
  </conditionalFormatting>
  <conditionalFormatting sqref="F49">
    <cfRule type="duplicateValues" dxfId="13039" priority="2019"/>
    <cfRule type="duplicateValues" dxfId="13038" priority="2021"/>
  </conditionalFormatting>
  <conditionalFormatting sqref="F49 H49">
    <cfRule type="duplicateValues" dxfId="13037" priority="2020"/>
  </conditionalFormatting>
  <conditionalFormatting sqref="F49">
    <cfRule type="duplicateValues" dxfId="13036" priority="2018"/>
  </conditionalFormatting>
  <conditionalFormatting sqref="H49">
    <cfRule type="duplicateValues" dxfId="13035" priority="2017"/>
  </conditionalFormatting>
  <conditionalFormatting sqref="H49">
    <cfRule type="duplicateValues" dxfId="13034" priority="2015"/>
    <cfRule type="duplicateValues" dxfId="13033" priority="2016"/>
  </conditionalFormatting>
  <conditionalFormatting sqref="F49">
    <cfRule type="duplicateValues" dxfId="13032" priority="2028"/>
  </conditionalFormatting>
  <conditionalFormatting sqref="H49">
    <cfRule type="duplicateValues" dxfId="13031" priority="2029"/>
  </conditionalFormatting>
  <conditionalFormatting sqref="H49">
    <cfRule type="duplicateValues" dxfId="13030" priority="2012"/>
  </conditionalFormatting>
  <conditionalFormatting sqref="H49">
    <cfRule type="duplicateValues" dxfId="13029" priority="2011"/>
  </conditionalFormatting>
  <conditionalFormatting sqref="F49 H49">
    <cfRule type="cellIs" dxfId="13028" priority="2030" operator="equal">
      <formula>$O$16</formula>
    </cfRule>
    <cfRule type="cellIs" dxfId="13027" priority="2031" operator="equal">
      <formula>$O$15</formula>
    </cfRule>
    <cfRule type="cellIs" dxfId="13026" priority="2032" operator="equal">
      <formula>$O$14</formula>
    </cfRule>
    <cfRule type="cellIs" dxfId="13025" priority="2033" operator="equal">
      <formula>$O$13</formula>
    </cfRule>
    <cfRule type="cellIs" dxfId="13024" priority="2034" operator="equal">
      <formula>$O$12</formula>
    </cfRule>
    <cfRule type="cellIs" dxfId="13023" priority="2035" operator="equal">
      <formula>$O$11</formula>
    </cfRule>
  </conditionalFormatting>
  <conditionalFormatting sqref="F49 H49">
    <cfRule type="cellIs" dxfId="13022" priority="2036" operator="equal">
      <formula>$O$10</formula>
    </cfRule>
    <cfRule type="cellIs" dxfId="13021" priority="2037" operator="equal">
      <formula>$O$18</formula>
    </cfRule>
    <cfRule type="cellIs" dxfId="13020" priority="2038" operator="equal">
      <formula>$O$17</formula>
    </cfRule>
  </conditionalFormatting>
  <conditionalFormatting sqref="F49 H49">
    <cfRule type="cellIs" dxfId="13019" priority="2039" operator="equal">
      <formula>$O$13</formula>
    </cfRule>
    <cfRule type="cellIs" dxfId="13018" priority="2040" operator="equal">
      <formula>$O$12</formula>
    </cfRule>
    <cfRule type="cellIs" dxfId="13017" priority="2041" operator="equal">
      <formula>$O$11</formula>
    </cfRule>
    <cfRule type="cellIs" dxfId="13016" priority="2042" operator="equal">
      <formula>$O$10</formula>
    </cfRule>
    <cfRule type="cellIs" dxfId="13015" priority="2043" operator="equal">
      <formula>$O$9</formula>
    </cfRule>
    <cfRule type="cellIs" dxfId="13014" priority="2044" operator="equal">
      <formula>$O$8</formula>
    </cfRule>
    <cfRule type="cellIs" dxfId="13013" priority="2045" operator="equal">
      <formula>$O$7</formula>
    </cfRule>
    <cfRule type="cellIs" dxfId="13012" priority="2046" operator="equal">
      <formula>$O$6</formula>
    </cfRule>
    <cfRule type="cellIs" dxfId="13011" priority="2047" operator="equal">
      <formula>$O$5</formula>
    </cfRule>
  </conditionalFormatting>
  <conditionalFormatting sqref="F49">
    <cfRule type="duplicateValues" dxfId="13010" priority="2010"/>
  </conditionalFormatting>
  <conditionalFormatting sqref="H49">
    <cfRule type="duplicateValues" dxfId="13009" priority="2009"/>
  </conditionalFormatting>
  <conditionalFormatting sqref="L49">
    <cfRule type="cellIs" dxfId="13008" priority="1985" operator="equal">
      <formula>0</formula>
    </cfRule>
  </conditionalFormatting>
  <conditionalFormatting sqref="L49">
    <cfRule type="duplicateValues" dxfId="13007" priority="1984"/>
  </conditionalFormatting>
  <conditionalFormatting sqref="L49">
    <cfRule type="duplicateValues" dxfId="13006" priority="1977"/>
    <cfRule type="duplicateValues" dxfId="13005" priority="1979"/>
  </conditionalFormatting>
  <conditionalFormatting sqref="L49">
    <cfRule type="duplicateValues" dxfId="13004" priority="1978"/>
  </conditionalFormatting>
  <conditionalFormatting sqref="L49">
    <cfRule type="duplicateValues" dxfId="13003" priority="1976"/>
  </conditionalFormatting>
  <conditionalFormatting sqref="L49">
    <cfRule type="duplicateValues" dxfId="13002" priority="1986"/>
  </conditionalFormatting>
  <conditionalFormatting sqref="L49">
    <cfRule type="cellIs" dxfId="13001" priority="1987" operator="equal">
      <formula>$O$16</formula>
    </cfRule>
    <cfRule type="cellIs" dxfId="13000" priority="1988" operator="equal">
      <formula>$O$15</formula>
    </cfRule>
    <cfRule type="cellIs" dxfId="12999" priority="1989" operator="equal">
      <formula>$O$14</formula>
    </cfRule>
    <cfRule type="cellIs" dxfId="12998" priority="1990" operator="equal">
      <formula>$O$13</formula>
    </cfRule>
    <cfRule type="cellIs" dxfId="12997" priority="1991" operator="equal">
      <formula>$O$12</formula>
    </cfRule>
    <cfRule type="cellIs" dxfId="12996" priority="1992" operator="equal">
      <formula>$O$11</formula>
    </cfRule>
  </conditionalFormatting>
  <conditionalFormatting sqref="L49">
    <cfRule type="cellIs" dxfId="12995" priority="1993" operator="equal">
      <formula>$O$10</formula>
    </cfRule>
    <cfRule type="cellIs" dxfId="12994" priority="1994" operator="equal">
      <formula>$O$18</formula>
    </cfRule>
    <cfRule type="cellIs" dxfId="12993" priority="1995" operator="equal">
      <formula>$O$17</formula>
    </cfRule>
  </conditionalFormatting>
  <conditionalFormatting sqref="L49">
    <cfRule type="cellIs" dxfId="12992" priority="1996" operator="equal">
      <formula>$O$13</formula>
    </cfRule>
    <cfRule type="cellIs" dxfId="12991" priority="1997" operator="equal">
      <formula>$O$12</formula>
    </cfRule>
    <cfRule type="cellIs" dxfId="12990" priority="1998" operator="equal">
      <formula>$O$11</formula>
    </cfRule>
    <cfRule type="cellIs" dxfId="12989" priority="1999" operator="equal">
      <formula>$O$10</formula>
    </cfRule>
    <cfRule type="cellIs" dxfId="12988" priority="2000" operator="equal">
      <formula>$O$9</formula>
    </cfRule>
    <cfRule type="cellIs" dxfId="12987" priority="2001" operator="equal">
      <formula>$O$8</formula>
    </cfRule>
    <cfRule type="cellIs" dxfId="12986" priority="2002" operator="equal">
      <formula>$O$7</formula>
    </cfRule>
    <cfRule type="cellIs" dxfId="12985" priority="2003" operator="equal">
      <formula>$O$6</formula>
    </cfRule>
    <cfRule type="cellIs" dxfId="12984" priority="2004" operator="equal">
      <formula>$O$5</formula>
    </cfRule>
  </conditionalFormatting>
  <conditionalFormatting sqref="L49">
    <cfRule type="duplicateValues" dxfId="12983" priority="1973"/>
  </conditionalFormatting>
  <conditionalFormatting sqref="N49">
    <cfRule type="cellIs" dxfId="12982" priority="1949" operator="equal">
      <formula>0</formula>
    </cfRule>
  </conditionalFormatting>
  <conditionalFormatting sqref="N49">
    <cfRule type="duplicateValues" dxfId="12981" priority="1948"/>
  </conditionalFormatting>
  <conditionalFormatting sqref="N49">
    <cfRule type="duplicateValues" dxfId="12980" priority="1941"/>
    <cfRule type="duplicateValues" dxfId="12979" priority="1943"/>
  </conditionalFormatting>
  <conditionalFormatting sqref="N49">
    <cfRule type="duplicateValues" dxfId="12978" priority="1942"/>
  </conditionalFormatting>
  <conditionalFormatting sqref="N49">
    <cfRule type="duplicateValues" dxfId="12977" priority="1940"/>
  </conditionalFormatting>
  <conditionalFormatting sqref="N49">
    <cfRule type="duplicateValues" dxfId="12976" priority="1950"/>
  </conditionalFormatting>
  <conditionalFormatting sqref="N49">
    <cfRule type="cellIs" dxfId="12975" priority="1951" operator="equal">
      <formula>$O$16</formula>
    </cfRule>
    <cfRule type="cellIs" dxfId="12974" priority="1952" operator="equal">
      <formula>$O$15</formula>
    </cfRule>
    <cfRule type="cellIs" dxfId="12973" priority="1953" operator="equal">
      <formula>$O$14</formula>
    </cfRule>
    <cfRule type="cellIs" dxfId="12972" priority="1954" operator="equal">
      <formula>$O$13</formula>
    </cfRule>
    <cfRule type="cellIs" dxfId="12971" priority="1955" operator="equal">
      <formula>$O$12</formula>
    </cfRule>
    <cfRule type="cellIs" dxfId="12970" priority="1956" operator="equal">
      <formula>$O$11</formula>
    </cfRule>
  </conditionalFormatting>
  <conditionalFormatting sqref="N49">
    <cfRule type="cellIs" dxfId="12969" priority="1957" operator="equal">
      <formula>$O$10</formula>
    </cfRule>
    <cfRule type="cellIs" dxfId="12968" priority="1958" operator="equal">
      <formula>$O$18</formula>
    </cfRule>
    <cfRule type="cellIs" dxfId="12967" priority="1959" operator="equal">
      <formula>$O$17</formula>
    </cfRule>
  </conditionalFormatting>
  <conditionalFormatting sqref="N49">
    <cfRule type="cellIs" dxfId="12966" priority="1960" operator="equal">
      <formula>$O$13</formula>
    </cfRule>
    <cfRule type="cellIs" dxfId="12965" priority="1961" operator="equal">
      <formula>$O$12</formula>
    </cfRule>
    <cfRule type="cellIs" dxfId="12964" priority="1962" operator="equal">
      <formula>$O$11</formula>
    </cfRule>
    <cfRule type="cellIs" dxfId="12963" priority="1963" operator="equal">
      <formula>$O$10</formula>
    </cfRule>
    <cfRule type="cellIs" dxfId="12962" priority="1964" operator="equal">
      <formula>$O$9</formula>
    </cfRule>
    <cfRule type="cellIs" dxfId="12961" priority="1965" operator="equal">
      <formula>$O$8</formula>
    </cfRule>
    <cfRule type="cellIs" dxfId="12960" priority="1966" operator="equal">
      <formula>$O$7</formula>
    </cfRule>
    <cfRule type="cellIs" dxfId="12959" priority="1967" operator="equal">
      <formula>$O$6</formula>
    </cfRule>
    <cfRule type="cellIs" dxfId="12958" priority="1968" operator="equal">
      <formula>$O$5</formula>
    </cfRule>
  </conditionalFormatting>
  <conditionalFormatting sqref="N49">
    <cfRule type="duplicateValues" dxfId="12957" priority="1937"/>
  </conditionalFormatting>
  <conditionalFormatting sqref="F49 L49 H49 N49">
    <cfRule type="duplicateValues" dxfId="12956" priority="1936"/>
  </conditionalFormatting>
  <conditionalFormatting sqref="F38:F50">
    <cfRule type="duplicateValues" dxfId="12955" priority="1935"/>
  </conditionalFormatting>
  <conditionalFormatting sqref="H38:H50">
    <cfRule type="duplicateValues" dxfId="12954" priority="1934"/>
  </conditionalFormatting>
  <conditionalFormatting sqref="L38:L50">
    <cfRule type="duplicateValues" dxfId="12953" priority="1933"/>
  </conditionalFormatting>
  <conditionalFormatting sqref="N38:N50">
    <cfRule type="duplicateValues" dxfId="12952" priority="1932"/>
  </conditionalFormatting>
  <conditionalFormatting sqref="F38 L38 H38 N38">
    <cfRule type="duplicateValues" dxfId="12951" priority="1931"/>
  </conditionalFormatting>
  <conditionalFormatting sqref="F39 L39 H39 N39">
    <cfRule type="duplicateValues" dxfId="12950" priority="1930"/>
  </conditionalFormatting>
  <conditionalFormatting sqref="F40 L40 H40 N40">
    <cfRule type="duplicateValues" dxfId="12949" priority="1929"/>
  </conditionalFormatting>
  <conditionalFormatting sqref="F41 L41 H41 N41">
    <cfRule type="duplicateValues" dxfId="12948" priority="1928"/>
  </conditionalFormatting>
  <conditionalFormatting sqref="F42 L42 H42 N42">
    <cfRule type="duplicateValues" dxfId="12947" priority="1927"/>
  </conditionalFormatting>
  <conditionalFormatting sqref="F43 L43 H43 N43">
    <cfRule type="duplicateValues" dxfId="12946" priority="1926"/>
  </conditionalFormatting>
  <conditionalFormatting sqref="F44 L44 H44 N44">
    <cfRule type="duplicateValues" dxfId="12945" priority="1925"/>
  </conditionalFormatting>
  <conditionalFormatting sqref="F45 L45 H45 N45">
    <cfRule type="duplicateValues" dxfId="12944" priority="1924"/>
  </conditionalFormatting>
  <conditionalFormatting sqref="F46 L46 H46 N46">
    <cfRule type="duplicateValues" dxfId="12943" priority="1923"/>
  </conditionalFormatting>
  <conditionalFormatting sqref="F47 L47 H47 N47">
    <cfRule type="duplicateValues" dxfId="12942" priority="1922"/>
  </conditionalFormatting>
  <conditionalFormatting sqref="F48 L48 H48 N48">
    <cfRule type="duplicateValues" dxfId="12941" priority="1921"/>
  </conditionalFormatting>
  <conditionalFormatting sqref="F49 L49 H49 N49">
    <cfRule type="duplicateValues" dxfId="12940" priority="1920"/>
  </conditionalFormatting>
  <conditionalFormatting sqref="F50 H50">
    <cfRule type="cellIs" dxfId="12939" priority="1895" operator="equal">
      <formula>0</formula>
    </cfRule>
  </conditionalFormatting>
  <conditionalFormatting sqref="F50">
    <cfRule type="duplicateValues" dxfId="12938" priority="1894"/>
  </conditionalFormatting>
  <conditionalFormatting sqref="F50">
    <cfRule type="duplicateValues" dxfId="12937" priority="1887"/>
    <cfRule type="duplicateValues" dxfId="12936" priority="1889"/>
  </conditionalFormatting>
  <conditionalFormatting sqref="F50 H50">
    <cfRule type="duplicateValues" dxfId="12935" priority="1888"/>
  </conditionalFormatting>
  <conditionalFormatting sqref="F50">
    <cfRule type="duplicateValues" dxfId="12934" priority="1886"/>
  </conditionalFormatting>
  <conditionalFormatting sqref="H50">
    <cfRule type="duplicateValues" dxfId="12933" priority="1885"/>
  </conditionalFormatting>
  <conditionalFormatting sqref="H50">
    <cfRule type="duplicateValues" dxfId="12932" priority="1883"/>
    <cfRule type="duplicateValues" dxfId="12931" priority="1884"/>
  </conditionalFormatting>
  <conditionalFormatting sqref="F50">
    <cfRule type="duplicateValues" dxfId="12930" priority="1896"/>
  </conditionalFormatting>
  <conditionalFormatting sqref="H50">
    <cfRule type="duplicateValues" dxfId="12929" priority="1897"/>
  </conditionalFormatting>
  <conditionalFormatting sqref="H50">
    <cfRule type="duplicateValues" dxfId="12928" priority="1880"/>
  </conditionalFormatting>
  <conditionalFormatting sqref="H50">
    <cfRule type="duplicateValues" dxfId="12927" priority="1879"/>
  </conditionalFormatting>
  <conditionalFormatting sqref="F50 H50">
    <cfRule type="cellIs" dxfId="12926" priority="1898" operator="equal">
      <formula>$O$16</formula>
    </cfRule>
    <cfRule type="cellIs" dxfId="12925" priority="1899" operator="equal">
      <formula>$O$15</formula>
    </cfRule>
    <cfRule type="cellIs" dxfId="12924" priority="1900" operator="equal">
      <formula>$O$14</formula>
    </cfRule>
    <cfRule type="cellIs" dxfId="12923" priority="1901" operator="equal">
      <formula>$O$13</formula>
    </cfRule>
    <cfRule type="cellIs" dxfId="12922" priority="1902" operator="equal">
      <formula>$O$12</formula>
    </cfRule>
    <cfRule type="cellIs" dxfId="12921" priority="1903" operator="equal">
      <formula>$O$11</formula>
    </cfRule>
  </conditionalFormatting>
  <conditionalFormatting sqref="F50 H50">
    <cfRule type="cellIs" dxfId="12920" priority="1904" operator="equal">
      <formula>$O$10</formula>
    </cfRule>
    <cfRule type="cellIs" dxfId="12919" priority="1905" operator="equal">
      <formula>$O$18</formula>
    </cfRule>
    <cfRule type="cellIs" dxfId="12918" priority="1906" operator="equal">
      <formula>$O$17</formula>
    </cfRule>
  </conditionalFormatting>
  <conditionalFormatting sqref="F50 H50">
    <cfRule type="cellIs" dxfId="12917" priority="1907" operator="equal">
      <formula>$O$13</formula>
    </cfRule>
    <cfRule type="cellIs" dxfId="12916" priority="1908" operator="equal">
      <formula>$O$12</formula>
    </cfRule>
    <cfRule type="cellIs" dxfId="12915" priority="1909" operator="equal">
      <formula>$O$11</formula>
    </cfRule>
    <cfRule type="cellIs" dxfId="12914" priority="1910" operator="equal">
      <formula>$O$10</formula>
    </cfRule>
    <cfRule type="cellIs" dxfId="12913" priority="1911" operator="equal">
      <formula>$O$9</formula>
    </cfRule>
    <cfRule type="cellIs" dxfId="12912" priority="1912" operator="equal">
      <formula>$O$8</formula>
    </cfRule>
    <cfRule type="cellIs" dxfId="12911" priority="1913" operator="equal">
      <formula>$O$7</formula>
    </cfRule>
    <cfRule type="cellIs" dxfId="12910" priority="1914" operator="equal">
      <formula>$O$6</formula>
    </cfRule>
    <cfRule type="cellIs" dxfId="12909" priority="1915" operator="equal">
      <formula>$O$5</formula>
    </cfRule>
  </conditionalFormatting>
  <conditionalFormatting sqref="F50">
    <cfRule type="duplicateValues" dxfId="12908" priority="1878"/>
  </conditionalFormatting>
  <conditionalFormatting sqref="H50">
    <cfRule type="duplicateValues" dxfId="12907" priority="1877"/>
  </conditionalFormatting>
  <conditionalFormatting sqref="L50">
    <cfRule type="cellIs" dxfId="12906" priority="1853" operator="equal">
      <formula>0</formula>
    </cfRule>
  </conditionalFormatting>
  <conditionalFormatting sqref="L50">
    <cfRule type="duplicateValues" dxfId="12905" priority="1852"/>
  </conditionalFormatting>
  <conditionalFormatting sqref="L50">
    <cfRule type="duplicateValues" dxfId="12904" priority="1845"/>
    <cfRule type="duplicateValues" dxfId="12903" priority="1847"/>
  </conditionalFormatting>
  <conditionalFormatting sqref="L50">
    <cfRule type="duplicateValues" dxfId="12902" priority="1846"/>
  </conditionalFormatting>
  <conditionalFormatting sqref="L50">
    <cfRule type="duplicateValues" dxfId="12901" priority="1844"/>
  </conditionalFormatting>
  <conditionalFormatting sqref="L50">
    <cfRule type="duplicateValues" dxfId="12900" priority="1854"/>
  </conditionalFormatting>
  <conditionalFormatting sqref="L50">
    <cfRule type="cellIs" dxfId="12899" priority="1855" operator="equal">
      <formula>$O$16</formula>
    </cfRule>
    <cfRule type="cellIs" dxfId="12898" priority="1856" operator="equal">
      <formula>$O$15</formula>
    </cfRule>
    <cfRule type="cellIs" dxfId="12897" priority="1857" operator="equal">
      <formula>$O$14</formula>
    </cfRule>
    <cfRule type="cellIs" dxfId="12896" priority="1858" operator="equal">
      <formula>$O$13</formula>
    </cfRule>
    <cfRule type="cellIs" dxfId="12895" priority="1859" operator="equal">
      <formula>$O$12</formula>
    </cfRule>
    <cfRule type="cellIs" dxfId="12894" priority="1860" operator="equal">
      <formula>$O$11</formula>
    </cfRule>
  </conditionalFormatting>
  <conditionalFormatting sqref="L50">
    <cfRule type="cellIs" dxfId="12893" priority="1861" operator="equal">
      <formula>$O$10</formula>
    </cfRule>
    <cfRule type="cellIs" dxfId="12892" priority="1862" operator="equal">
      <formula>$O$18</formula>
    </cfRule>
    <cfRule type="cellIs" dxfId="12891" priority="1863" operator="equal">
      <formula>$O$17</formula>
    </cfRule>
  </conditionalFormatting>
  <conditionalFormatting sqref="L50">
    <cfRule type="cellIs" dxfId="12890" priority="1864" operator="equal">
      <formula>$O$13</formula>
    </cfRule>
    <cfRule type="cellIs" dxfId="12889" priority="1865" operator="equal">
      <formula>$O$12</formula>
    </cfRule>
    <cfRule type="cellIs" dxfId="12888" priority="1866" operator="equal">
      <formula>$O$11</formula>
    </cfRule>
    <cfRule type="cellIs" dxfId="12887" priority="1867" operator="equal">
      <formula>$O$10</formula>
    </cfRule>
    <cfRule type="cellIs" dxfId="12886" priority="1868" operator="equal">
      <formula>$O$9</formula>
    </cfRule>
    <cfRule type="cellIs" dxfId="12885" priority="1869" operator="equal">
      <formula>$O$8</formula>
    </cfRule>
    <cfRule type="cellIs" dxfId="12884" priority="1870" operator="equal">
      <formula>$O$7</formula>
    </cfRule>
    <cfRule type="cellIs" dxfId="12883" priority="1871" operator="equal">
      <formula>$O$6</formula>
    </cfRule>
    <cfRule type="cellIs" dxfId="12882" priority="1872" operator="equal">
      <formula>$O$5</formula>
    </cfRule>
  </conditionalFormatting>
  <conditionalFormatting sqref="L50">
    <cfRule type="duplicateValues" dxfId="12881" priority="1841"/>
  </conditionalFormatting>
  <conditionalFormatting sqref="N50">
    <cfRule type="cellIs" dxfId="12880" priority="1817" operator="equal">
      <formula>0</formula>
    </cfRule>
  </conditionalFormatting>
  <conditionalFormatting sqref="N50">
    <cfRule type="duplicateValues" dxfId="12879" priority="1816"/>
  </conditionalFormatting>
  <conditionalFormatting sqref="N50">
    <cfRule type="duplicateValues" dxfId="12878" priority="1809"/>
    <cfRule type="duplicateValues" dxfId="12877" priority="1811"/>
  </conditionalFormatting>
  <conditionalFormatting sqref="N50">
    <cfRule type="duplicateValues" dxfId="12876" priority="1810"/>
  </conditionalFormatting>
  <conditionalFormatting sqref="N50">
    <cfRule type="duplicateValues" dxfId="12875" priority="1808"/>
  </conditionalFormatting>
  <conditionalFormatting sqref="N50">
    <cfRule type="duplicateValues" dxfId="12874" priority="1818"/>
  </conditionalFormatting>
  <conditionalFormatting sqref="N50">
    <cfRule type="cellIs" dxfId="12873" priority="1819" operator="equal">
      <formula>$O$16</formula>
    </cfRule>
    <cfRule type="cellIs" dxfId="12872" priority="1820" operator="equal">
      <formula>$O$15</formula>
    </cfRule>
    <cfRule type="cellIs" dxfId="12871" priority="1821" operator="equal">
      <formula>$O$14</formula>
    </cfRule>
    <cfRule type="cellIs" dxfId="12870" priority="1822" operator="equal">
      <formula>$O$13</formula>
    </cfRule>
    <cfRule type="cellIs" dxfId="12869" priority="1823" operator="equal">
      <formula>$O$12</formula>
    </cfRule>
    <cfRule type="cellIs" dxfId="12868" priority="1824" operator="equal">
      <formula>$O$11</formula>
    </cfRule>
  </conditionalFormatting>
  <conditionalFormatting sqref="N50">
    <cfRule type="cellIs" dxfId="12867" priority="1825" operator="equal">
      <formula>$O$10</formula>
    </cfRule>
    <cfRule type="cellIs" dxfId="12866" priority="1826" operator="equal">
      <formula>$O$18</formula>
    </cfRule>
    <cfRule type="cellIs" dxfId="12865" priority="1827" operator="equal">
      <formula>$O$17</formula>
    </cfRule>
  </conditionalFormatting>
  <conditionalFormatting sqref="N50">
    <cfRule type="cellIs" dxfId="12864" priority="1828" operator="equal">
      <formula>$O$13</formula>
    </cfRule>
    <cfRule type="cellIs" dxfId="12863" priority="1829" operator="equal">
      <formula>$O$12</formula>
    </cfRule>
    <cfRule type="cellIs" dxfId="12862" priority="1830" operator="equal">
      <formula>$O$11</formula>
    </cfRule>
    <cfRule type="cellIs" dxfId="12861" priority="1831" operator="equal">
      <formula>$O$10</formula>
    </cfRule>
    <cfRule type="cellIs" dxfId="12860" priority="1832" operator="equal">
      <formula>$O$9</formula>
    </cfRule>
    <cfRule type="cellIs" dxfId="12859" priority="1833" operator="equal">
      <formula>$O$8</formula>
    </cfRule>
    <cfRule type="cellIs" dxfId="12858" priority="1834" operator="equal">
      <formula>$O$7</formula>
    </cfRule>
    <cfRule type="cellIs" dxfId="12857" priority="1835" operator="equal">
      <formula>$O$6</formula>
    </cfRule>
    <cfRule type="cellIs" dxfId="12856" priority="1836" operator="equal">
      <formula>$O$5</formula>
    </cfRule>
  </conditionalFormatting>
  <conditionalFormatting sqref="N50">
    <cfRule type="duplicateValues" dxfId="12855" priority="1805"/>
  </conditionalFormatting>
  <conditionalFormatting sqref="F50 L50 H50 N50">
    <cfRule type="duplicateValues" dxfId="12854" priority="1804"/>
  </conditionalFormatting>
  <conditionalFormatting sqref="F38:F50">
    <cfRule type="duplicateValues" dxfId="12853" priority="1795"/>
  </conditionalFormatting>
  <conditionalFormatting sqref="F51 L51 H51 N51">
    <cfRule type="cellIs" dxfId="12852" priority="1794" operator="equal">
      <formula>0</formula>
    </cfRule>
  </conditionalFormatting>
  <conditionalFormatting sqref="F51 H51 L51 N51">
    <cfRule type="cellIs" dxfId="12851" priority="1788" operator="equal">
      <formula>$O$16</formula>
    </cfRule>
    <cfRule type="cellIs" dxfId="12850" priority="1789" operator="equal">
      <formula>$O$15</formula>
    </cfRule>
    <cfRule type="cellIs" dxfId="12849" priority="1790" operator="equal">
      <formula>$O$14</formula>
    </cfRule>
    <cfRule type="cellIs" dxfId="12848" priority="1791" operator="equal">
      <formula>$O$13</formula>
    </cfRule>
    <cfRule type="cellIs" dxfId="12847" priority="1792" operator="equal">
      <formula>$O$12</formula>
    </cfRule>
    <cfRule type="cellIs" dxfId="12846" priority="1793" operator="equal">
      <formula>$O$11</formula>
    </cfRule>
  </conditionalFormatting>
  <conditionalFormatting sqref="L51 N51">
    <cfRule type="cellIs" dxfId="12845" priority="1779" operator="equal">
      <formula>$O$13</formula>
    </cfRule>
    <cfRule type="cellIs" dxfId="12844" priority="1780" operator="equal">
      <formula>$O$12</formula>
    </cfRule>
    <cfRule type="cellIs" dxfId="12843" priority="1781" operator="equal">
      <formula>$O$11</formula>
    </cfRule>
    <cfRule type="cellIs" dxfId="12842" priority="1782" operator="equal">
      <formula>$O$10</formula>
    </cfRule>
    <cfRule type="cellIs" dxfId="12841" priority="1783" operator="equal">
      <formula>$O$9</formula>
    </cfRule>
    <cfRule type="cellIs" dxfId="12840" priority="1784" operator="equal">
      <formula>$O$8</formula>
    </cfRule>
    <cfRule type="cellIs" dxfId="12839" priority="1785" operator="equal">
      <formula>$O$7</formula>
    </cfRule>
    <cfRule type="cellIs" dxfId="12838" priority="1786" operator="equal">
      <formula>$O$6</formula>
    </cfRule>
    <cfRule type="cellIs" dxfId="12837" priority="1787" operator="equal">
      <formula>$O$5</formula>
    </cfRule>
  </conditionalFormatting>
  <conditionalFormatting sqref="F51">
    <cfRule type="duplicateValues" dxfId="12836" priority="1778"/>
  </conditionalFormatting>
  <conditionalFormatting sqref="H51">
    <cfRule type="duplicateValues" dxfId="12835" priority="1777"/>
  </conditionalFormatting>
  <conditionalFormatting sqref="L51">
    <cfRule type="duplicateValues" dxfId="12834" priority="1776"/>
  </conditionalFormatting>
  <conditionalFormatting sqref="N51">
    <cfRule type="duplicateValues" dxfId="12833" priority="1775"/>
  </conditionalFormatting>
  <conditionalFormatting sqref="F51 H51">
    <cfRule type="cellIs" dxfId="12832" priority="1750" operator="equal">
      <formula>0</formula>
    </cfRule>
  </conditionalFormatting>
  <conditionalFormatting sqref="F51">
    <cfRule type="duplicateValues" dxfId="12831" priority="1749"/>
  </conditionalFormatting>
  <conditionalFormatting sqref="F51">
    <cfRule type="duplicateValues" dxfId="12830" priority="1742"/>
    <cfRule type="duplicateValues" dxfId="12829" priority="1744"/>
  </conditionalFormatting>
  <conditionalFormatting sqref="F51 H51">
    <cfRule type="duplicateValues" dxfId="12828" priority="1743"/>
  </conditionalFormatting>
  <conditionalFormatting sqref="F51">
    <cfRule type="duplicateValues" dxfId="12827" priority="1741"/>
  </conditionalFormatting>
  <conditionalFormatting sqref="H51">
    <cfRule type="duplicateValues" dxfId="12826" priority="1740"/>
  </conditionalFormatting>
  <conditionalFormatting sqref="H51">
    <cfRule type="duplicateValues" dxfId="12825" priority="1738"/>
    <cfRule type="duplicateValues" dxfId="12824" priority="1739"/>
  </conditionalFormatting>
  <conditionalFormatting sqref="F51">
    <cfRule type="duplicateValues" dxfId="12823" priority="1751"/>
  </conditionalFormatting>
  <conditionalFormatting sqref="H51">
    <cfRule type="duplicateValues" dxfId="12822" priority="1752"/>
  </conditionalFormatting>
  <conditionalFormatting sqref="H51">
    <cfRule type="duplicateValues" dxfId="12821" priority="1735"/>
  </conditionalFormatting>
  <conditionalFormatting sqref="H51">
    <cfRule type="duplicateValues" dxfId="12820" priority="1734"/>
  </conditionalFormatting>
  <conditionalFormatting sqref="F51 H51">
    <cfRule type="cellIs" dxfId="12819" priority="1753" operator="equal">
      <formula>$O$16</formula>
    </cfRule>
    <cfRule type="cellIs" dxfId="12818" priority="1754" operator="equal">
      <formula>$O$15</formula>
    </cfRule>
    <cfRule type="cellIs" dxfId="12817" priority="1755" operator="equal">
      <formula>$O$14</formula>
    </cfRule>
    <cfRule type="cellIs" dxfId="12816" priority="1756" operator="equal">
      <formula>$O$13</formula>
    </cfRule>
    <cfRule type="cellIs" dxfId="12815" priority="1757" operator="equal">
      <formula>$O$12</formula>
    </cfRule>
    <cfRule type="cellIs" dxfId="12814" priority="1758" operator="equal">
      <formula>$O$11</formula>
    </cfRule>
  </conditionalFormatting>
  <conditionalFormatting sqref="F51 H51">
    <cfRule type="cellIs" dxfId="12813" priority="1759" operator="equal">
      <formula>$O$10</formula>
    </cfRule>
    <cfRule type="cellIs" dxfId="12812" priority="1760" operator="equal">
      <formula>$O$18</formula>
    </cfRule>
    <cfRule type="cellIs" dxfId="12811" priority="1761" operator="equal">
      <formula>$O$17</formula>
    </cfRule>
  </conditionalFormatting>
  <conditionalFormatting sqref="F51 H51">
    <cfRule type="cellIs" dxfId="12810" priority="1762" operator="equal">
      <formula>$O$13</formula>
    </cfRule>
    <cfRule type="cellIs" dxfId="12809" priority="1763" operator="equal">
      <formula>$O$12</formula>
    </cfRule>
    <cfRule type="cellIs" dxfId="12808" priority="1764" operator="equal">
      <formula>$O$11</formula>
    </cfRule>
    <cfRule type="cellIs" dxfId="12807" priority="1765" operator="equal">
      <formula>$O$10</formula>
    </cfRule>
    <cfRule type="cellIs" dxfId="12806" priority="1766" operator="equal">
      <formula>$O$9</formula>
    </cfRule>
    <cfRule type="cellIs" dxfId="12805" priority="1767" operator="equal">
      <formula>$O$8</formula>
    </cfRule>
    <cfRule type="cellIs" dxfId="12804" priority="1768" operator="equal">
      <formula>$O$7</formula>
    </cfRule>
    <cfRule type="cellIs" dxfId="12803" priority="1769" operator="equal">
      <formula>$O$6</formula>
    </cfRule>
    <cfRule type="cellIs" dxfId="12802" priority="1770" operator="equal">
      <formula>$O$5</formula>
    </cfRule>
  </conditionalFormatting>
  <conditionalFormatting sqref="F51">
    <cfRule type="duplicateValues" dxfId="12801" priority="1733"/>
  </conditionalFormatting>
  <conditionalFormatting sqref="H51">
    <cfRule type="duplicateValues" dxfId="12800" priority="1732"/>
  </conditionalFormatting>
  <conditionalFormatting sqref="L51">
    <cfRule type="cellIs" dxfId="12799" priority="1708" operator="equal">
      <formula>0</formula>
    </cfRule>
  </conditionalFormatting>
  <conditionalFormatting sqref="L51">
    <cfRule type="duplicateValues" dxfId="12798" priority="1707"/>
  </conditionalFormatting>
  <conditionalFormatting sqref="L51">
    <cfRule type="duplicateValues" dxfId="12797" priority="1700"/>
    <cfRule type="duplicateValues" dxfId="12796" priority="1702"/>
  </conditionalFormatting>
  <conditionalFormatting sqref="L51">
    <cfRule type="duplicateValues" dxfId="12795" priority="1701"/>
  </conditionalFormatting>
  <conditionalFormatting sqref="L51">
    <cfRule type="duplicateValues" dxfId="12794" priority="1699"/>
  </conditionalFormatting>
  <conditionalFormatting sqref="L51">
    <cfRule type="duplicateValues" dxfId="12793" priority="1709"/>
  </conditionalFormatting>
  <conditionalFormatting sqref="L51">
    <cfRule type="cellIs" dxfId="12792" priority="1710" operator="equal">
      <formula>$O$16</formula>
    </cfRule>
    <cfRule type="cellIs" dxfId="12791" priority="1711" operator="equal">
      <formula>$O$15</formula>
    </cfRule>
    <cfRule type="cellIs" dxfId="12790" priority="1712" operator="equal">
      <formula>$O$14</formula>
    </cfRule>
    <cfRule type="cellIs" dxfId="12789" priority="1713" operator="equal">
      <formula>$O$13</formula>
    </cfRule>
    <cfRule type="cellIs" dxfId="12788" priority="1714" operator="equal">
      <formula>$O$12</formula>
    </cfRule>
    <cfRule type="cellIs" dxfId="12787" priority="1715" operator="equal">
      <formula>$O$11</formula>
    </cfRule>
  </conditionalFormatting>
  <conditionalFormatting sqref="L51">
    <cfRule type="cellIs" dxfId="12786" priority="1716" operator="equal">
      <formula>$O$10</formula>
    </cfRule>
    <cfRule type="cellIs" dxfId="12785" priority="1717" operator="equal">
      <formula>$O$18</formula>
    </cfRule>
    <cfRule type="cellIs" dxfId="12784" priority="1718" operator="equal">
      <formula>$O$17</formula>
    </cfRule>
  </conditionalFormatting>
  <conditionalFormatting sqref="L51">
    <cfRule type="cellIs" dxfId="12783" priority="1719" operator="equal">
      <formula>$O$13</formula>
    </cfRule>
    <cfRule type="cellIs" dxfId="12782" priority="1720" operator="equal">
      <formula>$O$12</formula>
    </cfRule>
    <cfRule type="cellIs" dxfId="12781" priority="1721" operator="equal">
      <formula>$O$11</formula>
    </cfRule>
    <cfRule type="cellIs" dxfId="12780" priority="1722" operator="equal">
      <formula>$O$10</formula>
    </cfRule>
    <cfRule type="cellIs" dxfId="12779" priority="1723" operator="equal">
      <formula>$O$9</formula>
    </cfRule>
    <cfRule type="cellIs" dxfId="12778" priority="1724" operator="equal">
      <formula>$O$8</formula>
    </cfRule>
    <cfRule type="cellIs" dxfId="12777" priority="1725" operator="equal">
      <formula>$O$7</formula>
    </cfRule>
    <cfRule type="cellIs" dxfId="12776" priority="1726" operator="equal">
      <formula>$O$6</formula>
    </cfRule>
    <cfRule type="cellIs" dxfId="12775" priority="1727" operator="equal">
      <formula>$O$5</formula>
    </cfRule>
  </conditionalFormatting>
  <conditionalFormatting sqref="L51">
    <cfRule type="duplicateValues" dxfId="12774" priority="1696"/>
  </conditionalFormatting>
  <conditionalFormatting sqref="N51">
    <cfRule type="cellIs" dxfId="12773" priority="1672" operator="equal">
      <formula>0</formula>
    </cfRule>
  </conditionalFormatting>
  <conditionalFormatting sqref="N51">
    <cfRule type="duplicateValues" dxfId="12772" priority="1671"/>
  </conditionalFormatting>
  <conditionalFormatting sqref="N51">
    <cfRule type="duplicateValues" dxfId="12771" priority="1664"/>
    <cfRule type="duplicateValues" dxfId="12770" priority="1666"/>
  </conditionalFormatting>
  <conditionalFormatting sqref="N51">
    <cfRule type="duplicateValues" dxfId="12769" priority="1665"/>
  </conditionalFormatting>
  <conditionalFormatting sqref="N51">
    <cfRule type="duplicateValues" dxfId="12768" priority="1663"/>
  </conditionalFormatting>
  <conditionalFormatting sqref="N51">
    <cfRule type="duplicateValues" dxfId="12767" priority="1673"/>
  </conditionalFormatting>
  <conditionalFormatting sqref="N51">
    <cfRule type="cellIs" dxfId="12766" priority="1674" operator="equal">
      <formula>$O$16</formula>
    </cfRule>
    <cfRule type="cellIs" dxfId="12765" priority="1675" operator="equal">
      <formula>$O$15</formula>
    </cfRule>
    <cfRule type="cellIs" dxfId="12764" priority="1676" operator="equal">
      <formula>$O$14</formula>
    </cfRule>
    <cfRule type="cellIs" dxfId="12763" priority="1677" operator="equal">
      <formula>$O$13</formula>
    </cfRule>
    <cfRule type="cellIs" dxfId="12762" priority="1678" operator="equal">
      <formula>$O$12</formula>
    </cfRule>
    <cfRule type="cellIs" dxfId="12761" priority="1679" operator="equal">
      <formula>$O$11</formula>
    </cfRule>
  </conditionalFormatting>
  <conditionalFormatting sqref="N51">
    <cfRule type="cellIs" dxfId="12760" priority="1680" operator="equal">
      <formula>$O$10</formula>
    </cfRule>
    <cfRule type="cellIs" dxfId="12759" priority="1681" operator="equal">
      <formula>$O$18</formula>
    </cfRule>
    <cfRule type="cellIs" dxfId="12758" priority="1682" operator="equal">
      <formula>$O$17</formula>
    </cfRule>
  </conditionalFormatting>
  <conditionalFormatting sqref="N51">
    <cfRule type="cellIs" dxfId="12757" priority="1683" operator="equal">
      <formula>$O$13</formula>
    </cfRule>
    <cfRule type="cellIs" dxfId="12756" priority="1684" operator="equal">
      <formula>$O$12</formula>
    </cfRule>
    <cfRule type="cellIs" dxfId="12755" priority="1685" operator="equal">
      <formula>$O$11</formula>
    </cfRule>
    <cfRule type="cellIs" dxfId="12754" priority="1686" operator="equal">
      <formula>$O$10</formula>
    </cfRule>
    <cfRule type="cellIs" dxfId="12753" priority="1687" operator="equal">
      <formula>$O$9</formula>
    </cfRule>
    <cfRule type="cellIs" dxfId="12752" priority="1688" operator="equal">
      <formula>$O$8</formula>
    </cfRule>
    <cfRule type="cellIs" dxfId="12751" priority="1689" operator="equal">
      <formula>$O$7</formula>
    </cfRule>
    <cfRule type="cellIs" dxfId="12750" priority="1690" operator="equal">
      <formula>$O$6</formula>
    </cfRule>
    <cfRule type="cellIs" dxfId="12749" priority="1691" operator="equal">
      <formula>$O$5</formula>
    </cfRule>
  </conditionalFormatting>
  <conditionalFormatting sqref="N51">
    <cfRule type="duplicateValues" dxfId="12748" priority="1660"/>
  </conditionalFormatting>
  <conditionalFormatting sqref="F51 L51 H51 N51">
    <cfRule type="duplicateValues" dxfId="12747" priority="1659"/>
  </conditionalFormatting>
  <conditionalFormatting sqref="F51">
    <cfRule type="duplicateValues" dxfId="12746" priority="1658"/>
  </conditionalFormatting>
  <conditionalFormatting sqref="F38:F51">
    <cfRule type="duplicateValues" dxfId="12745" priority="1657"/>
  </conditionalFormatting>
  <conditionalFormatting sqref="H38:H51">
    <cfRule type="duplicateValues" dxfId="12744" priority="1656"/>
  </conditionalFormatting>
  <conditionalFormatting sqref="L38:L51">
    <cfRule type="duplicateValues" dxfId="12743" priority="1655"/>
  </conditionalFormatting>
  <conditionalFormatting sqref="N38:N51">
    <cfRule type="duplicateValues" dxfId="12742" priority="1646"/>
    <cfRule type="duplicateValues" dxfId="12741" priority="1654"/>
  </conditionalFormatting>
  <conditionalFormatting sqref="F38:F51">
    <cfRule type="containsText" dxfId="12740" priority="1652" operator="containsText" text="(HEM)">
      <formula>NOT(ISERROR(SEARCH("(HEM)",F38)))</formula>
    </cfRule>
    <cfRule type="containsText" dxfId="12739" priority="1653" operator="containsText" text="(SV)">
      <formula>NOT(ISERROR(SEARCH("(SV)",F38)))</formula>
    </cfRule>
  </conditionalFormatting>
  <conditionalFormatting sqref="F38:F51">
    <cfRule type="duplicateValues" dxfId="12738" priority="1647"/>
  </conditionalFormatting>
  <conditionalFormatting sqref="F22:F23">
    <cfRule type="duplicateValues" dxfId="12737" priority="1578"/>
  </conditionalFormatting>
  <conditionalFormatting sqref="F21 F24:F31">
    <cfRule type="duplicateValues" dxfId="12736" priority="1577"/>
  </conditionalFormatting>
  <conditionalFormatting sqref="H21:H31">
    <cfRule type="duplicateValues" dxfId="12735" priority="1576"/>
  </conditionalFormatting>
  <conditionalFormatting sqref="L21:L31">
    <cfRule type="duplicateValues" dxfId="12734" priority="1575"/>
  </conditionalFormatting>
  <conditionalFormatting sqref="N21:N31">
    <cfRule type="duplicateValues" dxfId="12733" priority="1574"/>
  </conditionalFormatting>
  <conditionalFormatting sqref="F32:F33">
    <cfRule type="duplicateValues" dxfId="12732" priority="1573"/>
  </conditionalFormatting>
  <conditionalFormatting sqref="H32:H33">
    <cfRule type="duplicateValues" dxfId="12731" priority="1572"/>
  </conditionalFormatting>
  <conditionalFormatting sqref="L32:L33">
    <cfRule type="duplicateValues" dxfId="12730" priority="1571"/>
  </conditionalFormatting>
  <conditionalFormatting sqref="N32:N33">
    <cfRule type="duplicateValues" dxfId="12729" priority="1570"/>
  </conditionalFormatting>
  <conditionalFormatting sqref="F22:F23">
    <cfRule type="duplicateValues" dxfId="12728" priority="1568"/>
    <cfRule type="duplicateValues" dxfId="12727" priority="1569"/>
  </conditionalFormatting>
  <conditionalFormatting sqref="H22:H23">
    <cfRule type="duplicateValues" dxfId="12726" priority="1559"/>
  </conditionalFormatting>
  <conditionalFormatting sqref="H21 H24:H31">
    <cfRule type="duplicateValues" dxfId="12725" priority="1558"/>
  </conditionalFormatting>
  <conditionalFormatting sqref="H22:H23">
    <cfRule type="duplicateValues" dxfId="12724" priority="1556"/>
    <cfRule type="duplicateValues" dxfId="12723" priority="1557"/>
  </conditionalFormatting>
  <conditionalFormatting sqref="L22:L23">
    <cfRule type="duplicateValues" dxfId="12722" priority="1555"/>
  </conditionalFormatting>
  <conditionalFormatting sqref="L21 L24:L31">
    <cfRule type="duplicateValues" dxfId="12721" priority="1554"/>
  </conditionalFormatting>
  <conditionalFormatting sqref="L22:L23">
    <cfRule type="duplicateValues" dxfId="12720" priority="1552"/>
    <cfRule type="duplicateValues" dxfId="12719" priority="1553"/>
  </conditionalFormatting>
  <conditionalFormatting sqref="N22:N23">
    <cfRule type="duplicateValues" dxfId="12718" priority="1551"/>
  </conditionalFormatting>
  <conditionalFormatting sqref="N21 N24:N31">
    <cfRule type="duplicateValues" dxfId="12717" priority="1550"/>
  </conditionalFormatting>
  <conditionalFormatting sqref="N22:N23">
    <cfRule type="duplicateValues" dxfId="12716" priority="1548"/>
    <cfRule type="duplicateValues" dxfId="12715" priority="1549"/>
  </conditionalFormatting>
  <conditionalFormatting sqref="L21">
    <cfRule type="duplicateValues" dxfId="12714" priority="1547"/>
  </conditionalFormatting>
  <conditionalFormatting sqref="N21">
    <cfRule type="duplicateValues" dxfId="12713" priority="1546"/>
  </conditionalFormatting>
  <conditionalFormatting sqref="H21">
    <cfRule type="duplicateValues" dxfId="12712" priority="1545"/>
  </conditionalFormatting>
  <conditionalFormatting sqref="F21:F33">
    <cfRule type="duplicateValues" dxfId="12711" priority="1544"/>
  </conditionalFormatting>
  <conditionalFormatting sqref="E21:H21 K21:N21">
    <cfRule type="duplicateValues" dxfId="12710" priority="1541"/>
  </conditionalFormatting>
  <conditionalFormatting sqref="E22:H22 K22:N22">
    <cfRule type="duplicateValues" dxfId="12709" priority="1540"/>
  </conditionalFormatting>
  <conditionalFormatting sqref="K23:N23 E23:H23">
    <cfRule type="duplicateValues" dxfId="12708" priority="1539"/>
  </conditionalFormatting>
  <conditionalFormatting sqref="F24:H24 K24:N24">
    <cfRule type="duplicateValues" dxfId="12707" priority="1538"/>
  </conditionalFormatting>
  <conditionalFormatting sqref="E25:H25 K25:N25">
    <cfRule type="duplicateValues" dxfId="12706" priority="1537"/>
  </conditionalFormatting>
  <conditionalFormatting sqref="E26:H26 K26:N26">
    <cfRule type="duplicateValues" dxfId="12705" priority="1536"/>
  </conditionalFormatting>
  <conditionalFormatting sqref="E27:H27 K27:N27">
    <cfRule type="duplicateValues" dxfId="12704" priority="1535"/>
  </conditionalFormatting>
  <conditionalFormatting sqref="E28:H28 K28:N28">
    <cfRule type="duplicateValues" dxfId="12703" priority="1534"/>
  </conditionalFormatting>
  <conditionalFormatting sqref="E29:H29 K29:N29">
    <cfRule type="duplicateValues" dxfId="12702" priority="1533"/>
  </conditionalFormatting>
  <conditionalFormatting sqref="E30:H30 K30:N30 F31">
    <cfRule type="duplicateValues" dxfId="12701" priority="1532"/>
  </conditionalFormatting>
  <conditionalFormatting sqref="K31:N31 E31:H31">
    <cfRule type="duplicateValues" dxfId="12700" priority="1531"/>
  </conditionalFormatting>
  <conditionalFormatting sqref="E32:H32 K32:N32">
    <cfRule type="duplicateValues" dxfId="12699" priority="1530"/>
  </conditionalFormatting>
  <conditionalFormatting sqref="E33:H33 K33:N33">
    <cfRule type="duplicateValues" dxfId="12698" priority="1529"/>
  </conditionalFormatting>
  <conditionalFormatting sqref="I21 E21:H34 K21:N34">
    <cfRule type="cellIs" dxfId="12697" priority="1528" operator="equal">
      <formula>0</formula>
    </cfRule>
  </conditionalFormatting>
  <conditionalFormatting sqref="F21:F34">
    <cfRule type="duplicateValues" dxfId="12696" priority="1581"/>
  </conditionalFormatting>
  <conditionalFormatting sqref="L21:L34">
    <cfRule type="duplicateValues" dxfId="12695" priority="1582"/>
  </conditionalFormatting>
  <conditionalFormatting sqref="H21:H34">
    <cfRule type="duplicateValues" dxfId="12694" priority="1583"/>
  </conditionalFormatting>
  <conditionalFormatting sqref="H21:H33">
    <cfRule type="duplicateValues" dxfId="12693" priority="1527"/>
  </conditionalFormatting>
  <conditionalFormatting sqref="L21:L33">
    <cfRule type="duplicateValues" dxfId="12692" priority="1526"/>
  </conditionalFormatting>
  <conditionalFormatting sqref="E21:I21 E22:H34 K21:N34">
    <cfRule type="cellIs" dxfId="12691" priority="1520" operator="equal">
      <formula>$O$11</formula>
    </cfRule>
    <cfRule type="cellIs" dxfId="12690" priority="1521" operator="equal">
      <formula>$O$9</formula>
    </cfRule>
    <cfRule type="cellIs" dxfId="12689" priority="1522" operator="equal">
      <formula>$O$8</formula>
    </cfRule>
    <cfRule type="cellIs" dxfId="12688" priority="1523" operator="equal">
      <formula>$O$7</formula>
    </cfRule>
    <cfRule type="cellIs" dxfId="12687" priority="1524" operator="equal">
      <formula>$O$6</formula>
    </cfRule>
    <cfRule type="cellIs" dxfId="12686" priority="1525" operator="equal">
      <formula>$O$5</formula>
    </cfRule>
  </conditionalFormatting>
  <conditionalFormatting sqref="L21:L33 H21:H33 N21:N33 F21:F33">
    <cfRule type="cellIs" dxfId="12685" priority="1514" operator="equal">
      <formula>$O$16</formula>
    </cfRule>
    <cfRule type="cellIs" dxfId="12684" priority="1515" operator="equal">
      <formula>$O$15</formula>
    </cfRule>
    <cfRule type="cellIs" dxfId="12683" priority="1516" operator="equal">
      <formula>$O$14</formula>
    </cfRule>
    <cfRule type="cellIs" dxfId="12682" priority="1517" operator="equal">
      <formula>$O$13</formula>
    </cfRule>
    <cfRule type="cellIs" dxfId="12681" priority="1518" operator="equal">
      <formula>$O$12</formula>
    </cfRule>
    <cfRule type="cellIs" dxfId="12680" priority="1519" operator="equal">
      <formula>$O$11</formula>
    </cfRule>
  </conditionalFormatting>
  <conditionalFormatting sqref="H21:H33 F21:F33 L21:L34 N21:N34">
    <cfRule type="cellIs" dxfId="12679" priority="1511" operator="equal">
      <formula>$O$10</formula>
    </cfRule>
    <cfRule type="cellIs" dxfId="12678" priority="1512" operator="equal">
      <formula>$O$18</formula>
    </cfRule>
    <cfRule type="cellIs" dxfId="12677" priority="1513" operator="equal">
      <formula>$O$17</formula>
    </cfRule>
  </conditionalFormatting>
  <conditionalFormatting sqref="L21:L33 H21:H33 N21:N33 F21:F34">
    <cfRule type="cellIs" dxfId="12676" priority="1502" operator="equal">
      <formula>$O$13</formula>
    </cfRule>
    <cfRule type="cellIs" dxfId="12675" priority="1503" operator="equal">
      <formula>$O$12</formula>
    </cfRule>
    <cfRule type="cellIs" dxfId="12674" priority="1504" operator="equal">
      <formula>$O$11</formula>
    </cfRule>
    <cfRule type="cellIs" dxfId="12673" priority="1505" operator="equal">
      <formula>$O$10</formula>
    </cfRule>
    <cfRule type="cellIs" dxfId="12672" priority="1506" operator="equal">
      <formula>$O$9</formula>
    </cfRule>
    <cfRule type="cellIs" dxfId="12671" priority="1507" operator="equal">
      <formula>$O$8</formula>
    </cfRule>
    <cfRule type="cellIs" dxfId="12670" priority="1508" operator="equal">
      <formula>$O$7</formula>
    </cfRule>
    <cfRule type="cellIs" dxfId="12669" priority="1509" operator="equal">
      <formula>$O$6</formula>
    </cfRule>
    <cfRule type="cellIs" dxfId="12668" priority="1510" operator="equal">
      <formula>$O$5</formula>
    </cfRule>
  </conditionalFormatting>
  <conditionalFormatting sqref="N21:N33">
    <cfRule type="duplicateValues" dxfId="12667" priority="1497"/>
    <cfRule type="duplicateValues" dxfId="12666" priority="1501"/>
  </conditionalFormatting>
  <conditionalFormatting sqref="H21:H33">
    <cfRule type="duplicateValues" dxfId="12665" priority="1500"/>
  </conditionalFormatting>
  <conditionalFormatting sqref="L21:L33">
    <cfRule type="duplicateValues" dxfId="12664" priority="1499"/>
  </conditionalFormatting>
  <conditionalFormatting sqref="N21:N33">
    <cfRule type="duplicateValues" dxfId="12663" priority="1498"/>
  </conditionalFormatting>
  <conditionalFormatting sqref="E34">
    <cfRule type="duplicateValues" dxfId="12662" priority="1489"/>
  </conditionalFormatting>
  <conditionalFormatting sqref="H34">
    <cfRule type="duplicateValues" dxfId="12661" priority="1488"/>
  </conditionalFormatting>
  <conditionalFormatting sqref="H34">
    <cfRule type="cellIs" dxfId="12660" priority="1479" operator="equal">
      <formula>$O$13</formula>
    </cfRule>
    <cfRule type="cellIs" dxfId="12659" priority="1480" operator="equal">
      <formula>$O$12</formula>
    </cfRule>
    <cfRule type="cellIs" dxfId="12658" priority="1481" operator="equal">
      <formula>$O$11</formula>
    </cfRule>
    <cfRule type="cellIs" dxfId="12657" priority="1482" operator="equal">
      <formula>$O$10</formula>
    </cfRule>
    <cfRule type="cellIs" dxfId="12656" priority="1483" operator="equal">
      <formula>$O$9</formula>
    </cfRule>
    <cfRule type="cellIs" dxfId="12655" priority="1484" operator="equal">
      <formula>$O$8</formula>
    </cfRule>
    <cfRule type="cellIs" dxfId="12654" priority="1485" operator="equal">
      <formula>$O$7</formula>
    </cfRule>
    <cfRule type="cellIs" dxfId="12653" priority="1486" operator="equal">
      <formula>$O$6</formula>
    </cfRule>
    <cfRule type="cellIs" dxfId="12652" priority="1487" operator="equal">
      <formula>$O$5</formula>
    </cfRule>
  </conditionalFormatting>
  <conditionalFormatting sqref="G34">
    <cfRule type="duplicateValues" dxfId="12651" priority="1478"/>
  </conditionalFormatting>
  <conditionalFormatting sqref="L34">
    <cfRule type="duplicateValues" dxfId="12650" priority="1477"/>
  </conditionalFormatting>
  <conditionalFormatting sqref="L34">
    <cfRule type="cellIs" dxfId="12649" priority="1468" operator="equal">
      <formula>$O$13</formula>
    </cfRule>
    <cfRule type="cellIs" dxfId="12648" priority="1469" operator="equal">
      <formula>$O$12</formula>
    </cfRule>
    <cfRule type="cellIs" dxfId="12647" priority="1470" operator="equal">
      <formula>$O$11</formula>
    </cfRule>
    <cfRule type="cellIs" dxfId="12646" priority="1471" operator="equal">
      <formula>$O$10</formula>
    </cfRule>
    <cfRule type="cellIs" dxfId="12645" priority="1472" operator="equal">
      <formula>$O$9</formula>
    </cfRule>
    <cfRule type="cellIs" dxfId="12644" priority="1473" operator="equal">
      <formula>$O$8</formula>
    </cfRule>
    <cfRule type="cellIs" dxfId="12643" priority="1474" operator="equal">
      <formula>$O$7</formula>
    </cfRule>
    <cfRule type="cellIs" dxfId="12642" priority="1475" operator="equal">
      <formula>$O$6</formula>
    </cfRule>
    <cfRule type="cellIs" dxfId="12641" priority="1476" operator="equal">
      <formula>$O$5</formula>
    </cfRule>
  </conditionalFormatting>
  <conditionalFormatting sqref="K34">
    <cfRule type="duplicateValues" dxfId="12640" priority="1467"/>
  </conditionalFormatting>
  <conditionalFormatting sqref="N34">
    <cfRule type="duplicateValues" dxfId="12639" priority="1466"/>
  </conditionalFormatting>
  <conditionalFormatting sqref="N34">
    <cfRule type="cellIs" dxfId="12638" priority="1457" operator="equal">
      <formula>$O$13</formula>
    </cfRule>
    <cfRule type="cellIs" dxfId="12637" priority="1458" operator="equal">
      <formula>$O$12</formula>
    </cfRule>
    <cfRule type="cellIs" dxfId="12636" priority="1459" operator="equal">
      <formula>$O$11</formula>
    </cfRule>
    <cfRule type="cellIs" dxfId="12635" priority="1460" operator="equal">
      <formula>$O$10</formula>
    </cfRule>
    <cfRule type="cellIs" dxfId="12634" priority="1461" operator="equal">
      <formula>$O$9</formula>
    </cfRule>
    <cfRule type="cellIs" dxfId="12633" priority="1462" operator="equal">
      <formula>$O$8</formula>
    </cfRule>
    <cfRule type="cellIs" dxfId="12632" priority="1463" operator="equal">
      <formula>$O$7</formula>
    </cfRule>
    <cfRule type="cellIs" dxfId="12631" priority="1464" operator="equal">
      <formula>$O$6</formula>
    </cfRule>
    <cfRule type="cellIs" dxfId="12630" priority="1465" operator="equal">
      <formula>$O$5</formula>
    </cfRule>
  </conditionalFormatting>
  <conditionalFormatting sqref="M34">
    <cfRule type="duplicateValues" dxfId="12629" priority="1456"/>
  </conditionalFormatting>
  <conditionalFormatting sqref="H34">
    <cfRule type="duplicateValues" dxfId="12628" priority="1455"/>
  </conditionalFormatting>
  <conditionalFormatting sqref="H34">
    <cfRule type="cellIs" dxfId="12627" priority="1446" operator="equal">
      <formula>$O$13</formula>
    </cfRule>
    <cfRule type="cellIs" dxfId="12626" priority="1447" operator="equal">
      <formula>$O$12</formula>
    </cfRule>
    <cfRule type="cellIs" dxfId="12625" priority="1448" operator="equal">
      <formula>$O$11</formula>
    </cfRule>
    <cfRule type="cellIs" dxfId="12624" priority="1449" operator="equal">
      <formula>$O$10</formula>
    </cfRule>
    <cfRule type="cellIs" dxfId="12623" priority="1450" operator="equal">
      <formula>$O$9</formula>
    </cfRule>
    <cfRule type="cellIs" dxfId="12622" priority="1451" operator="equal">
      <formula>$O$8</formula>
    </cfRule>
    <cfRule type="cellIs" dxfId="12621" priority="1452" operator="equal">
      <formula>$O$7</formula>
    </cfRule>
    <cfRule type="cellIs" dxfId="12620" priority="1453" operator="equal">
      <formula>$O$6</formula>
    </cfRule>
    <cfRule type="cellIs" dxfId="12619" priority="1454" operator="equal">
      <formula>$O$5</formula>
    </cfRule>
  </conditionalFormatting>
  <conditionalFormatting sqref="L34">
    <cfRule type="duplicateValues" dxfId="12618" priority="1445"/>
  </conditionalFormatting>
  <conditionalFormatting sqref="L34">
    <cfRule type="cellIs" dxfId="12617" priority="1436" operator="equal">
      <formula>$O$13</formula>
    </cfRule>
    <cfRule type="cellIs" dxfId="12616" priority="1437" operator="equal">
      <formula>$O$12</formula>
    </cfRule>
    <cfRule type="cellIs" dxfId="12615" priority="1438" operator="equal">
      <formula>$O$11</formula>
    </cfRule>
    <cfRule type="cellIs" dxfId="12614" priority="1439" operator="equal">
      <formula>$O$10</formula>
    </cfRule>
    <cfRule type="cellIs" dxfId="12613" priority="1440" operator="equal">
      <formula>$O$9</formula>
    </cfRule>
    <cfRule type="cellIs" dxfId="12612" priority="1441" operator="equal">
      <formula>$O$8</formula>
    </cfRule>
    <cfRule type="cellIs" dxfId="12611" priority="1442" operator="equal">
      <formula>$O$7</formula>
    </cfRule>
    <cfRule type="cellIs" dxfId="12610" priority="1443" operator="equal">
      <formula>$O$6</formula>
    </cfRule>
    <cfRule type="cellIs" dxfId="12609" priority="1444" operator="equal">
      <formula>$O$5</formula>
    </cfRule>
  </conditionalFormatting>
  <conditionalFormatting sqref="N34">
    <cfRule type="duplicateValues" dxfId="12608" priority="1435"/>
  </conditionalFormatting>
  <conditionalFormatting sqref="N34">
    <cfRule type="cellIs" dxfId="12607" priority="1426" operator="equal">
      <formula>$O$13</formula>
    </cfRule>
    <cfRule type="cellIs" dxfId="12606" priority="1427" operator="equal">
      <formula>$O$12</formula>
    </cfRule>
    <cfRule type="cellIs" dxfId="12605" priority="1428" operator="equal">
      <formula>$O$11</formula>
    </cfRule>
    <cfRule type="cellIs" dxfId="12604" priority="1429" operator="equal">
      <formula>$O$10</formula>
    </cfRule>
    <cfRule type="cellIs" dxfId="12603" priority="1430" operator="equal">
      <formula>$O$9</formula>
    </cfRule>
    <cfRule type="cellIs" dxfId="12602" priority="1431" operator="equal">
      <formula>$O$8</formula>
    </cfRule>
    <cfRule type="cellIs" dxfId="12601" priority="1432" operator="equal">
      <formula>$O$7</formula>
    </cfRule>
    <cfRule type="cellIs" dxfId="12600" priority="1433" operator="equal">
      <formula>$O$6</formula>
    </cfRule>
    <cfRule type="cellIs" dxfId="12599" priority="1434" operator="equal">
      <formula>$O$5</formula>
    </cfRule>
  </conditionalFormatting>
  <conditionalFormatting sqref="H34">
    <cfRule type="duplicateValues" dxfId="12598" priority="1425"/>
  </conditionalFormatting>
  <conditionalFormatting sqref="H34">
    <cfRule type="cellIs" dxfId="12597" priority="1416" operator="equal">
      <formula>$O$13</formula>
    </cfRule>
    <cfRule type="cellIs" dxfId="12596" priority="1417" operator="equal">
      <formula>$O$12</formula>
    </cfRule>
    <cfRule type="cellIs" dxfId="12595" priority="1418" operator="equal">
      <formula>$O$11</formula>
    </cfRule>
    <cfRule type="cellIs" dxfId="12594" priority="1419" operator="equal">
      <formula>$O$10</formula>
    </cfRule>
    <cfRule type="cellIs" dxfId="12593" priority="1420" operator="equal">
      <formula>$O$9</formula>
    </cfRule>
    <cfRule type="cellIs" dxfId="12592" priority="1421" operator="equal">
      <formula>$O$8</formula>
    </cfRule>
    <cfRule type="cellIs" dxfId="12591" priority="1422" operator="equal">
      <formula>$O$7</formula>
    </cfRule>
    <cfRule type="cellIs" dxfId="12590" priority="1423" operator="equal">
      <formula>$O$6</formula>
    </cfRule>
    <cfRule type="cellIs" dxfId="12589" priority="1424" operator="equal">
      <formula>$O$5</formula>
    </cfRule>
  </conditionalFormatting>
  <conditionalFormatting sqref="L34">
    <cfRule type="duplicateValues" dxfId="12588" priority="1415"/>
  </conditionalFormatting>
  <conditionalFormatting sqref="L34">
    <cfRule type="cellIs" dxfId="12587" priority="1406" operator="equal">
      <formula>$O$13</formula>
    </cfRule>
    <cfRule type="cellIs" dxfId="12586" priority="1407" operator="equal">
      <formula>$O$12</formula>
    </cfRule>
    <cfRule type="cellIs" dxfId="12585" priority="1408" operator="equal">
      <formula>$O$11</formula>
    </cfRule>
    <cfRule type="cellIs" dxfId="12584" priority="1409" operator="equal">
      <formula>$O$10</formula>
    </cfRule>
    <cfRule type="cellIs" dxfId="12583" priority="1410" operator="equal">
      <formula>$O$9</formula>
    </cfRule>
    <cfRule type="cellIs" dxfId="12582" priority="1411" operator="equal">
      <formula>$O$8</formula>
    </cfRule>
    <cfRule type="cellIs" dxfId="12581" priority="1412" operator="equal">
      <formula>$O$7</formula>
    </cfRule>
    <cfRule type="cellIs" dxfId="12580" priority="1413" operator="equal">
      <formula>$O$6</formula>
    </cfRule>
    <cfRule type="cellIs" dxfId="12579" priority="1414" operator="equal">
      <formula>$O$5</formula>
    </cfRule>
  </conditionalFormatting>
  <conditionalFormatting sqref="N34">
    <cfRule type="duplicateValues" dxfId="12578" priority="1405"/>
  </conditionalFormatting>
  <conditionalFormatting sqref="N34">
    <cfRule type="cellIs" dxfId="12577" priority="1396" operator="equal">
      <formula>$O$13</formula>
    </cfRule>
    <cfRule type="cellIs" dxfId="12576" priority="1397" operator="equal">
      <formula>$O$12</formula>
    </cfRule>
    <cfRule type="cellIs" dxfId="12575" priority="1398" operator="equal">
      <formula>$O$11</formula>
    </cfRule>
    <cfRule type="cellIs" dxfId="12574" priority="1399" operator="equal">
      <formula>$O$10</formula>
    </cfRule>
    <cfRule type="cellIs" dxfId="12573" priority="1400" operator="equal">
      <formula>$O$9</formula>
    </cfRule>
    <cfRule type="cellIs" dxfId="12572" priority="1401" operator="equal">
      <formula>$O$8</formula>
    </cfRule>
    <cfRule type="cellIs" dxfId="12571" priority="1402" operator="equal">
      <formula>$O$7</formula>
    </cfRule>
    <cfRule type="cellIs" dxfId="12570" priority="1403" operator="equal">
      <formula>$O$6</formula>
    </cfRule>
    <cfRule type="cellIs" dxfId="12569" priority="1404" operator="equal">
      <formula>$O$5</formula>
    </cfRule>
  </conditionalFormatting>
  <conditionalFormatting sqref="E34:H34 K34:N34">
    <cfRule type="duplicateValues" dxfId="12568" priority="1395"/>
  </conditionalFormatting>
  <conditionalFormatting sqref="H21:H34">
    <cfRule type="duplicateValues" dxfId="12567" priority="1394"/>
  </conditionalFormatting>
  <conditionalFormatting sqref="L21:L34">
    <cfRule type="duplicateValues" dxfId="12566" priority="1393"/>
  </conditionalFormatting>
  <conditionalFormatting sqref="N21:N34">
    <cfRule type="duplicateValues" dxfId="12565" priority="1392"/>
  </conditionalFormatting>
  <conditionalFormatting sqref="F5:F16">
    <cfRule type="duplicateValues" dxfId="12564" priority="1348"/>
    <cfRule type="duplicateValues" dxfId="12563" priority="1349"/>
  </conditionalFormatting>
  <conditionalFormatting sqref="H5:H16">
    <cfRule type="duplicateValues" dxfId="12562" priority="1347"/>
  </conditionalFormatting>
  <conditionalFormatting sqref="L5:L10 L12:L16">
    <cfRule type="duplicateValues" dxfId="12561" priority="1346"/>
  </conditionalFormatting>
  <conditionalFormatting sqref="H5">
    <cfRule type="duplicateValues" dxfId="12560" priority="1344"/>
    <cfRule type="duplicateValues" dxfId="12559" priority="1345"/>
  </conditionalFormatting>
  <conditionalFormatting sqref="L5">
    <cfRule type="duplicateValues" dxfId="12558" priority="1342"/>
    <cfRule type="duplicateValues" dxfId="12557" priority="1343"/>
  </conditionalFormatting>
  <conditionalFormatting sqref="H5:H16">
    <cfRule type="duplicateValues" dxfId="12556" priority="1340"/>
    <cfRule type="duplicateValues" dxfId="12555" priority="1341"/>
  </conditionalFormatting>
  <conditionalFormatting sqref="L5:L10 L12:L16">
    <cfRule type="duplicateValues" dxfId="12554" priority="1338"/>
    <cfRule type="duplicateValues" dxfId="12553" priority="1339"/>
  </conditionalFormatting>
  <conditionalFormatting sqref="N5:N14 N16">
    <cfRule type="duplicateValues" dxfId="12552" priority="1336"/>
    <cfRule type="duplicateValues" dxfId="12551" priority="1337"/>
  </conditionalFormatting>
  <conditionalFormatting sqref="L11">
    <cfRule type="duplicateValues" dxfId="12550" priority="1334"/>
    <cfRule type="duplicateValues" dxfId="12549" priority="1335"/>
  </conditionalFormatting>
  <conditionalFormatting sqref="H15">
    <cfRule type="duplicateValues" dxfId="12548" priority="1332"/>
    <cfRule type="duplicateValues" dxfId="12547" priority="1333"/>
  </conditionalFormatting>
  <conditionalFormatting sqref="L15">
    <cfRule type="duplicateValues" dxfId="12546" priority="1330"/>
    <cfRule type="duplicateValues" dxfId="12545" priority="1331"/>
  </conditionalFormatting>
  <conditionalFormatting sqref="N15">
    <cfRule type="duplicateValues" dxfId="12544" priority="1328"/>
    <cfRule type="duplicateValues" dxfId="12543" priority="1329"/>
  </conditionalFormatting>
  <conditionalFormatting sqref="H5 F5 L5 N5">
    <cfRule type="duplicateValues" dxfId="12542" priority="1327"/>
  </conditionalFormatting>
  <conditionalFormatting sqref="E5:H16 K5:N16">
    <cfRule type="cellIs" dxfId="12541" priority="1326" operator="equal">
      <formula>0</formula>
    </cfRule>
  </conditionalFormatting>
  <conditionalFormatting sqref="K5:N5 E5:H5">
    <cfRule type="duplicateValues" dxfId="12540" priority="1350"/>
  </conditionalFormatting>
  <conditionalFormatting sqref="K6:N6 E6:H6">
    <cfRule type="duplicateValues" dxfId="12539" priority="1351"/>
  </conditionalFormatting>
  <conditionalFormatting sqref="K7:N7 E7:H7">
    <cfRule type="duplicateValues" dxfId="12538" priority="1352"/>
  </conditionalFormatting>
  <conditionalFormatting sqref="K8:N8 E8:H8">
    <cfRule type="duplicateValues" dxfId="12537" priority="1353"/>
  </conditionalFormatting>
  <conditionalFormatting sqref="K9:N9 E9:H9">
    <cfRule type="duplicateValues" dxfId="12536" priority="1354"/>
  </conditionalFormatting>
  <conditionalFormatting sqref="K10:N10 E10:H10">
    <cfRule type="duplicateValues" dxfId="12535" priority="1355"/>
  </conditionalFormatting>
  <conditionalFormatting sqref="K11:N11 E11:H11">
    <cfRule type="duplicateValues" dxfId="12534" priority="1356"/>
  </conditionalFormatting>
  <conditionalFormatting sqref="K12:N12 E12:H12">
    <cfRule type="duplicateValues" dxfId="12533" priority="1357"/>
  </conditionalFormatting>
  <conditionalFormatting sqref="K13:N13 E13:H13">
    <cfRule type="duplicateValues" dxfId="12532" priority="1358"/>
  </conditionalFormatting>
  <conditionalFormatting sqref="K14:N14 E14:H14">
    <cfRule type="duplicateValues" dxfId="12531" priority="1359"/>
  </conditionalFormatting>
  <conditionalFormatting sqref="K15:N15 E15:H15">
    <cfRule type="duplicateValues" dxfId="12530" priority="1360"/>
  </conditionalFormatting>
  <conditionalFormatting sqref="K16:N16 E16:H16">
    <cfRule type="duplicateValues" dxfId="12529" priority="1361"/>
  </conditionalFormatting>
  <conditionalFormatting sqref="H5:H16">
    <cfRule type="duplicateValues" dxfId="12528" priority="1322"/>
  </conditionalFormatting>
  <conditionalFormatting sqref="N5:N16">
    <cfRule type="duplicateValues" dxfId="12527" priority="1321"/>
  </conditionalFormatting>
  <conditionalFormatting sqref="H16">
    <cfRule type="duplicateValues" dxfId="12526" priority="1319"/>
    <cfRule type="duplicateValues" dxfId="12525" priority="1320"/>
  </conditionalFormatting>
  <conditionalFormatting sqref="H5:H17 L5:L17 N5:N17 F5:F16">
    <cfRule type="cellIs" dxfId="12524" priority="1305" operator="equal">
      <formula>$O$18</formula>
    </cfRule>
    <cfRule type="cellIs" dxfId="12523" priority="1306" operator="equal">
      <formula>$O$17</formula>
    </cfRule>
    <cfRule type="cellIs" dxfId="12522" priority="1307" operator="equal">
      <formula>$O$16</formula>
    </cfRule>
    <cfRule type="cellIs" dxfId="12521" priority="1308" operator="equal">
      <formula>$O$15</formula>
    </cfRule>
    <cfRule type="cellIs" dxfId="12520" priority="1309" operator="equal">
      <formula>$O$14</formula>
    </cfRule>
    <cfRule type="cellIs" dxfId="12519" priority="1310" operator="equal">
      <formula>$O$13</formula>
    </cfRule>
    <cfRule type="cellIs" dxfId="12518" priority="1311" operator="equal">
      <formula>$O$12</formula>
    </cfRule>
    <cfRule type="cellIs" dxfId="12517" priority="1312" operator="equal">
      <formula>$O$11</formula>
    </cfRule>
    <cfRule type="cellIs" dxfId="12516" priority="1313" operator="equal">
      <formula>$O$10</formula>
    </cfRule>
    <cfRule type="cellIs" dxfId="12515" priority="1314" operator="equal">
      <formula>$O$9</formula>
    </cfRule>
    <cfRule type="cellIs" dxfId="12514" priority="1315" operator="equal">
      <formula>$O$8</formula>
    </cfRule>
    <cfRule type="cellIs" dxfId="12513" priority="1316" operator="equal">
      <formula>$O$7</formula>
    </cfRule>
    <cfRule type="cellIs" dxfId="12512" priority="1317" operator="equal">
      <formula>$O$6</formula>
    </cfRule>
    <cfRule type="cellIs" dxfId="12511" priority="1318" operator="equal">
      <formula>$O$5</formula>
    </cfRule>
  </conditionalFormatting>
  <conditionalFormatting sqref="H5:H17">
    <cfRule type="duplicateValues" dxfId="12510" priority="1304"/>
  </conditionalFormatting>
  <conditionalFormatting sqref="L5:L17">
    <cfRule type="duplicateValues" dxfId="12509" priority="1303"/>
  </conditionalFormatting>
  <conditionalFormatting sqref="N5:N17">
    <cfRule type="duplicateValues" dxfId="12508" priority="1302"/>
  </conditionalFormatting>
  <conditionalFormatting sqref="H17">
    <cfRule type="cellIs" dxfId="12507" priority="1291" operator="equal">
      <formula>$O$13</formula>
    </cfRule>
    <cfRule type="cellIs" dxfId="12506" priority="1292" operator="equal">
      <formula>$O$12</formula>
    </cfRule>
    <cfRule type="cellIs" dxfId="12505" priority="1293" operator="equal">
      <formula>$O$11</formula>
    </cfRule>
    <cfRule type="cellIs" dxfId="12504" priority="1294" operator="equal">
      <formula>$O$11</formula>
    </cfRule>
    <cfRule type="cellIs" dxfId="12503" priority="1295" operator="equal">
      <formula>$O$10</formula>
    </cfRule>
    <cfRule type="cellIs" dxfId="12502" priority="1296" operator="equal">
      <formula>$O$9</formula>
    </cfRule>
    <cfRule type="cellIs" dxfId="12501" priority="1297" operator="equal">
      <formula>$O$9</formula>
    </cfRule>
    <cfRule type="cellIs" dxfId="12500" priority="1298" operator="equal">
      <formula>$O$8</formula>
    </cfRule>
    <cfRule type="cellIs" dxfId="12499" priority="1299" operator="equal">
      <formula>$O$7</formula>
    </cfRule>
    <cfRule type="cellIs" dxfId="12498" priority="1300" operator="equal">
      <formula>$O$6</formula>
    </cfRule>
    <cfRule type="cellIs" dxfId="12497" priority="1301" operator="equal">
      <formula>$O$5</formula>
    </cfRule>
  </conditionalFormatting>
  <conditionalFormatting sqref="H17">
    <cfRule type="cellIs" dxfId="12496" priority="1287" operator="equal">
      <formula>$O$17</formula>
    </cfRule>
    <cfRule type="cellIs" dxfId="12495" priority="1288" operator="equal">
      <formula>$O$16</formula>
    </cfRule>
    <cfRule type="cellIs" dxfId="12494" priority="1289" operator="equal">
      <formula>$O$15</formula>
    </cfRule>
    <cfRule type="cellIs" dxfId="12493" priority="1290" operator="equal">
      <formula>$O$14</formula>
    </cfRule>
  </conditionalFormatting>
  <conditionalFormatting sqref="H17">
    <cfRule type="cellIs" dxfId="12492" priority="1286" operator="equal">
      <formula>$O$10</formula>
    </cfRule>
  </conditionalFormatting>
  <conditionalFormatting sqref="H17">
    <cfRule type="cellIs" dxfId="12491" priority="1285" operator="equal">
      <formula>$O$18</formula>
    </cfRule>
  </conditionalFormatting>
  <conditionalFormatting sqref="H17">
    <cfRule type="duplicateValues" dxfId="12490" priority="1284"/>
  </conditionalFormatting>
  <conditionalFormatting sqref="H17">
    <cfRule type="duplicateValues" dxfId="12489" priority="1283"/>
  </conditionalFormatting>
  <conditionalFormatting sqref="H17">
    <cfRule type="cellIs" dxfId="12488" priority="1282" operator="equal">
      <formula>$O$5</formula>
    </cfRule>
  </conditionalFormatting>
  <conditionalFormatting sqref="H17">
    <cfRule type="cellIs" dxfId="12487" priority="1281" operator="equal">
      <formula>$O$6</formula>
    </cfRule>
  </conditionalFormatting>
  <conditionalFormatting sqref="H17">
    <cfRule type="cellIs" dxfId="12486" priority="1280" operator="equal">
      <formula>$O$7</formula>
    </cfRule>
  </conditionalFormatting>
  <conditionalFormatting sqref="H17">
    <cfRule type="cellIs" dxfId="12485" priority="1279" operator="equal">
      <formula>$O$8</formula>
    </cfRule>
  </conditionalFormatting>
  <conditionalFormatting sqref="H17">
    <cfRule type="cellIs" dxfId="12484" priority="1278" operator="equal">
      <formula>$O$9</formula>
    </cfRule>
  </conditionalFormatting>
  <conditionalFormatting sqref="H17">
    <cfRule type="cellIs" dxfId="12483" priority="1277" operator="equal">
      <formula>$O$10</formula>
    </cfRule>
  </conditionalFormatting>
  <conditionalFormatting sqref="H17">
    <cfRule type="cellIs" dxfId="12482" priority="1276" operator="equal">
      <formula>$O$11</formula>
    </cfRule>
  </conditionalFormatting>
  <conditionalFormatting sqref="H17">
    <cfRule type="cellIs" dxfId="12481" priority="1275" operator="equal">
      <formula>$O$11</formula>
    </cfRule>
  </conditionalFormatting>
  <conditionalFormatting sqref="H17">
    <cfRule type="cellIs" dxfId="12480" priority="1274" operator="equal">
      <formula>$O$12</formula>
    </cfRule>
  </conditionalFormatting>
  <conditionalFormatting sqref="H17">
    <cfRule type="cellIs" dxfId="12479" priority="1273" operator="equal">
      <formula>$O$13</formula>
    </cfRule>
  </conditionalFormatting>
  <conditionalFormatting sqref="H17">
    <cfRule type="cellIs" dxfId="12478" priority="1272" operator="equal">
      <formula>$O$14</formula>
    </cfRule>
  </conditionalFormatting>
  <conditionalFormatting sqref="H17">
    <cfRule type="cellIs" dxfId="12477" priority="1271" operator="equal">
      <formula>$O$14</formula>
    </cfRule>
  </conditionalFormatting>
  <conditionalFormatting sqref="H17">
    <cfRule type="cellIs" dxfId="12476" priority="1270" operator="equal">
      <formula>$O$15</formula>
    </cfRule>
  </conditionalFormatting>
  <conditionalFormatting sqref="H17">
    <cfRule type="cellIs" dxfId="12475" priority="1269" operator="equal">
      <formula>$O$16</formula>
    </cfRule>
  </conditionalFormatting>
  <conditionalFormatting sqref="H17">
    <cfRule type="cellIs" dxfId="12474" priority="1268" operator="equal">
      <formula>$O$17</formula>
    </cfRule>
  </conditionalFormatting>
  <conditionalFormatting sqref="H17">
    <cfRule type="cellIs" dxfId="12473" priority="1267" operator="equal">
      <formula>$O$18</formula>
    </cfRule>
  </conditionalFormatting>
  <conditionalFormatting sqref="H17">
    <cfRule type="duplicateValues" dxfId="12472" priority="1266"/>
  </conditionalFormatting>
  <conditionalFormatting sqref="H17">
    <cfRule type="duplicateValues" dxfId="12471" priority="1265"/>
  </conditionalFormatting>
  <conditionalFormatting sqref="H17">
    <cfRule type="cellIs" dxfId="12470" priority="1259" operator="equal">
      <formula>$O$11</formula>
    </cfRule>
    <cfRule type="cellIs" dxfId="12469" priority="1260" operator="equal">
      <formula>$O$9</formula>
    </cfRule>
    <cfRule type="cellIs" dxfId="12468" priority="1261" operator="equal">
      <formula>$O$8</formula>
    </cfRule>
    <cfRule type="cellIs" dxfId="12467" priority="1262" operator="equal">
      <formula>$O$7</formula>
    </cfRule>
    <cfRule type="cellIs" dxfId="12466" priority="1263" operator="equal">
      <formula>$O$6</formula>
    </cfRule>
    <cfRule type="cellIs" dxfId="12465" priority="1264" operator="equal">
      <formula>$O$5</formula>
    </cfRule>
  </conditionalFormatting>
  <conditionalFormatting sqref="H17">
    <cfRule type="cellIs" dxfId="12464" priority="1253" operator="equal">
      <formula>$O$16</formula>
    </cfRule>
    <cfRule type="cellIs" dxfId="12463" priority="1254" operator="equal">
      <formula>$O$15</formula>
    </cfRule>
    <cfRule type="cellIs" dxfId="12462" priority="1255" operator="equal">
      <formula>$O$14</formula>
    </cfRule>
    <cfRule type="cellIs" dxfId="12461" priority="1256" operator="equal">
      <formula>$O$13</formula>
    </cfRule>
    <cfRule type="cellIs" dxfId="12460" priority="1257" operator="equal">
      <formula>$O$12</formula>
    </cfRule>
    <cfRule type="cellIs" dxfId="12459" priority="1258" operator="equal">
      <formula>$O$11</formula>
    </cfRule>
  </conditionalFormatting>
  <conditionalFormatting sqref="H17">
    <cfRule type="cellIs" dxfId="12458" priority="1250" operator="equal">
      <formula>$O$10</formula>
    </cfRule>
    <cfRule type="cellIs" dxfId="12457" priority="1251" operator="equal">
      <formula>$O$18</formula>
    </cfRule>
    <cfRule type="cellIs" dxfId="12456" priority="1252" operator="equal">
      <formula>$O$17</formula>
    </cfRule>
  </conditionalFormatting>
  <conditionalFormatting sqref="H17">
    <cfRule type="cellIs" dxfId="12455" priority="1241" operator="equal">
      <formula>$O$13</formula>
    </cfRule>
    <cfRule type="cellIs" dxfId="12454" priority="1242" operator="equal">
      <formula>$O$12</formula>
    </cfRule>
    <cfRule type="cellIs" dxfId="12453" priority="1243" operator="equal">
      <formula>$O$11</formula>
    </cfRule>
    <cfRule type="cellIs" dxfId="12452" priority="1244" operator="equal">
      <formula>$O$10</formula>
    </cfRule>
    <cfRule type="cellIs" dxfId="12451" priority="1245" operator="equal">
      <formula>$O$9</formula>
    </cfRule>
    <cfRule type="cellIs" dxfId="12450" priority="1246" operator="equal">
      <formula>$O$8</formula>
    </cfRule>
    <cfRule type="cellIs" dxfId="12449" priority="1247" operator="equal">
      <formula>$O$7</formula>
    </cfRule>
    <cfRule type="cellIs" dxfId="12448" priority="1248" operator="equal">
      <formula>$O$6</formula>
    </cfRule>
    <cfRule type="cellIs" dxfId="12447" priority="1249" operator="equal">
      <formula>$O$5</formula>
    </cfRule>
  </conditionalFormatting>
  <conditionalFormatting sqref="H17">
    <cfRule type="duplicateValues" dxfId="12446" priority="1240"/>
  </conditionalFormatting>
  <conditionalFormatting sqref="H17">
    <cfRule type="cellIs" dxfId="12445" priority="1239" operator="equal">
      <formula>0</formula>
    </cfRule>
  </conditionalFormatting>
  <conditionalFormatting sqref="H17">
    <cfRule type="duplicateValues" dxfId="12444" priority="1238"/>
  </conditionalFormatting>
  <conditionalFormatting sqref="L17">
    <cfRule type="cellIs" dxfId="12443" priority="1227" operator="equal">
      <formula>$O$13</formula>
    </cfRule>
    <cfRule type="cellIs" dxfId="12442" priority="1228" operator="equal">
      <formula>$O$12</formula>
    </cfRule>
    <cfRule type="cellIs" dxfId="12441" priority="1229" operator="equal">
      <formula>$O$11</formula>
    </cfRule>
    <cfRule type="cellIs" dxfId="12440" priority="1230" operator="equal">
      <formula>$O$11</formula>
    </cfRule>
    <cfRule type="cellIs" dxfId="12439" priority="1231" operator="equal">
      <formula>$O$10</formula>
    </cfRule>
    <cfRule type="cellIs" dxfId="12438" priority="1232" operator="equal">
      <formula>$O$9</formula>
    </cfRule>
    <cfRule type="cellIs" dxfId="12437" priority="1233" operator="equal">
      <formula>$O$9</formula>
    </cfRule>
    <cfRule type="cellIs" dxfId="12436" priority="1234" operator="equal">
      <formula>$O$8</formula>
    </cfRule>
    <cfRule type="cellIs" dxfId="12435" priority="1235" operator="equal">
      <formula>$O$7</formula>
    </cfRule>
    <cfRule type="cellIs" dxfId="12434" priority="1236" operator="equal">
      <formula>$O$6</formula>
    </cfRule>
    <cfRule type="cellIs" dxfId="12433" priority="1237" operator="equal">
      <formula>$O$5</formula>
    </cfRule>
  </conditionalFormatting>
  <conditionalFormatting sqref="L17">
    <cfRule type="cellIs" dxfId="12432" priority="1223" operator="equal">
      <formula>$O$17</formula>
    </cfRule>
    <cfRule type="cellIs" dxfId="12431" priority="1224" operator="equal">
      <formula>$O$16</formula>
    </cfRule>
    <cfRule type="cellIs" dxfId="12430" priority="1225" operator="equal">
      <formula>$O$15</formula>
    </cfRule>
    <cfRule type="cellIs" dxfId="12429" priority="1226" operator="equal">
      <formula>$O$14</formula>
    </cfRule>
  </conditionalFormatting>
  <conditionalFormatting sqref="L17">
    <cfRule type="cellIs" dxfId="12428" priority="1222" operator="equal">
      <formula>$O$10</formula>
    </cfRule>
  </conditionalFormatting>
  <conditionalFormatting sqref="L17">
    <cfRule type="cellIs" dxfId="12427" priority="1221" operator="equal">
      <formula>$O$18</formula>
    </cfRule>
  </conditionalFormatting>
  <conditionalFormatting sqref="L17">
    <cfRule type="duplicateValues" dxfId="12426" priority="1220"/>
  </conditionalFormatting>
  <conditionalFormatting sqref="L17">
    <cfRule type="duplicateValues" dxfId="12425" priority="1219"/>
  </conditionalFormatting>
  <conditionalFormatting sqref="L17">
    <cfRule type="cellIs" dxfId="12424" priority="1218" operator="equal">
      <formula>$O$5</formula>
    </cfRule>
  </conditionalFormatting>
  <conditionalFormatting sqref="L17">
    <cfRule type="cellIs" dxfId="12423" priority="1217" operator="equal">
      <formula>$O$6</formula>
    </cfRule>
  </conditionalFormatting>
  <conditionalFormatting sqref="L17">
    <cfRule type="cellIs" dxfId="12422" priority="1216" operator="equal">
      <formula>$O$7</formula>
    </cfRule>
  </conditionalFormatting>
  <conditionalFormatting sqref="L17">
    <cfRule type="cellIs" dxfId="12421" priority="1215" operator="equal">
      <formula>$O$8</formula>
    </cfRule>
  </conditionalFormatting>
  <conditionalFormatting sqref="L17">
    <cfRule type="cellIs" dxfId="12420" priority="1214" operator="equal">
      <formula>$O$9</formula>
    </cfRule>
  </conditionalFormatting>
  <conditionalFormatting sqref="L17">
    <cfRule type="cellIs" dxfId="12419" priority="1213" operator="equal">
      <formula>$O$10</formula>
    </cfRule>
  </conditionalFormatting>
  <conditionalFormatting sqref="L17">
    <cfRule type="cellIs" dxfId="12418" priority="1212" operator="equal">
      <formula>$O$11</formula>
    </cfRule>
  </conditionalFormatting>
  <conditionalFormatting sqref="L17">
    <cfRule type="cellIs" dxfId="12417" priority="1211" operator="equal">
      <formula>$O$11</formula>
    </cfRule>
  </conditionalFormatting>
  <conditionalFormatting sqref="L17">
    <cfRule type="cellIs" dxfId="12416" priority="1210" operator="equal">
      <formula>$O$12</formula>
    </cfRule>
  </conditionalFormatting>
  <conditionalFormatting sqref="L17">
    <cfRule type="cellIs" dxfId="12415" priority="1209" operator="equal">
      <formula>$O$13</formula>
    </cfRule>
  </conditionalFormatting>
  <conditionalFormatting sqref="L17">
    <cfRule type="cellIs" dxfId="12414" priority="1208" operator="equal">
      <formula>$O$14</formula>
    </cfRule>
  </conditionalFormatting>
  <conditionalFormatting sqref="L17">
    <cfRule type="cellIs" dxfId="12413" priority="1207" operator="equal">
      <formula>$O$14</formula>
    </cfRule>
  </conditionalFormatting>
  <conditionalFormatting sqref="L17">
    <cfRule type="cellIs" dxfId="12412" priority="1206" operator="equal">
      <formula>$O$15</formula>
    </cfRule>
  </conditionalFormatting>
  <conditionalFormatting sqref="L17">
    <cfRule type="cellIs" dxfId="12411" priority="1205" operator="equal">
      <formula>$O$16</formula>
    </cfRule>
  </conditionalFormatting>
  <conditionalFormatting sqref="L17">
    <cfRule type="cellIs" dxfId="12410" priority="1204" operator="equal">
      <formula>$O$17</formula>
    </cfRule>
  </conditionalFormatting>
  <conditionalFormatting sqref="L17">
    <cfRule type="cellIs" dxfId="12409" priority="1203" operator="equal">
      <formula>$O$18</formula>
    </cfRule>
  </conditionalFormatting>
  <conditionalFormatting sqref="L17">
    <cfRule type="duplicateValues" dxfId="12408" priority="1202"/>
  </conditionalFormatting>
  <conditionalFormatting sqref="L17">
    <cfRule type="duplicateValues" dxfId="12407" priority="1201"/>
  </conditionalFormatting>
  <conditionalFormatting sqref="L17">
    <cfRule type="cellIs" dxfId="12406" priority="1195" operator="equal">
      <formula>$O$11</formula>
    </cfRule>
    <cfRule type="cellIs" dxfId="12405" priority="1196" operator="equal">
      <formula>$O$9</formula>
    </cfRule>
    <cfRule type="cellIs" dxfId="12404" priority="1197" operator="equal">
      <formula>$O$8</formula>
    </cfRule>
    <cfRule type="cellIs" dxfId="12403" priority="1198" operator="equal">
      <formula>$O$7</formula>
    </cfRule>
    <cfRule type="cellIs" dxfId="12402" priority="1199" operator="equal">
      <formula>$O$6</formula>
    </cfRule>
    <cfRule type="cellIs" dxfId="12401" priority="1200" operator="equal">
      <formula>$O$5</formula>
    </cfRule>
  </conditionalFormatting>
  <conditionalFormatting sqref="L17">
    <cfRule type="cellIs" dxfId="12400" priority="1189" operator="equal">
      <formula>$O$16</formula>
    </cfRule>
    <cfRule type="cellIs" dxfId="12399" priority="1190" operator="equal">
      <formula>$O$15</formula>
    </cfRule>
    <cfRule type="cellIs" dxfId="12398" priority="1191" operator="equal">
      <formula>$O$14</formula>
    </cfRule>
    <cfRule type="cellIs" dxfId="12397" priority="1192" operator="equal">
      <formula>$O$13</formula>
    </cfRule>
    <cfRule type="cellIs" dxfId="12396" priority="1193" operator="equal">
      <formula>$O$12</formula>
    </cfRule>
    <cfRule type="cellIs" dxfId="12395" priority="1194" operator="equal">
      <formula>$O$11</formula>
    </cfRule>
  </conditionalFormatting>
  <conditionalFormatting sqref="L17">
    <cfRule type="cellIs" dxfId="12394" priority="1186" operator="equal">
      <formula>$O$10</formula>
    </cfRule>
    <cfRule type="cellIs" dxfId="12393" priority="1187" operator="equal">
      <formula>$O$18</formula>
    </cfRule>
    <cfRule type="cellIs" dxfId="12392" priority="1188" operator="equal">
      <formula>$O$17</formula>
    </cfRule>
  </conditionalFormatting>
  <conditionalFormatting sqref="L17">
    <cfRule type="cellIs" dxfId="12391" priority="1177" operator="equal">
      <formula>$O$13</formula>
    </cfRule>
    <cfRule type="cellIs" dxfId="12390" priority="1178" operator="equal">
      <formula>$O$12</formula>
    </cfRule>
    <cfRule type="cellIs" dxfId="12389" priority="1179" operator="equal">
      <formula>$O$11</formula>
    </cfRule>
    <cfRule type="cellIs" dxfId="12388" priority="1180" operator="equal">
      <formula>$O$10</formula>
    </cfRule>
    <cfRule type="cellIs" dxfId="12387" priority="1181" operator="equal">
      <formula>$O$9</formula>
    </cfRule>
    <cfRule type="cellIs" dxfId="12386" priority="1182" operator="equal">
      <formula>$O$8</formula>
    </cfRule>
    <cfRule type="cellIs" dxfId="12385" priority="1183" operator="equal">
      <formula>$O$7</formula>
    </cfRule>
    <cfRule type="cellIs" dxfId="12384" priority="1184" operator="equal">
      <formula>$O$6</formula>
    </cfRule>
    <cfRule type="cellIs" dxfId="12383" priority="1185" operator="equal">
      <formula>$O$5</formula>
    </cfRule>
  </conditionalFormatting>
  <conditionalFormatting sqref="L17">
    <cfRule type="duplicateValues" dxfId="12382" priority="1176"/>
  </conditionalFormatting>
  <conditionalFormatting sqref="L17">
    <cfRule type="cellIs" dxfId="12381" priority="1175" operator="equal">
      <formula>0</formula>
    </cfRule>
  </conditionalFormatting>
  <conditionalFormatting sqref="L17">
    <cfRule type="duplicateValues" dxfId="12380" priority="1174"/>
  </conditionalFormatting>
  <conditionalFormatting sqref="N17">
    <cfRule type="cellIs" dxfId="12379" priority="1163" operator="equal">
      <formula>$O$13</formula>
    </cfRule>
    <cfRule type="cellIs" dxfId="12378" priority="1164" operator="equal">
      <formula>$O$12</formula>
    </cfRule>
    <cfRule type="cellIs" dxfId="12377" priority="1165" operator="equal">
      <formula>$O$11</formula>
    </cfRule>
    <cfRule type="cellIs" dxfId="12376" priority="1166" operator="equal">
      <formula>$O$11</formula>
    </cfRule>
    <cfRule type="cellIs" dxfId="12375" priority="1167" operator="equal">
      <formula>$O$10</formula>
    </cfRule>
    <cfRule type="cellIs" dxfId="12374" priority="1168" operator="equal">
      <formula>$O$9</formula>
    </cfRule>
    <cfRule type="cellIs" dxfId="12373" priority="1169" operator="equal">
      <formula>$O$9</formula>
    </cfRule>
    <cfRule type="cellIs" dxfId="12372" priority="1170" operator="equal">
      <formula>$O$8</formula>
    </cfRule>
    <cfRule type="cellIs" dxfId="12371" priority="1171" operator="equal">
      <formula>$O$7</formula>
    </cfRule>
    <cfRule type="cellIs" dxfId="12370" priority="1172" operator="equal">
      <formula>$O$6</formula>
    </cfRule>
    <cfRule type="cellIs" dxfId="12369" priority="1173" operator="equal">
      <formula>$O$5</formula>
    </cfRule>
  </conditionalFormatting>
  <conditionalFormatting sqref="N17">
    <cfRule type="cellIs" dxfId="12368" priority="1159" operator="equal">
      <formula>$O$17</formula>
    </cfRule>
    <cfRule type="cellIs" dxfId="12367" priority="1160" operator="equal">
      <formula>$O$16</formula>
    </cfRule>
    <cfRule type="cellIs" dxfId="12366" priority="1161" operator="equal">
      <formula>$O$15</formula>
    </cfRule>
    <cfRule type="cellIs" dxfId="12365" priority="1162" operator="equal">
      <formula>$O$14</formula>
    </cfRule>
  </conditionalFormatting>
  <conditionalFormatting sqref="N17">
    <cfRule type="cellIs" dxfId="12364" priority="1158" operator="equal">
      <formula>$O$10</formula>
    </cfRule>
  </conditionalFormatting>
  <conditionalFormatting sqref="N17">
    <cfRule type="cellIs" dxfId="12363" priority="1157" operator="equal">
      <formula>$O$18</formula>
    </cfRule>
  </conditionalFormatting>
  <conditionalFormatting sqref="N17">
    <cfRule type="duplicateValues" dxfId="12362" priority="1156"/>
  </conditionalFormatting>
  <conditionalFormatting sqref="N17">
    <cfRule type="duplicateValues" dxfId="12361" priority="1155"/>
  </conditionalFormatting>
  <conditionalFormatting sqref="N17">
    <cfRule type="cellIs" dxfId="12360" priority="1154" operator="equal">
      <formula>$O$5</formula>
    </cfRule>
  </conditionalFormatting>
  <conditionalFormatting sqref="N17">
    <cfRule type="cellIs" dxfId="12359" priority="1153" operator="equal">
      <formula>$O$6</formula>
    </cfRule>
  </conditionalFormatting>
  <conditionalFormatting sqref="N17">
    <cfRule type="cellIs" dxfId="12358" priority="1152" operator="equal">
      <formula>$O$7</formula>
    </cfRule>
  </conditionalFormatting>
  <conditionalFormatting sqref="N17">
    <cfRule type="cellIs" dxfId="12357" priority="1151" operator="equal">
      <formula>$O$8</formula>
    </cfRule>
  </conditionalFormatting>
  <conditionalFormatting sqref="N17">
    <cfRule type="cellIs" dxfId="12356" priority="1150" operator="equal">
      <formula>$O$9</formula>
    </cfRule>
  </conditionalFormatting>
  <conditionalFormatting sqref="N17">
    <cfRule type="cellIs" dxfId="12355" priority="1149" operator="equal">
      <formula>$O$10</formula>
    </cfRule>
  </conditionalFormatting>
  <conditionalFormatting sqref="N17">
    <cfRule type="cellIs" dxfId="12354" priority="1148" operator="equal">
      <formula>$O$11</formula>
    </cfRule>
  </conditionalFormatting>
  <conditionalFormatting sqref="N17">
    <cfRule type="cellIs" dxfId="12353" priority="1147" operator="equal">
      <formula>$O$11</formula>
    </cfRule>
  </conditionalFormatting>
  <conditionalFormatting sqref="N17">
    <cfRule type="cellIs" dxfId="12352" priority="1146" operator="equal">
      <formula>$O$12</formula>
    </cfRule>
  </conditionalFormatting>
  <conditionalFormatting sqref="N17">
    <cfRule type="cellIs" dxfId="12351" priority="1145" operator="equal">
      <formula>$O$13</formula>
    </cfRule>
  </conditionalFormatting>
  <conditionalFormatting sqref="N17">
    <cfRule type="cellIs" dxfId="12350" priority="1144" operator="equal">
      <formula>$O$14</formula>
    </cfRule>
  </conditionalFormatting>
  <conditionalFormatting sqref="N17">
    <cfRule type="cellIs" dxfId="12349" priority="1143" operator="equal">
      <formula>$O$14</formula>
    </cfRule>
  </conditionalFormatting>
  <conditionalFormatting sqref="N17">
    <cfRule type="cellIs" dxfId="12348" priority="1142" operator="equal">
      <formula>$O$15</formula>
    </cfRule>
  </conditionalFormatting>
  <conditionalFormatting sqref="N17">
    <cfRule type="cellIs" dxfId="12347" priority="1141" operator="equal">
      <formula>$O$16</formula>
    </cfRule>
  </conditionalFormatting>
  <conditionalFormatting sqref="N17">
    <cfRule type="cellIs" dxfId="12346" priority="1140" operator="equal">
      <formula>$O$17</formula>
    </cfRule>
  </conditionalFormatting>
  <conditionalFormatting sqref="N17">
    <cfRule type="cellIs" dxfId="12345" priority="1139" operator="equal">
      <formula>$O$18</formula>
    </cfRule>
  </conditionalFormatting>
  <conditionalFormatting sqref="N17">
    <cfRule type="duplicateValues" dxfId="12344" priority="1138"/>
  </conditionalFormatting>
  <conditionalFormatting sqref="N17">
    <cfRule type="duplicateValues" dxfId="12343" priority="1137"/>
  </conditionalFormatting>
  <conditionalFormatting sqref="N17">
    <cfRule type="cellIs" dxfId="12342" priority="1131" operator="equal">
      <formula>$O$11</formula>
    </cfRule>
    <cfRule type="cellIs" dxfId="12341" priority="1132" operator="equal">
      <formula>$O$9</formula>
    </cfRule>
    <cfRule type="cellIs" dxfId="12340" priority="1133" operator="equal">
      <formula>$O$8</formula>
    </cfRule>
    <cfRule type="cellIs" dxfId="12339" priority="1134" operator="equal">
      <formula>$O$7</formula>
    </cfRule>
    <cfRule type="cellIs" dxfId="12338" priority="1135" operator="equal">
      <formula>$O$6</formula>
    </cfRule>
    <cfRule type="cellIs" dxfId="12337" priority="1136" operator="equal">
      <formula>$O$5</formula>
    </cfRule>
  </conditionalFormatting>
  <conditionalFormatting sqref="N17">
    <cfRule type="cellIs" dxfId="12336" priority="1125" operator="equal">
      <formula>$O$16</formula>
    </cfRule>
    <cfRule type="cellIs" dxfId="12335" priority="1126" operator="equal">
      <formula>$O$15</formula>
    </cfRule>
    <cfRule type="cellIs" dxfId="12334" priority="1127" operator="equal">
      <formula>$O$14</formula>
    </cfRule>
    <cfRule type="cellIs" dxfId="12333" priority="1128" operator="equal">
      <formula>$O$13</formula>
    </cfRule>
    <cfRule type="cellIs" dxfId="12332" priority="1129" operator="equal">
      <formula>$O$12</formula>
    </cfRule>
    <cfRule type="cellIs" dxfId="12331" priority="1130" operator="equal">
      <formula>$O$11</formula>
    </cfRule>
  </conditionalFormatting>
  <conditionalFormatting sqref="N17">
    <cfRule type="cellIs" dxfId="12330" priority="1122" operator="equal">
      <formula>$O$10</formula>
    </cfRule>
    <cfRule type="cellIs" dxfId="12329" priority="1123" operator="equal">
      <formula>$O$18</formula>
    </cfRule>
    <cfRule type="cellIs" dxfId="12328" priority="1124" operator="equal">
      <formula>$O$17</formula>
    </cfRule>
  </conditionalFormatting>
  <conditionalFormatting sqref="N17">
    <cfRule type="cellIs" dxfId="12327" priority="1113" operator="equal">
      <formula>$O$13</formula>
    </cfRule>
    <cfRule type="cellIs" dxfId="12326" priority="1114" operator="equal">
      <formula>$O$12</formula>
    </cfRule>
    <cfRule type="cellIs" dxfId="12325" priority="1115" operator="equal">
      <formula>$O$11</formula>
    </cfRule>
    <cfRule type="cellIs" dxfId="12324" priority="1116" operator="equal">
      <formula>$O$10</formula>
    </cfRule>
    <cfRule type="cellIs" dxfId="12323" priority="1117" operator="equal">
      <formula>$O$9</formula>
    </cfRule>
    <cfRule type="cellIs" dxfId="12322" priority="1118" operator="equal">
      <formula>$O$8</formula>
    </cfRule>
    <cfRule type="cellIs" dxfId="12321" priority="1119" operator="equal">
      <formula>$O$7</formula>
    </cfRule>
    <cfRule type="cellIs" dxfId="12320" priority="1120" operator="equal">
      <formula>$O$6</formula>
    </cfRule>
    <cfRule type="cellIs" dxfId="12319" priority="1121" operator="equal">
      <formula>$O$5</formula>
    </cfRule>
  </conditionalFormatting>
  <conditionalFormatting sqref="N17">
    <cfRule type="duplicateValues" dxfId="12318" priority="1112"/>
  </conditionalFormatting>
  <conditionalFormatting sqref="N17">
    <cfRule type="cellIs" dxfId="12317" priority="1111" operator="equal">
      <formula>0</formula>
    </cfRule>
  </conditionalFormatting>
  <conditionalFormatting sqref="N17">
    <cfRule type="duplicateValues" dxfId="12316" priority="1110"/>
  </conditionalFormatting>
  <conditionalFormatting sqref="H17">
    <cfRule type="cellIs" dxfId="12315" priority="1099" operator="equal">
      <formula>$O$13</formula>
    </cfRule>
    <cfRule type="cellIs" dxfId="12314" priority="1100" operator="equal">
      <formula>$O$12</formula>
    </cfRule>
    <cfRule type="cellIs" dxfId="12313" priority="1101" operator="equal">
      <formula>$O$11</formula>
    </cfRule>
    <cfRule type="cellIs" dxfId="12312" priority="1102" operator="equal">
      <formula>$O$11</formula>
    </cfRule>
    <cfRule type="cellIs" dxfId="12311" priority="1103" operator="equal">
      <formula>$O$10</formula>
    </cfRule>
    <cfRule type="cellIs" dxfId="12310" priority="1104" operator="equal">
      <formula>$O$9</formula>
    </cfRule>
    <cfRule type="cellIs" dxfId="12309" priority="1105" operator="equal">
      <formula>$O$9</formula>
    </cfRule>
    <cfRule type="cellIs" dxfId="12308" priority="1106" operator="equal">
      <formula>$O$8</formula>
    </cfRule>
    <cfRule type="cellIs" dxfId="12307" priority="1107" operator="equal">
      <formula>$O$7</formula>
    </cfRule>
    <cfRule type="cellIs" dxfId="12306" priority="1108" operator="equal">
      <formula>$O$6</formula>
    </cfRule>
    <cfRule type="cellIs" dxfId="12305" priority="1109" operator="equal">
      <formula>$O$5</formula>
    </cfRule>
  </conditionalFormatting>
  <conditionalFormatting sqref="H17">
    <cfRule type="cellIs" dxfId="12304" priority="1095" operator="equal">
      <formula>$O$17</formula>
    </cfRule>
    <cfRule type="cellIs" dxfId="12303" priority="1096" operator="equal">
      <formula>$O$16</formula>
    </cfRule>
    <cfRule type="cellIs" dxfId="12302" priority="1097" operator="equal">
      <formula>$O$15</formula>
    </cfRule>
    <cfRule type="cellIs" dxfId="12301" priority="1098" operator="equal">
      <formula>$O$14</formula>
    </cfRule>
  </conditionalFormatting>
  <conditionalFormatting sqref="H17">
    <cfRule type="cellIs" dxfId="12300" priority="1094" operator="equal">
      <formula>$O$10</formula>
    </cfRule>
  </conditionalFormatting>
  <conditionalFormatting sqref="H17">
    <cfRule type="cellIs" dxfId="12299" priority="1093" operator="equal">
      <formula>$O$18</formula>
    </cfRule>
  </conditionalFormatting>
  <conditionalFormatting sqref="H17">
    <cfRule type="duplicateValues" dxfId="12298" priority="1092"/>
  </conditionalFormatting>
  <conditionalFormatting sqref="H17">
    <cfRule type="duplicateValues" dxfId="12297" priority="1091"/>
  </conditionalFormatting>
  <conditionalFormatting sqref="H17">
    <cfRule type="cellIs" dxfId="12296" priority="1090" operator="equal">
      <formula>$O$5</formula>
    </cfRule>
  </conditionalFormatting>
  <conditionalFormatting sqref="H17">
    <cfRule type="cellIs" dxfId="12295" priority="1089" operator="equal">
      <formula>$O$6</formula>
    </cfRule>
  </conditionalFormatting>
  <conditionalFormatting sqref="H17">
    <cfRule type="cellIs" dxfId="12294" priority="1088" operator="equal">
      <formula>$O$7</formula>
    </cfRule>
  </conditionalFormatting>
  <conditionalFormatting sqref="H17">
    <cfRule type="cellIs" dxfId="12293" priority="1087" operator="equal">
      <formula>$O$8</formula>
    </cfRule>
  </conditionalFormatting>
  <conditionalFormatting sqref="H17">
    <cfRule type="cellIs" dxfId="12292" priority="1086" operator="equal">
      <formula>$O$9</formula>
    </cfRule>
  </conditionalFormatting>
  <conditionalFormatting sqref="H17">
    <cfRule type="cellIs" dxfId="12291" priority="1085" operator="equal">
      <formula>$O$10</formula>
    </cfRule>
  </conditionalFormatting>
  <conditionalFormatting sqref="H17">
    <cfRule type="cellIs" dxfId="12290" priority="1084" operator="equal">
      <formula>$O$11</formula>
    </cfRule>
  </conditionalFormatting>
  <conditionalFormatting sqref="H17">
    <cfRule type="cellIs" dxfId="12289" priority="1083" operator="equal">
      <formula>$O$11</formula>
    </cfRule>
  </conditionalFormatting>
  <conditionalFormatting sqref="H17">
    <cfRule type="cellIs" dxfId="12288" priority="1082" operator="equal">
      <formula>$O$12</formula>
    </cfRule>
  </conditionalFormatting>
  <conditionalFormatting sqref="H17">
    <cfRule type="cellIs" dxfId="12287" priority="1081" operator="equal">
      <formula>$O$13</formula>
    </cfRule>
  </conditionalFormatting>
  <conditionalFormatting sqref="H17">
    <cfRule type="cellIs" dxfId="12286" priority="1080" operator="equal">
      <formula>$O$14</formula>
    </cfRule>
  </conditionalFormatting>
  <conditionalFormatting sqref="H17">
    <cfRule type="cellIs" dxfId="12285" priority="1079" operator="equal">
      <formula>$O$14</formula>
    </cfRule>
  </conditionalFormatting>
  <conditionalFormatting sqref="H17">
    <cfRule type="cellIs" dxfId="12284" priority="1078" operator="equal">
      <formula>$O$15</formula>
    </cfRule>
  </conditionalFormatting>
  <conditionalFormatting sqref="H17">
    <cfRule type="cellIs" dxfId="12283" priority="1077" operator="equal">
      <formula>$O$16</formula>
    </cfRule>
  </conditionalFormatting>
  <conditionalFormatting sqref="H17">
    <cfRule type="cellIs" dxfId="12282" priority="1076" operator="equal">
      <formula>$O$17</formula>
    </cfRule>
  </conditionalFormatting>
  <conditionalFormatting sqref="H17">
    <cfRule type="cellIs" dxfId="12281" priority="1075" operator="equal">
      <formula>$O$18</formula>
    </cfRule>
  </conditionalFormatting>
  <conditionalFormatting sqref="H17">
    <cfRule type="duplicateValues" dxfId="12280" priority="1074"/>
  </conditionalFormatting>
  <conditionalFormatting sqref="H17">
    <cfRule type="duplicateValues" dxfId="12279" priority="1073"/>
  </conditionalFormatting>
  <conditionalFormatting sqref="H17">
    <cfRule type="cellIs" dxfId="12278" priority="1067" operator="equal">
      <formula>$O$11</formula>
    </cfRule>
    <cfRule type="cellIs" dxfId="12277" priority="1068" operator="equal">
      <formula>$O$9</formula>
    </cfRule>
    <cfRule type="cellIs" dxfId="12276" priority="1069" operator="equal">
      <formula>$O$8</formula>
    </cfRule>
    <cfRule type="cellIs" dxfId="12275" priority="1070" operator="equal">
      <formula>$O$7</formula>
    </cfRule>
    <cfRule type="cellIs" dxfId="12274" priority="1071" operator="equal">
      <formula>$O$6</formula>
    </cfRule>
    <cfRule type="cellIs" dxfId="12273" priority="1072" operator="equal">
      <formula>$O$5</formula>
    </cfRule>
  </conditionalFormatting>
  <conditionalFormatting sqref="H17">
    <cfRule type="cellIs" dxfId="12272" priority="1061" operator="equal">
      <formula>$O$16</formula>
    </cfRule>
    <cfRule type="cellIs" dxfId="12271" priority="1062" operator="equal">
      <formula>$O$15</formula>
    </cfRule>
    <cfRule type="cellIs" dxfId="12270" priority="1063" operator="equal">
      <formula>$O$14</formula>
    </cfRule>
    <cfRule type="cellIs" dxfId="12269" priority="1064" operator="equal">
      <formula>$O$13</formula>
    </cfRule>
    <cfRule type="cellIs" dxfId="12268" priority="1065" operator="equal">
      <formula>$O$12</formula>
    </cfRule>
    <cfRule type="cellIs" dxfId="12267" priority="1066" operator="equal">
      <formula>$O$11</formula>
    </cfRule>
  </conditionalFormatting>
  <conditionalFormatting sqref="H17">
    <cfRule type="cellIs" dxfId="12266" priority="1058" operator="equal">
      <formula>$O$10</formula>
    </cfRule>
    <cfRule type="cellIs" dxfId="12265" priority="1059" operator="equal">
      <formula>$O$18</formula>
    </cfRule>
    <cfRule type="cellIs" dxfId="12264" priority="1060" operator="equal">
      <formula>$O$17</formula>
    </cfRule>
  </conditionalFormatting>
  <conditionalFormatting sqref="H17">
    <cfRule type="cellIs" dxfId="12263" priority="1049" operator="equal">
      <formula>$O$13</formula>
    </cfRule>
    <cfRule type="cellIs" dxfId="12262" priority="1050" operator="equal">
      <formula>$O$12</formula>
    </cfRule>
    <cfRule type="cellIs" dxfId="12261" priority="1051" operator="equal">
      <formula>$O$11</formula>
    </cfRule>
    <cfRule type="cellIs" dxfId="12260" priority="1052" operator="equal">
      <formula>$O$10</formula>
    </cfRule>
    <cfRule type="cellIs" dxfId="12259" priority="1053" operator="equal">
      <formula>$O$9</formula>
    </cfRule>
    <cfRule type="cellIs" dxfId="12258" priority="1054" operator="equal">
      <formula>$O$8</formula>
    </cfRule>
    <cfRule type="cellIs" dxfId="12257" priority="1055" operator="equal">
      <formula>$O$7</formula>
    </cfRule>
    <cfRule type="cellIs" dxfId="12256" priority="1056" operator="equal">
      <formula>$O$6</formula>
    </cfRule>
    <cfRule type="cellIs" dxfId="12255" priority="1057" operator="equal">
      <formula>$O$5</formula>
    </cfRule>
  </conditionalFormatting>
  <conditionalFormatting sqref="H17">
    <cfRule type="duplicateValues" dxfId="12254" priority="1048"/>
  </conditionalFormatting>
  <conditionalFormatting sqref="H17">
    <cfRule type="cellIs" dxfId="12253" priority="1047" operator="equal">
      <formula>0</formula>
    </cfRule>
  </conditionalFormatting>
  <conditionalFormatting sqref="H17">
    <cfRule type="duplicateValues" dxfId="12252" priority="1046"/>
  </conditionalFormatting>
  <conditionalFormatting sqref="L17">
    <cfRule type="cellIs" dxfId="12251" priority="1035" operator="equal">
      <formula>$O$13</formula>
    </cfRule>
    <cfRule type="cellIs" dxfId="12250" priority="1036" operator="equal">
      <formula>$O$12</formula>
    </cfRule>
    <cfRule type="cellIs" dxfId="12249" priority="1037" operator="equal">
      <formula>$O$11</formula>
    </cfRule>
    <cfRule type="cellIs" dxfId="12248" priority="1038" operator="equal">
      <formula>$O$11</formula>
    </cfRule>
    <cfRule type="cellIs" dxfId="12247" priority="1039" operator="equal">
      <formula>$O$10</formula>
    </cfRule>
    <cfRule type="cellIs" dxfId="12246" priority="1040" operator="equal">
      <formula>$O$9</formula>
    </cfRule>
    <cfRule type="cellIs" dxfId="12245" priority="1041" operator="equal">
      <formula>$O$9</formula>
    </cfRule>
    <cfRule type="cellIs" dxfId="12244" priority="1042" operator="equal">
      <formula>$O$8</formula>
    </cfRule>
    <cfRule type="cellIs" dxfId="12243" priority="1043" operator="equal">
      <formula>$O$7</formula>
    </cfRule>
    <cfRule type="cellIs" dxfId="12242" priority="1044" operator="equal">
      <formula>$O$6</formula>
    </cfRule>
    <cfRule type="cellIs" dxfId="12241" priority="1045" operator="equal">
      <formula>$O$5</formula>
    </cfRule>
  </conditionalFormatting>
  <conditionalFormatting sqref="L17">
    <cfRule type="cellIs" dxfId="12240" priority="1031" operator="equal">
      <formula>$O$17</formula>
    </cfRule>
    <cfRule type="cellIs" dxfId="12239" priority="1032" operator="equal">
      <formula>$O$16</formula>
    </cfRule>
    <cfRule type="cellIs" dxfId="12238" priority="1033" operator="equal">
      <formula>$O$15</formula>
    </cfRule>
    <cfRule type="cellIs" dxfId="12237" priority="1034" operator="equal">
      <formula>$O$14</formula>
    </cfRule>
  </conditionalFormatting>
  <conditionalFormatting sqref="L17">
    <cfRule type="cellIs" dxfId="12236" priority="1030" operator="equal">
      <formula>$O$10</formula>
    </cfRule>
  </conditionalFormatting>
  <conditionalFormatting sqref="L17">
    <cfRule type="cellIs" dxfId="12235" priority="1029" operator="equal">
      <formula>$O$18</formula>
    </cfRule>
  </conditionalFormatting>
  <conditionalFormatting sqref="L17">
    <cfRule type="duplicateValues" dxfId="12234" priority="1028"/>
  </conditionalFormatting>
  <conditionalFormatting sqref="L17">
    <cfRule type="duplicateValues" dxfId="12233" priority="1027"/>
  </conditionalFormatting>
  <conditionalFormatting sqref="L17">
    <cfRule type="cellIs" dxfId="12232" priority="1026" operator="equal">
      <formula>$O$5</formula>
    </cfRule>
  </conditionalFormatting>
  <conditionalFormatting sqref="L17">
    <cfRule type="cellIs" dxfId="12231" priority="1025" operator="equal">
      <formula>$O$6</formula>
    </cfRule>
  </conditionalFormatting>
  <conditionalFormatting sqref="L17">
    <cfRule type="cellIs" dxfId="12230" priority="1024" operator="equal">
      <formula>$O$7</formula>
    </cfRule>
  </conditionalFormatting>
  <conditionalFormatting sqref="L17">
    <cfRule type="cellIs" dxfId="12229" priority="1023" operator="equal">
      <formula>$O$8</formula>
    </cfRule>
  </conditionalFormatting>
  <conditionalFormatting sqref="L17">
    <cfRule type="cellIs" dxfId="12228" priority="1022" operator="equal">
      <formula>$O$9</formula>
    </cfRule>
  </conditionalFormatting>
  <conditionalFormatting sqref="L17">
    <cfRule type="cellIs" dxfId="12227" priority="1021" operator="equal">
      <formula>$O$10</formula>
    </cfRule>
  </conditionalFormatting>
  <conditionalFormatting sqref="L17">
    <cfRule type="cellIs" dxfId="12226" priority="1020" operator="equal">
      <formula>$O$11</formula>
    </cfRule>
  </conditionalFormatting>
  <conditionalFormatting sqref="L17">
    <cfRule type="cellIs" dxfId="12225" priority="1019" operator="equal">
      <formula>$O$11</formula>
    </cfRule>
  </conditionalFormatting>
  <conditionalFormatting sqref="L17">
    <cfRule type="cellIs" dxfId="12224" priority="1018" operator="equal">
      <formula>$O$12</formula>
    </cfRule>
  </conditionalFormatting>
  <conditionalFormatting sqref="L17">
    <cfRule type="cellIs" dxfId="12223" priority="1017" operator="equal">
      <formula>$O$13</formula>
    </cfRule>
  </conditionalFormatting>
  <conditionalFormatting sqref="L17">
    <cfRule type="cellIs" dxfId="12222" priority="1016" operator="equal">
      <formula>$O$14</formula>
    </cfRule>
  </conditionalFormatting>
  <conditionalFormatting sqref="L17">
    <cfRule type="cellIs" dxfId="12221" priority="1015" operator="equal">
      <formula>$O$14</formula>
    </cfRule>
  </conditionalFormatting>
  <conditionalFormatting sqref="L17">
    <cfRule type="cellIs" dxfId="12220" priority="1014" operator="equal">
      <formula>$O$15</formula>
    </cfRule>
  </conditionalFormatting>
  <conditionalFormatting sqref="L17">
    <cfRule type="cellIs" dxfId="12219" priority="1013" operator="equal">
      <formula>$O$16</formula>
    </cfRule>
  </conditionalFormatting>
  <conditionalFormatting sqref="L17">
    <cfRule type="cellIs" dxfId="12218" priority="1012" operator="equal">
      <formula>$O$17</formula>
    </cfRule>
  </conditionalFormatting>
  <conditionalFormatting sqref="L17">
    <cfRule type="cellIs" dxfId="12217" priority="1011" operator="equal">
      <formula>$O$18</formula>
    </cfRule>
  </conditionalFormatting>
  <conditionalFormatting sqref="L17">
    <cfRule type="duplicateValues" dxfId="12216" priority="1010"/>
  </conditionalFormatting>
  <conditionalFormatting sqref="L17">
    <cfRule type="duplicateValues" dxfId="12215" priority="1009"/>
  </conditionalFormatting>
  <conditionalFormatting sqref="L17">
    <cfRule type="cellIs" dxfId="12214" priority="1003" operator="equal">
      <formula>$O$11</formula>
    </cfRule>
    <cfRule type="cellIs" dxfId="12213" priority="1004" operator="equal">
      <formula>$O$9</formula>
    </cfRule>
    <cfRule type="cellIs" dxfId="12212" priority="1005" operator="equal">
      <formula>$O$8</formula>
    </cfRule>
    <cfRule type="cellIs" dxfId="12211" priority="1006" operator="equal">
      <formula>$O$7</formula>
    </cfRule>
    <cfRule type="cellIs" dxfId="12210" priority="1007" operator="equal">
      <formula>$O$6</formula>
    </cfRule>
    <cfRule type="cellIs" dxfId="12209" priority="1008" operator="equal">
      <formula>$O$5</formula>
    </cfRule>
  </conditionalFormatting>
  <conditionalFormatting sqref="L17">
    <cfRule type="cellIs" dxfId="12208" priority="997" operator="equal">
      <formula>$O$16</formula>
    </cfRule>
    <cfRule type="cellIs" dxfId="12207" priority="998" operator="equal">
      <formula>$O$15</formula>
    </cfRule>
    <cfRule type="cellIs" dxfId="12206" priority="999" operator="equal">
      <formula>$O$14</formula>
    </cfRule>
    <cfRule type="cellIs" dxfId="12205" priority="1000" operator="equal">
      <formula>$O$13</formula>
    </cfRule>
    <cfRule type="cellIs" dxfId="12204" priority="1001" operator="equal">
      <formula>$O$12</formula>
    </cfRule>
    <cfRule type="cellIs" dxfId="12203" priority="1002" operator="equal">
      <formula>$O$11</formula>
    </cfRule>
  </conditionalFormatting>
  <conditionalFormatting sqref="L17">
    <cfRule type="cellIs" dxfId="12202" priority="994" operator="equal">
      <formula>$O$10</formula>
    </cfRule>
    <cfRule type="cellIs" dxfId="12201" priority="995" operator="equal">
      <formula>$O$18</formula>
    </cfRule>
    <cfRule type="cellIs" dxfId="12200" priority="996" operator="equal">
      <formula>$O$17</formula>
    </cfRule>
  </conditionalFormatting>
  <conditionalFormatting sqref="L17">
    <cfRule type="cellIs" dxfId="12199" priority="985" operator="equal">
      <formula>$O$13</formula>
    </cfRule>
    <cfRule type="cellIs" dxfId="12198" priority="986" operator="equal">
      <formula>$O$12</formula>
    </cfRule>
    <cfRule type="cellIs" dxfId="12197" priority="987" operator="equal">
      <formula>$O$11</formula>
    </cfRule>
    <cfRule type="cellIs" dxfId="12196" priority="988" operator="equal">
      <formula>$O$10</formula>
    </cfRule>
    <cfRule type="cellIs" dxfId="12195" priority="989" operator="equal">
      <formula>$O$9</formula>
    </cfRule>
    <cfRule type="cellIs" dxfId="12194" priority="990" operator="equal">
      <formula>$O$8</formula>
    </cfRule>
    <cfRule type="cellIs" dxfId="12193" priority="991" operator="equal">
      <formula>$O$7</formula>
    </cfRule>
    <cfRule type="cellIs" dxfId="12192" priority="992" operator="equal">
      <formula>$O$6</formula>
    </cfRule>
    <cfRule type="cellIs" dxfId="12191" priority="993" operator="equal">
      <formula>$O$5</formula>
    </cfRule>
  </conditionalFormatting>
  <conditionalFormatting sqref="L17">
    <cfRule type="duplicateValues" dxfId="12190" priority="984"/>
  </conditionalFormatting>
  <conditionalFormatting sqref="L17">
    <cfRule type="cellIs" dxfId="12189" priority="983" operator="equal">
      <formula>0</formula>
    </cfRule>
  </conditionalFormatting>
  <conditionalFormatting sqref="L17">
    <cfRule type="duplicateValues" dxfId="12188" priority="982"/>
  </conditionalFormatting>
  <conditionalFormatting sqref="N17">
    <cfRule type="cellIs" dxfId="12187" priority="971" operator="equal">
      <formula>$O$13</formula>
    </cfRule>
    <cfRule type="cellIs" dxfId="12186" priority="972" operator="equal">
      <formula>$O$12</formula>
    </cfRule>
    <cfRule type="cellIs" dxfId="12185" priority="973" operator="equal">
      <formula>$O$11</formula>
    </cfRule>
    <cfRule type="cellIs" dxfId="12184" priority="974" operator="equal">
      <formula>$O$11</formula>
    </cfRule>
    <cfRule type="cellIs" dxfId="12183" priority="975" operator="equal">
      <formula>$O$10</formula>
    </cfRule>
    <cfRule type="cellIs" dxfId="12182" priority="976" operator="equal">
      <formula>$O$9</formula>
    </cfRule>
    <cfRule type="cellIs" dxfId="12181" priority="977" operator="equal">
      <formula>$O$9</formula>
    </cfRule>
    <cfRule type="cellIs" dxfId="12180" priority="978" operator="equal">
      <formula>$O$8</formula>
    </cfRule>
    <cfRule type="cellIs" dxfId="12179" priority="979" operator="equal">
      <formula>$O$7</formula>
    </cfRule>
    <cfRule type="cellIs" dxfId="12178" priority="980" operator="equal">
      <formula>$O$6</formula>
    </cfRule>
    <cfRule type="cellIs" dxfId="12177" priority="981" operator="equal">
      <formula>$O$5</formula>
    </cfRule>
  </conditionalFormatting>
  <conditionalFormatting sqref="N17">
    <cfRule type="cellIs" dxfId="12176" priority="967" operator="equal">
      <formula>$O$17</formula>
    </cfRule>
    <cfRule type="cellIs" dxfId="12175" priority="968" operator="equal">
      <formula>$O$16</formula>
    </cfRule>
    <cfRule type="cellIs" dxfId="12174" priority="969" operator="equal">
      <formula>$O$15</formula>
    </cfRule>
    <cfRule type="cellIs" dxfId="12173" priority="970" operator="equal">
      <formula>$O$14</formula>
    </cfRule>
  </conditionalFormatting>
  <conditionalFormatting sqref="N17">
    <cfRule type="cellIs" dxfId="12172" priority="966" operator="equal">
      <formula>$O$10</formula>
    </cfRule>
  </conditionalFormatting>
  <conditionalFormatting sqref="N17">
    <cfRule type="cellIs" dxfId="12171" priority="965" operator="equal">
      <formula>$O$18</formula>
    </cfRule>
  </conditionalFormatting>
  <conditionalFormatting sqref="N17">
    <cfRule type="duplicateValues" dxfId="12170" priority="964"/>
  </conditionalFormatting>
  <conditionalFormatting sqref="N17">
    <cfRule type="duplicateValues" dxfId="12169" priority="963"/>
  </conditionalFormatting>
  <conditionalFormatting sqref="N17">
    <cfRule type="cellIs" dxfId="12168" priority="962" operator="equal">
      <formula>$O$5</formula>
    </cfRule>
  </conditionalFormatting>
  <conditionalFormatting sqref="N17">
    <cfRule type="cellIs" dxfId="12167" priority="961" operator="equal">
      <formula>$O$6</formula>
    </cfRule>
  </conditionalFormatting>
  <conditionalFormatting sqref="N17">
    <cfRule type="cellIs" dxfId="12166" priority="960" operator="equal">
      <formula>$O$7</formula>
    </cfRule>
  </conditionalFormatting>
  <conditionalFormatting sqref="N17">
    <cfRule type="cellIs" dxfId="12165" priority="959" operator="equal">
      <formula>$O$8</formula>
    </cfRule>
  </conditionalFormatting>
  <conditionalFormatting sqref="N17">
    <cfRule type="cellIs" dxfId="12164" priority="958" operator="equal">
      <formula>$O$9</formula>
    </cfRule>
  </conditionalFormatting>
  <conditionalFormatting sqref="N17">
    <cfRule type="cellIs" dxfId="12163" priority="957" operator="equal">
      <formula>$O$10</formula>
    </cfRule>
  </conditionalFormatting>
  <conditionalFormatting sqref="N17">
    <cfRule type="cellIs" dxfId="12162" priority="956" operator="equal">
      <formula>$O$11</formula>
    </cfRule>
  </conditionalFormatting>
  <conditionalFormatting sqref="N17">
    <cfRule type="cellIs" dxfId="12161" priority="955" operator="equal">
      <formula>$O$11</formula>
    </cfRule>
  </conditionalFormatting>
  <conditionalFormatting sqref="N17">
    <cfRule type="cellIs" dxfId="12160" priority="954" operator="equal">
      <formula>$O$12</formula>
    </cfRule>
  </conditionalFormatting>
  <conditionalFormatting sqref="N17">
    <cfRule type="cellIs" dxfId="12159" priority="953" operator="equal">
      <formula>$O$13</formula>
    </cfRule>
  </conditionalFormatting>
  <conditionalFormatting sqref="N17">
    <cfRule type="cellIs" dxfId="12158" priority="952" operator="equal">
      <formula>$O$14</formula>
    </cfRule>
  </conditionalFormatting>
  <conditionalFormatting sqref="N17">
    <cfRule type="cellIs" dxfId="12157" priority="951" operator="equal">
      <formula>$O$14</formula>
    </cfRule>
  </conditionalFormatting>
  <conditionalFormatting sqref="N17">
    <cfRule type="cellIs" dxfId="12156" priority="950" operator="equal">
      <formula>$O$15</formula>
    </cfRule>
  </conditionalFormatting>
  <conditionalFormatting sqref="N17">
    <cfRule type="cellIs" dxfId="12155" priority="949" operator="equal">
      <formula>$O$16</formula>
    </cfRule>
  </conditionalFormatting>
  <conditionalFormatting sqref="N17">
    <cfRule type="cellIs" dxfId="12154" priority="948" operator="equal">
      <formula>$O$17</formula>
    </cfRule>
  </conditionalFormatting>
  <conditionalFormatting sqref="N17">
    <cfRule type="cellIs" dxfId="12153" priority="947" operator="equal">
      <formula>$O$18</formula>
    </cfRule>
  </conditionalFormatting>
  <conditionalFormatting sqref="N17">
    <cfRule type="duplicateValues" dxfId="12152" priority="946"/>
  </conditionalFormatting>
  <conditionalFormatting sqref="N17">
    <cfRule type="duplicateValues" dxfId="12151" priority="945"/>
  </conditionalFormatting>
  <conditionalFormatting sqref="N17">
    <cfRule type="cellIs" dxfId="12150" priority="939" operator="equal">
      <formula>$O$11</formula>
    </cfRule>
    <cfRule type="cellIs" dxfId="12149" priority="940" operator="equal">
      <formula>$O$9</formula>
    </cfRule>
    <cfRule type="cellIs" dxfId="12148" priority="941" operator="equal">
      <formula>$O$8</formula>
    </cfRule>
    <cfRule type="cellIs" dxfId="12147" priority="942" operator="equal">
      <formula>$O$7</formula>
    </cfRule>
    <cfRule type="cellIs" dxfId="12146" priority="943" operator="equal">
      <formula>$O$6</formula>
    </cfRule>
    <cfRule type="cellIs" dxfId="12145" priority="944" operator="equal">
      <formula>$O$5</formula>
    </cfRule>
  </conditionalFormatting>
  <conditionalFormatting sqref="N17">
    <cfRule type="cellIs" dxfId="12144" priority="933" operator="equal">
      <formula>$O$16</formula>
    </cfRule>
    <cfRule type="cellIs" dxfId="12143" priority="934" operator="equal">
      <formula>$O$15</formula>
    </cfRule>
    <cfRule type="cellIs" dxfId="12142" priority="935" operator="equal">
      <formula>$O$14</formula>
    </cfRule>
    <cfRule type="cellIs" dxfId="12141" priority="936" operator="equal">
      <formula>$O$13</formula>
    </cfRule>
    <cfRule type="cellIs" dxfId="12140" priority="937" operator="equal">
      <formula>$O$12</formula>
    </cfRule>
    <cfRule type="cellIs" dxfId="12139" priority="938" operator="equal">
      <formula>$O$11</formula>
    </cfRule>
  </conditionalFormatting>
  <conditionalFormatting sqref="N17">
    <cfRule type="cellIs" dxfId="12138" priority="930" operator="equal">
      <formula>$O$10</formula>
    </cfRule>
    <cfRule type="cellIs" dxfId="12137" priority="931" operator="equal">
      <formula>$O$18</formula>
    </cfRule>
    <cfRule type="cellIs" dxfId="12136" priority="932" operator="equal">
      <formula>$O$17</formula>
    </cfRule>
  </conditionalFormatting>
  <conditionalFormatting sqref="N17">
    <cfRule type="cellIs" dxfId="12135" priority="921" operator="equal">
      <formula>$O$13</formula>
    </cfRule>
    <cfRule type="cellIs" dxfId="12134" priority="922" operator="equal">
      <formula>$O$12</formula>
    </cfRule>
    <cfRule type="cellIs" dxfId="12133" priority="923" operator="equal">
      <formula>$O$11</formula>
    </cfRule>
    <cfRule type="cellIs" dxfId="12132" priority="924" operator="equal">
      <formula>$O$10</formula>
    </cfRule>
    <cfRule type="cellIs" dxfId="12131" priority="925" operator="equal">
      <formula>$O$9</formula>
    </cfRule>
    <cfRule type="cellIs" dxfId="12130" priority="926" operator="equal">
      <formula>$O$8</formula>
    </cfRule>
    <cfRule type="cellIs" dxfId="12129" priority="927" operator="equal">
      <formula>$O$7</formula>
    </cfRule>
    <cfRule type="cellIs" dxfId="12128" priority="928" operator="equal">
      <formula>$O$6</formula>
    </cfRule>
    <cfRule type="cellIs" dxfId="12127" priority="929" operator="equal">
      <formula>$O$5</formula>
    </cfRule>
  </conditionalFormatting>
  <conditionalFormatting sqref="N17">
    <cfRule type="duplicateValues" dxfId="12126" priority="920"/>
  </conditionalFormatting>
  <conditionalFormatting sqref="N17">
    <cfRule type="cellIs" dxfId="12125" priority="919" operator="equal">
      <formula>0</formula>
    </cfRule>
  </conditionalFormatting>
  <conditionalFormatting sqref="N17">
    <cfRule type="duplicateValues" dxfId="12124" priority="918"/>
  </conditionalFormatting>
  <conditionalFormatting sqref="F5:F16">
    <cfRule type="duplicateValues" dxfId="12123" priority="917"/>
  </conditionalFormatting>
  <conditionalFormatting sqref="N21:N34">
    <cfRule type="duplicateValues" dxfId="12122" priority="916"/>
  </conditionalFormatting>
  <conditionalFormatting sqref="H32">
    <cfRule type="duplicateValues" dxfId="12121" priority="914"/>
  </conditionalFormatting>
  <conditionalFormatting sqref="H32">
    <cfRule type="duplicateValues" dxfId="12120" priority="912"/>
  </conditionalFormatting>
  <conditionalFormatting sqref="H32">
    <cfRule type="duplicateValues" dxfId="12119" priority="915"/>
  </conditionalFormatting>
  <conditionalFormatting sqref="L32">
    <cfRule type="duplicateValues" dxfId="12118" priority="910"/>
  </conditionalFormatting>
  <conditionalFormatting sqref="L32">
    <cfRule type="duplicateValues" dxfId="12117" priority="909"/>
  </conditionalFormatting>
  <conditionalFormatting sqref="L32">
    <cfRule type="duplicateValues" dxfId="12116" priority="911"/>
  </conditionalFormatting>
  <conditionalFormatting sqref="N32">
    <cfRule type="duplicateValues" dxfId="12115" priority="907"/>
  </conditionalFormatting>
  <conditionalFormatting sqref="N32">
    <cfRule type="duplicateValues" dxfId="12114" priority="906"/>
  </conditionalFormatting>
  <conditionalFormatting sqref="N32">
    <cfRule type="duplicateValues" dxfId="12113" priority="908"/>
  </conditionalFormatting>
  <conditionalFormatting sqref="H27">
    <cfRule type="duplicateValues" dxfId="12112" priority="904"/>
  </conditionalFormatting>
  <conditionalFormatting sqref="H27">
    <cfRule type="duplicateValues" dxfId="12111" priority="902"/>
  </conditionalFormatting>
  <conditionalFormatting sqref="H27">
    <cfRule type="duplicateValues" dxfId="12110" priority="905"/>
  </conditionalFormatting>
  <conditionalFormatting sqref="L27">
    <cfRule type="duplicateValues" dxfId="12109" priority="900"/>
  </conditionalFormatting>
  <conditionalFormatting sqref="L27">
    <cfRule type="duplicateValues" dxfId="12108" priority="899"/>
  </conditionalFormatting>
  <conditionalFormatting sqref="L27">
    <cfRule type="duplicateValues" dxfId="12107" priority="901"/>
  </conditionalFormatting>
  <conditionalFormatting sqref="N27">
    <cfRule type="duplicateValues" dxfId="12106" priority="897"/>
  </conditionalFormatting>
  <conditionalFormatting sqref="N27">
    <cfRule type="duplicateValues" dxfId="12105" priority="896"/>
  </conditionalFormatting>
  <conditionalFormatting sqref="N27">
    <cfRule type="duplicateValues" dxfId="12104" priority="898"/>
  </conditionalFormatting>
  <conditionalFormatting sqref="F31">
    <cfRule type="duplicateValues" dxfId="12103" priority="893"/>
  </conditionalFormatting>
  <conditionalFormatting sqref="F31">
    <cfRule type="duplicateValues" dxfId="12102" priority="892"/>
  </conditionalFormatting>
  <conditionalFormatting sqref="F31">
    <cfRule type="duplicateValues" dxfId="12101" priority="890"/>
  </conditionalFormatting>
  <conditionalFormatting sqref="F31">
    <cfRule type="duplicateValues" dxfId="12100" priority="894"/>
  </conditionalFormatting>
  <conditionalFormatting sqref="F31">
    <cfRule type="duplicateValues" dxfId="12099" priority="889"/>
  </conditionalFormatting>
  <conditionalFormatting sqref="F31">
    <cfRule type="duplicateValues" dxfId="12098" priority="888"/>
  </conditionalFormatting>
  <conditionalFormatting sqref="F31">
    <cfRule type="duplicateValues" dxfId="12097" priority="887"/>
  </conditionalFormatting>
  <conditionalFormatting sqref="F31">
    <cfRule type="duplicateValues" dxfId="12096" priority="886"/>
  </conditionalFormatting>
  <conditionalFormatting sqref="H23">
    <cfRule type="duplicateValues" dxfId="12095" priority="884"/>
  </conditionalFormatting>
  <conditionalFormatting sqref="H23">
    <cfRule type="duplicateValues" dxfId="12094" priority="882"/>
    <cfRule type="duplicateValues" dxfId="12093" priority="883"/>
  </conditionalFormatting>
  <conditionalFormatting sqref="H23">
    <cfRule type="duplicateValues" dxfId="12092" priority="880"/>
  </conditionalFormatting>
  <conditionalFormatting sqref="H23">
    <cfRule type="duplicateValues" dxfId="12091" priority="885"/>
  </conditionalFormatting>
  <conditionalFormatting sqref="H23">
    <cfRule type="duplicateValues" dxfId="12090" priority="879"/>
  </conditionalFormatting>
  <conditionalFormatting sqref="N21">
    <cfRule type="duplicateValues" dxfId="12089" priority="877"/>
  </conditionalFormatting>
  <conditionalFormatting sqref="N21">
    <cfRule type="duplicateValues" dxfId="12088" priority="876"/>
  </conditionalFormatting>
  <conditionalFormatting sqref="N21">
    <cfRule type="duplicateValues" dxfId="12087" priority="875"/>
  </conditionalFormatting>
  <conditionalFormatting sqref="N21">
    <cfRule type="duplicateValues" dxfId="12086" priority="878"/>
  </conditionalFormatting>
  <conditionalFormatting sqref="N21">
    <cfRule type="duplicateValues" dxfId="12085" priority="873"/>
  </conditionalFormatting>
  <conditionalFormatting sqref="N21">
    <cfRule type="duplicateValues" dxfId="12084" priority="872"/>
  </conditionalFormatting>
  <conditionalFormatting sqref="N21">
    <cfRule type="duplicateValues" dxfId="12083" priority="871"/>
  </conditionalFormatting>
  <conditionalFormatting sqref="F31">
    <cfRule type="duplicateValues" dxfId="12082" priority="868"/>
  </conditionalFormatting>
  <conditionalFormatting sqref="F31">
    <cfRule type="duplicateValues" dxfId="12081" priority="867"/>
  </conditionalFormatting>
  <conditionalFormatting sqref="F31">
    <cfRule type="duplicateValues" dxfId="12080" priority="869"/>
  </conditionalFormatting>
  <conditionalFormatting sqref="F31">
    <cfRule type="duplicateValues" dxfId="12079" priority="865"/>
  </conditionalFormatting>
  <conditionalFormatting sqref="E34:F34">
    <cfRule type="duplicateValues" dxfId="12078" priority="854"/>
  </conditionalFormatting>
  <conditionalFormatting sqref="F34">
    <cfRule type="cellIs" dxfId="12077" priority="848" operator="equal">
      <formula>$O$16</formula>
    </cfRule>
    <cfRule type="cellIs" dxfId="12076" priority="849" operator="equal">
      <formula>$O$15</formula>
    </cfRule>
    <cfRule type="cellIs" dxfId="12075" priority="850" operator="equal">
      <formula>$O$14</formula>
    </cfRule>
    <cfRule type="cellIs" dxfId="12074" priority="851" operator="equal">
      <formula>$O$13</formula>
    </cfRule>
    <cfRule type="cellIs" dxfId="12073" priority="852" operator="equal">
      <formula>$O$12</formula>
    </cfRule>
    <cfRule type="cellIs" dxfId="12072" priority="853" operator="equal">
      <formula>$O$11</formula>
    </cfRule>
  </conditionalFormatting>
  <conditionalFormatting sqref="F34">
    <cfRule type="cellIs" dxfId="12071" priority="845" operator="equal">
      <formula>$O$10</formula>
    </cfRule>
    <cfRule type="cellIs" dxfId="12070" priority="846" operator="equal">
      <formula>$O$18</formula>
    </cfRule>
    <cfRule type="cellIs" dxfId="12069" priority="847" operator="equal">
      <formula>$O$17</formula>
    </cfRule>
  </conditionalFormatting>
  <conditionalFormatting sqref="G34:H34">
    <cfRule type="duplicateValues" dxfId="12068" priority="833"/>
  </conditionalFormatting>
  <conditionalFormatting sqref="H34">
    <cfRule type="cellIs" dxfId="12067" priority="827" operator="equal">
      <formula>$O$16</formula>
    </cfRule>
    <cfRule type="cellIs" dxfId="12066" priority="828" operator="equal">
      <formula>$O$15</formula>
    </cfRule>
    <cfRule type="cellIs" dxfId="12065" priority="829" operator="equal">
      <formula>$O$14</formula>
    </cfRule>
    <cfRule type="cellIs" dxfId="12064" priority="830" operator="equal">
      <formula>$O$13</formula>
    </cfRule>
    <cfRule type="cellIs" dxfId="12063" priority="831" operator="equal">
      <formula>$O$12</formula>
    </cfRule>
    <cfRule type="cellIs" dxfId="12062" priority="832" operator="equal">
      <formula>$O$11</formula>
    </cfRule>
  </conditionalFormatting>
  <conditionalFormatting sqref="H34">
    <cfRule type="cellIs" dxfId="12061" priority="824" operator="equal">
      <formula>$O$10</formula>
    </cfRule>
    <cfRule type="cellIs" dxfId="12060" priority="825" operator="equal">
      <formula>$O$18</formula>
    </cfRule>
    <cfRule type="cellIs" dxfId="12059" priority="826" operator="equal">
      <formula>$O$17</formula>
    </cfRule>
  </conditionalFormatting>
  <conditionalFormatting sqref="H34">
    <cfRule type="cellIs" dxfId="12058" priority="815" operator="equal">
      <formula>$O$13</formula>
    </cfRule>
    <cfRule type="cellIs" dxfId="12057" priority="816" operator="equal">
      <formula>$O$12</formula>
    </cfRule>
    <cfRule type="cellIs" dxfId="12056" priority="817" operator="equal">
      <formula>$O$11</formula>
    </cfRule>
    <cfRule type="cellIs" dxfId="12055" priority="818" operator="equal">
      <formula>$O$10</formula>
    </cfRule>
    <cfRule type="cellIs" dxfId="12054" priority="819" operator="equal">
      <formula>$O$9</formula>
    </cfRule>
    <cfRule type="cellIs" dxfId="12053" priority="820" operator="equal">
      <formula>$O$8</formula>
    </cfRule>
    <cfRule type="cellIs" dxfId="12052" priority="821" operator="equal">
      <formula>$O$7</formula>
    </cfRule>
    <cfRule type="cellIs" dxfId="12051" priority="822" operator="equal">
      <formula>$O$6</formula>
    </cfRule>
    <cfRule type="cellIs" dxfId="12050" priority="823" operator="equal">
      <formula>$O$5</formula>
    </cfRule>
  </conditionalFormatting>
  <conditionalFormatting sqref="H34">
    <cfRule type="duplicateValues" dxfId="12049" priority="814"/>
  </conditionalFormatting>
  <conditionalFormatting sqref="L34">
    <cfRule type="duplicateValues" dxfId="12048" priority="811"/>
  </conditionalFormatting>
  <conditionalFormatting sqref="N34">
    <cfRule type="duplicateValues" dxfId="12047" priority="810"/>
  </conditionalFormatting>
  <conditionalFormatting sqref="K34:N34">
    <cfRule type="duplicateValues" dxfId="12046" priority="801"/>
  </conditionalFormatting>
  <conditionalFormatting sqref="L34">
    <cfRule type="duplicateValues" dxfId="12045" priority="800"/>
  </conditionalFormatting>
  <conditionalFormatting sqref="L34 N34">
    <cfRule type="cellIs" dxfId="12044" priority="794" operator="equal">
      <formula>$O$16</formula>
    </cfRule>
    <cfRule type="cellIs" dxfId="12043" priority="795" operator="equal">
      <formula>$O$15</formula>
    </cfRule>
    <cfRule type="cellIs" dxfId="12042" priority="796" operator="equal">
      <formula>$O$14</formula>
    </cfRule>
    <cfRule type="cellIs" dxfId="12041" priority="797" operator="equal">
      <formula>$O$13</formula>
    </cfRule>
    <cfRule type="cellIs" dxfId="12040" priority="798" operator="equal">
      <formula>$O$12</formula>
    </cfRule>
    <cfRule type="cellIs" dxfId="12039" priority="799" operator="equal">
      <formula>$O$11</formula>
    </cfRule>
  </conditionalFormatting>
  <conditionalFormatting sqref="L34 N34">
    <cfRule type="cellIs" dxfId="12038" priority="785" operator="equal">
      <formula>$O$13</formula>
    </cfRule>
    <cfRule type="cellIs" dxfId="12037" priority="786" operator="equal">
      <formula>$O$12</formula>
    </cfRule>
    <cfRule type="cellIs" dxfId="12036" priority="787" operator="equal">
      <formula>$O$11</formula>
    </cfRule>
    <cfRule type="cellIs" dxfId="12035" priority="788" operator="equal">
      <formula>$O$10</formula>
    </cfRule>
    <cfRule type="cellIs" dxfId="12034" priority="789" operator="equal">
      <formula>$O$9</formula>
    </cfRule>
    <cfRule type="cellIs" dxfId="12033" priority="790" operator="equal">
      <formula>$O$8</formula>
    </cfRule>
    <cfRule type="cellIs" dxfId="12032" priority="791" operator="equal">
      <formula>$O$7</formula>
    </cfRule>
    <cfRule type="cellIs" dxfId="12031" priority="792" operator="equal">
      <formula>$O$6</formula>
    </cfRule>
    <cfRule type="cellIs" dxfId="12030" priority="793" operator="equal">
      <formula>$O$5</formula>
    </cfRule>
  </conditionalFormatting>
  <conditionalFormatting sqref="N34">
    <cfRule type="duplicateValues" dxfId="12029" priority="781"/>
    <cfRule type="duplicateValues" dxfId="12028" priority="784"/>
  </conditionalFormatting>
  <conditionalFormatting sqref="L34">
    <cfRule type="duplicateValues" dxfId="12027" priority="783"/>
  </conditionalFormatting>
  <conditionalFormatting sqref="N34">
    <cfRule type="duplicateValues" dxfId="12026" priority="782"/>
  </conditionalFormatting>
  <conditionalFormatting sqref="F17">
    <cfRule type="cellIs" dxfId="12025" priority="767" operator="equal">
      <formula>$O$18</formula>
    </cfRule>
    <cfRule type="cellIs" dxfId="12024" priority="768" operator="equal">
      <formula>$O$17</formula>
    </cfRule>
    <cfRule type="cellIs" dxfId="12023" priority="769" operator="equal">
      <formula>$O$16</formula>
    </cfRule>
    <cfRule type="cellIs" dxfId="12022" priority="770" operator="equal">
      <formula>$O$15</formula>
    </cfRule>
    <cfRule type="cellIs" dxfId="12021" priority="771" operator="equal">
      <formula>$O$14</formula>
    </cfRule>
    <cfRule type="cellIs" dxfId="12020" priority="772" operator="equal">
      <formula>$O$13</formula>
    </cfRule>
    <cfRule type="cellIs" dxfId="12019" priority="773" operator="equal">
      <formula>$O$12</formula>
    </cfRule>
    <cfRule type="cellIs" dxfId="12018" priority="774" operator="equal">
      <formula>$O$11</formula>
    </cfRule>
    <cfRule type="cellIs" dxfId="12017" priority="775" operator="equal">
      <formula>$O$10</formula>
    </cfRule>
    <cfRule type="cellIs" dxfId="12016" priority="776" operator="equal">
      <formula>$O$9</formula>
    </cfRule>
    <cfRule type="cellIs" dxfId="12015" priority="777" operator="equal">
      <formula>$O$8</formula>
    </cfRule>
    <cfRule type="cellIs" dxfId="12014" priority="778" operator="equal">
      <formula>$O$7</formula>
    </cfRule>
    <cfRule type="cellIs" dxfId="12013" priority="779" operator="equal">
      <formula>$O$6</formula>
    </cfRule>
    <cfRule type="cellIs" dxfId="12012" priority="780" operator="equal">
      <formula>$O$5</formula>
    </cfRule>
  </conditionalFormatting>
  <conditionalFormatting sqref="F17">
    <cfRule type="cellIs" dxfId="12011" priority="756" operator="equal">
      <formula>$O$13</formula>
    </cfRule>
    <cfRule type="cellIs" dxfId="12010" priority="757" operator="equal">
      <formula>$O$12</formula>
    </cfRule>
    <cfRule type="cellIs" dxfId="12009" priority="758" operator="equal">
      <formula>$O$11</formula>
    </cfRule>
    <cfRule type="cellIs" dxfId="12008" priority="759" operator="equal">
      <formula>$O$11</formula>
    </cfRule>
    <cfRule type="cellIs" dxfId="12007" priority="760" operator="equal">
      <formula>$O$10</formula>
    </cfRule>
    <cfRule type="cellIs" dxfId="12006" priority="761" operator="equal">
      <formula>$O$9</formula>
    </cfRule>
    <cfRule type="cellIs" dxfId="12005" priority="762" operator="equal">
      <formula>$O$9</formula>
    </cfRule>
    <cfRule type="cellIs" dxfId="12004" priority="763" operator="equal">
      <formula>$O$8</formula>
    </cfRule>
    <cfRule type="cellIs" dxfId="12003" priority="764" operator="equal">
      <formula>$O$7</formula>
    </cfRule>
    <cfRule type="cellIs" dxfId="12002" priority="765" operator="equal">
      <formula>$O$6</formula>
    </cfRule>
    <cfRule type="cellIs" dxfId="12001" priority="766" operator="equal">
      <formula>$O$5</formula>
    </cfRule>
  </conditionalFormatting>
  <conditionalFormatting sqref="F17">
    <cfRule type="cellIs" dxfId="12000" priority="752" operator="equal">
      <formula>$O$17</formula>
    </cfRule>
    <cfRule type="cellIs" dxfId="11999" priority="753" operator="equal">
      <formula>$O$16</formula>
    </cfRule>
    <cfRule type="cellIs" dxfId="11998" priority="754" operator="equal">
      <formula>$O$15</formula>
    </cfRule>
    <cfRule type="cellIs" dxfId="11997" priority="755" operator="equal">
      <formula>$O$14</formula>
    </cfRule>
  </conditionalFormatting>
  <conditionalFormatting sqref="F17">
    <cfRule type="cellIs" dxfId="11996" priority="751" operator="equal">
      <formula>$O$10</formula>
    </cfRule>
  </conditionalFormatting>
  <conditionalFormatting sqref="F17">
    <cfRule type="cellIs" dxfId="11995" priority="750" operator="equal">
      <formula>$O$18</formula>
    </cfRule>
  </conditionalFormatting>
  <conditionalFormatting sqref="F17">
    <cfRule type="duplicateValues" dxfId="11994" priority="749"/>
  </conditionalFormatting>
  <conditionalFormatting sqref="F17">
    <cfRule type="duplicateValues" dxfId="11993" priority="748"/>
  </conditionalFormatting>
  <conditionalFormatting sqref="F17">
    <cfRule type="cellIs" dxfId="11992" priority="747" operator="equal">
      <formula>$O$5</formula>
    </cfRule>
  </conditionalFormatting>
  <conditionalFormatting sqref="F17">
    <cfRule type="cellIs" dxfId="11991" priority="746" operator="equal">
      <formula>$O$6</formula>
    </cfRule>
  </conditionalFormatting>
  <conditionalFormatting sqref="F17">
    <cfRule type="cellIs" dxfId="11990" priority="745" operator="equal">
      <formula>$O$7</formula>
    </cfRule>
  </conditionalFormatting>
  <conditionalFormatting sqref="F17">
    <cfRule type="cellIs" dxfId="11989" priority="744" operator="equal">
      <formula>$O$8</formula>
    </cfRule>
  </conditionalFormatting>
  <conditionalFormatting sqref="F17">
    <cfRule type="cellIs" dxfId="11988" priority="743" operator="equal">
      <formula>$O$9</formula>
    </cfRule>
  </conditionalFormatting>
  <conditionalFormatting sqref="F17">
    <cfRule type="cellIs" dxfId="11987" priority="742" operator="equal">
      <formula>$O$10</formula>
    </cfRule>
  </conditionalFormatting>
  <conditionalFormatting sqref="F17">
    <cfRule type="cellIs" dxfId="11986" priority="741" operator="equal">
      <formula>$O$11</formula>
    </cfRule>
  </conditionalFormatting>
  <conditionalFormatting sqref="F17">
    <cfRule type="cellIs" dxfId="11985" priority="740" operator="equal">
      <formula>$O$11</formula>
    </cfRule>
  </conditionalFormatting>
  <conditionalFormatting sqref="F17">
    <cfRule type="cellIs" dxfId="11984" priority="739" operator="equal">
      <formula>$O$12</formula>
    </cfRule>
  </conditionalFormatting>
  <conditionalFormatting sqref="F17">
    <cfRule type="cellIs" dxfId="11983" priority="738" operator="equal">
      <formula>$O$13</formula>
    </cfRule>
  </conditionalFormatting>
  <conditionalFormatting sqref="F17">
    <cfRule type="cellIs" dxfId="11982" priority="737" operator="equal">
      <formula>$O$14</formula>
    </cfRule>
  </conditionalFormatting>
  <conditionalFormatting sqref="F17">
    <cfRule type="cellIs" dxfId="11981" priority="736" operator="equal">
      <formula>$O$14</formula>
    </cfRule>
  </conditionalFormatting>
  <conditionalFormatting sqref="F17">
    <cfRule type="cellIs" dxfId="11980" priority="735" operator="equal">
      <formula>$O$15</formula>
    </cfRule>
  </conditionalFormatting>
  <conditionalFormatting sqref="F17">
    <cfRule type="cellIs" dxfId="11979" priority="734" operator="equal">
      <formula>$O$16</formula>
    </cfRule>
  </conditionalFormatting>
  <conditionalFormatting sqref="F17">
    <cfRule type="cellIs" dxfId="11978" priority="733" operator="equal">
      <formula>$O$17</formula>
    </cfRule>
  </conditionalFormatting>
  <conditionalFormatting sqref="F17">
    <cfRule type="cellIs" dxfId="11977" priority="732" operator="equal">
      <formula>$O$18</formula>
    </cfRule>
  </conditionalFormatting>
  <conditionalFormatting sqref="F17">
    <cfRule type="duplicateValues" dxfId="11976" priority="731"/>
  </conditionalFormatting>
  <conditionalFormatting sqref="F17">
    <cfRule type="duplicateValues" dxfId="11975" priority="730"/>
  </conditionalFormatting>
  <conditionalFormatting sqref="F17">
    <cfRule type="cellIs" dxfId="11974" priority="724" operator="equal">
      <formula>$O$11</formula>
    </cfRule>
    <cfRule type="cellIs" dxfId="11973" priority="725" operator="equal">
      <formula>$O$9</formula>
    </cfRule>
    <cfRule type="cellIs" dxfId="11972" priority="726" operator="equal">
      <formula>$O$8</formula>
    </cfRule>
    <cfRule type="cellIs" dxfId="11971" priority="727" operator="equal">
      <formula>$O$7</formula>
    </cfRule>
    <cfRule type="cellIs" dxfId="11970" priority="728" operator="equal">
      <formula>$O$6</formula>
    </cfRule>
    <cfRule type="cellIs" dxfId="11969" priority="729" operator="equal">
      <formula>$O$5</formula>
    </cfRule>
  </conditionalFormatting>
  <conditionalFormatting sqref="F17">
    <cfRule type="cellIs" dxfId="11968" priority="718" operator="equal">
      <formula>$O$16</formula>
    </cfRule>
    <cfRule type="cellIs" dxfId="11967" priority="719" operator="equal">
      <formula>$O$15</formula>
    </cfRule>
    <cfRule type="cellIs" dxfId="11966" priority="720" operator="equal">
      <formula>$O$14</formula>
    </cfRule>
    <cfRule type="cellIs" dxfId="11965" priority="721" operator="equal">
      <formula>$O$13</formula>
    </cfRule>
    <cfRule type="cellIs" dxfId="11964" priority="722" operator="equal">
      <formula>$O$12</formula>
    </cfRule>
    <cfRule type="cellIs" dxfId="11963" priority="723" operator="equal">
      <formula>$O$11</formula>
    </cfRule>
  </conditionalFormatting>
  <conditionalFormatting sqref="F17">
    <cfRule type="cellIs" dxfId="11962" priority="715" operator="equal">
      <formula>$O$10</formula>
    </cfRule>
    <cfRule type="cellIs" dxfId="11961" priority="716" operator="equal">
      <formula>$O$18</formula>
    </cfRule>
    <cfRule type="cellIs" dxfId="11960" priority="717" operator="equal">
      <formula>$O$17</formula>
    </cfRule>
  </conditionalFormatting>
  <conditionalFormatting sqref="F17">
    <cfRule type="cellIs" dxfId="11959" priority="706" operator="equal">
      <formula>$O$13</formula>
    </cfRule>
    <cfRule type="cellIs" dxfId="11958" priority="707" operator="equal">
      <formula>$O$12</formula>
    </cfRule>
    <cfRule type="cellIs" dxfId="11957" priority="708" operator="equal">
      <formula>$O$11</formula>
    </cfRule>
    <cfRule type="cellIs" dxfId="11956" priority="709" operator="equal">
      <formula>$O$10</formula>
    </cfRule>
    <cfRule type="cellIs" dxfId="11955" priority="710" operator="equal">
      <formula>$O$9</formula>
    </cfRule>
    <cfRule type="cellIs" dxfId="11954" priority="711" operator="equal">
      <formula>$O$8</formula>
    </cfRule>
    <cfRule type="cellIs" dxfId="11953" priority="712" operator="equal">
      <formula>$O$7</formula>
    </cfRule>
    <cfRule type="cellIs" dxfId="11952" priority="713" operator="equal">
      <formula>$O$6</formula>
    </cfRule>
    <cfRule type="cellIs" dxfId="11951" priority="714" operator="equal">
      <formula>$O$5</formula>
    </cfRule>
  </conditionalFormatting>
  <conditionalFormatting sqref="F17">
    <cfRule type="cellIs" dxfId="11950" priority="705" operator="equal">
      <formula>0</formula>
    </cfRule>
  </conditionalFormatting>
  <conditionalFormatting sqref="F5:F17 F21:F34">
    <cfRule type="duplicateValues" dxfId="11949" priority="704"/>
  </conditionalFormatting>
  <conditionalFormatting sqref="H5:H17 H21:H34">
    <cfRule type="duplicateValues" dxfId="11948" priority="703"/>
  </conditionalFormatting>
  <conditionalFormatting sqref="L5:L17 L21:L34">
    <cfRule type="duplicateValues" dxfId="11947" priority="702"/>
  </conditionalFormatting>
  <conditionalFormatting sqref="N5:N17 N21:N34">
    <cfRule type="duplicateValues" dxfId="11946" priority="701"/>
  </conditionalFormatting>
  <conditionalFormatting sqref="E4:N4">
    <cfRule type="cellIs" dxfId="11945" priority="700" operator="equal">
      <formula>0</formula>
    </cfRule>
  </conditionalFormatting>
  <conditionalFormatting sqref="E4:N4">
    <cfRule type="cellIs" dxfId="11944" priority="694" operator="equal">
      <formula>$O$11</formula>
    </cfRule>
    <cfRule type="cellIs" dxfId="11943" priority="695" operator="equal">
      <formula>$O$9</formula>
    </cfRule>
    <cfRule type="cellIs" dxfId="11942" priority="696" operator="equal">
      <formula>$O$8</formula>
    </cfRule>
    <cfRule type="cellIs" dxfId="11941" priority="697" operator="equal">
      <formula>$O$7</formula>
    </cfRule>
    <cfRule type="cellIs" dxfId="11940" priority="698" operator="equal">
      <formula>$O$6</formula>
    </cfRule>
    <cfRule type="cellIs" dxfId="11939" priority="699" operator="equal">
      <formula>$O$5</formula>
    </cfRule>
  </conditionalFormatting>
  <conditionalFormatting sqref="E20:N20">
    <cfRule type="cellIs" dxfId="11938" priority="693" operator="equal">
      <formula>0</formula>
    </cfRule>
  </conditionalFormatting>
  <conditionalFormatting sqref="E20:N20">
    <cfRule type="cellIs" dxfId="11937" priority="687" operator="equal">
      <formula>$O$11</formula>
    </cfRule>
    <cfRule type="cellIs" dxfId="11936" priority="688" operator="equal">
      <formula>$O$9</formula>
    </cfRule>
    <cfRule type="cellIs" dxfId="11935" priority="689" operator="equal">
      <formula>$O$8</formula>
    </cfRule>
    <cfRule type="cellIs" dxfId="11934" priority="690" operator="equal">
      <formula>$O$7</formula>
    </cfRule>
    <cfRule type="cellIs" dxfId="11933" priority="691" operator="equal">
      <formula>$O$6</formula>
    </cfRule>
    <cfRule type="cellIs" dxfId="11932" priority="692" operator="equal">
      <formula>$O$5</formula>
    </cfRule>
  </conditionalFormatting>
  <conditionalFormatting sqref="E52:H53">
    <cfRule type="cellIs" dxfId="11931" priority="686" operator="equal">
      <formula>0</formula>
    </cfRule>
  </conditionalFormatting>
  <conditionalFormatting sqref="F52:F53 H52:H53">
    <cfRule type="cellIs" dxfId="11930" priority="680" operator="equal">
      <formula>$O$16</formula>
    </cfRule>
    <cfRule type="cellIs" dxfId="11929" priority="681" operator="equal">
      <formula>$O$15</formula>
    </cfRule>
    <cfRule type="cellIs" dxfId="11928" priority="682" operator="equal">
      <formula>$O$14</formula>
    </cfRule>
    <cfRule type="cellIs" dxfId="11927" priority="683" operator="equal">
      <formula>$O$13</formula>
    </cfRule>
    <cfRule type="cellIs" dxfId="11926" priority="684" operator="equal">
      <formula>$O$12</formula>
    </cfRule>
    <cfRule type="cellIs" dxfId="11925" priority="685" operator="equal">
      <formula>$O$11</formula>
    </cfRule>
  </conditionalFormatting>
  <conditionalFormatting sqref="F52:F53">
    <cfRule type="duplicateValues" dxfId="11924" priority="679"/>
  </conditionalFormatting>
  <conditionalFormatting sqref="H52:H53">
    <cfRule type="duplicateValues" dxfId="11923" priority="678"/>
  </conditionalFormatting>
  <conditionalFormatting sqref="F52:F53">
    <cfRule type="duplicateValues" dxfId="11922" priority="677"/>
  </conditionalFormatting>
  <conditionalFormatting sqref="F52:F53">
    <cfRule type="duplicateValues" dxfId="11921" priority="676"/>
  </conditionalFormatting>
  <conditionalFormatting sqref="H52:H53">
    <cfRule type="duplicateValues" dxfId="11920" priority="675"/>
  </conditionalFormatting>
  <conditionalFormatting sqref="E52">
    <cfRule type="duplicateValues" dxfId="11919" priority="674"/>
  </conditionalFormatting>
  <conditionalFormatting sqref="E53">
    <cfRule type="duplicateValues" dxfId="11918" priority="673"/>
  </conditionalFormatting>
  <conditionalFormatting sqref="E52">
    <cfRule type="duplicateValues" dxfId="11917" priority="672"/>
  </conditionalFormatting>
  <conditionalFormatting sqref="E53">
    <cfRule type="duplicateValues" dxfId="11916" priority="671"/>
  </conditionalFormatting>
  <conditionalFormatting sqref="G52">
    <cfRule type="duplicateValues" dxfId="11915" priority="670"/>
  </conditionalFormatting>
  <conditionalFormatting sqref="G53">
    <cfRule type="duplicateValues" dxfId="11914" priority="669"/>
  </conditionalFormatting>
  <conditionalFormatting sqref="G52">
    <cfRule type="duplicateValues" dxfId="11913" priority="668"/>
  </conditionalFormatting>
  <conditionalFormatting sqref="G53">
    <cfRule type="duplicateValues" dxfId="11912" priority="667"/>
  </conditionalFormatting>
  <conditionalFormatting sqref="F52:F53">
    <cfRule type="duplicateValues" dxfId="11911" priority="656"/>
  </conditionalFormatting>
  <conditionalFormatting sqref="F52:F53">
    <cfRule type="cellIs" dxfId="11910" priority="653" operator="equal">
      <formula>$O$10</formula>
    </cfRule>
    <cfRule type="cellIs" dxfId="11909" priority="654" operator="equal">
      <formula>$O$18</formula>
    </cfRule>
    <cfRule type="cellIs" dxfId="11908" priority="655" operator="equal">
      <formula>$O$17</formula>
    </cfRule>
  </conditionalFormatting>
  <conditionalFormatting sqref="F52:F53">
    <cfRule type="cellIs" dxfId="11907" priority="644" operator="equal">
      <formula>$O$13</formula>
    </cfRule>
    <cfRule type="cellIs" dxfId="11906" priority="645" operator="equal">
      <formula>$O$12</formula>
    </cfRule>
    <cfRule type="cellIs" dxfId="11905" priority="646" operator="equal">
      <formula>$O$11</formula>
    </cfRule>
    <cfRule type="cellIs" dxfId="11904" priority="647" operator="equal">
      <formula>$O$10</formula>
    </cfRule>
    <cfRule type="cellIs" dxfId="11903" priority="648" operator="equal">
      <formula>$O$9</formula>
    </cfRule>
    <cfRule type="cellIs" dxfId="11902" priority="649" operator="equal">
      <formula>$O$8</formula>
    </cfRule>
    <cfRule type="cellIs" dxfId="11901" priority="650" operator="equal">
      <formula>$O$7</formula>
    </cfRule>
    <cfRule type="cellIs" dxfId="11900" priority="651" operator="equal">
      <formula>$O$6</formula>
    </cfRule>
    <cfRule type="cellIs" dxfId="11899" priority="652" operator="equal">
      <formula>$O$5</formula>
    </cfRule>
  </conditionalFormatting>
  <conditionalFormatting sqref="F52:F53">
    <cfRule type="duplicateValues" dxfId="11898" priority="640"/>
    <cfRule type="duplicateValues" dxfId="11897" priority="643"/>
  </conditionalFormatting>
  <conditionalFormatting sqref="F52">
    <cfRule type="duplicateValues" dxfId="11896" priority="642"/>
  </conditionalFormatting>
  <conditionalFormatting sqref="F53">
    <cfRule type="duplicateValues" dxfId="11895" priority="641"/>
  </conditionalFormatting>
  <conditionalFormatting sqref="F52">
    <cfRule type="duplicateValues" dxfId="11894" priority="639"/>
  </conditionalFormatting>
  <conditionalFormatting sqref="F53">
    <cfRule type="duplicateValues" dxfId="11893" priority="638"/>
  </conditionalFormatting>
  <conditionalFormatting sqref="F52:F53">
    <cfRule type="containsText" dxfId="11892" priority="636" operator="containsText" text="(HEM)">
      <formula>NOT(ISERROR(SEARCH("(HEM)",F52)))</formula>
    </cfRule>
    <cfRule type="containsText" dxfId="11891" priority="637" operator="containsText" text="(SV)">
      <formula>NOT(ISERROR(SEARCH("(SV)",F52)))</formula>
    </cfRule>
  </conditionalFormatting>
  <conditionalFormatting sqref="H52:H53">
    <cfRule type="duplicateValues" dxfId="11890" priority="635"/>
  </conditionalFormatting>
  <conditionalFormatting sqref="H52:H53">
    <cfRule type="duplicateValues" dxfId="11889" priority="634"/>
  </conditionalFormatting>
  <conditionalFormatting sqref="H52:H53">
    <cfRule type="duplicateValues" dxfId="11888" priority="633"/>
  </conditionalFormatting>
  <conditionalFormatting sqref="H52:H53">
    <cfRule type="duplicateValues" dxfId="11887" priority="622"/>
  </conditionalFormatting>
  <conditionalFormatting sqref="H52:H53">
    <cfRule type="cellIs" dxfId="11886" priority="619" operator="equal">
      <formula>$O$10</formula>
    </cfRule>
    <cfRule type="cellIs" dxfId="11885" priority="620" operator="equal">
      <formula>$O$18</formula>
    </cfRule>
    <cfRule type="cellIs" dxfId="11884" priority="621" operator="equal">
      <formula>$O$17</formula>
    </cfRule>
  </conditionalFormatting>
  <conditionalFormatting sqref="H52:H53">
    <cfRule type="cellIs" dxfId="11883" priority="610" operator="equal">
      <formula>$O$13</formula>
    </cfRule>
    <cfRule type="cellIs" dxfId="11882" priority="611" operator="equal">
      <formula>$O$12</formula>
    </cfRule>
    <cfRule type="cellIs" dxfId="11881" priority="612" operator="equal">
      <formula>$O$11</formula>
    </cfRule>
    <cfRule type="cellIs" dxfId="11880" priority="613" operator="equal">
      <formula>$O$10</formula>
    </cfRule>
    <cfRule type="cellIs" dxfId="11879" priority="614" operator="equal">
      <formula>$O$9</formula>
    </cfRule>
    <cfRule type="cellIs" dxfId="11878" priority="615" operator="equal">
      <formula>$O$8</formula>
    </cfRule>
    <cfRule type="cellIs" dxfId="11877" priority="616" operator="equal">
      <formula>$O$7</formula>
    </cfRule>
    <cfRule type="cellIs" dxfId="11876" priority="617" operator="equal">
      <formula>$O$6</formula>
    </cfRule>
    <cfRule type="cellIs" dxfId="11875" priority="618" operator="equal">
      <formula>$O$5</formula>
    </cfRule>
  </conditionalFormatting>
  <conditionalFormatting sqref="H52:H53">
    <cfRule type="duplicateValues" dxfId="11874" priority="606"/>
    <cfRule type="duplicateValues" dxfId="11873" priority="609"/>
  </conditionalFormatting>
  <conditionalFormatting sqref="H52">
    <cfRule type="duplicateValues" dxfId="11872" priority="608"/>
  </conditionalFormatting>
  <conditionalFormatting sqref="H53">
    <cfRule type="duplicateValues" dxfId="11871" priority="607"/>
  </conditionalFormatting>
  <conditionalFormatting sqref="H52">
    <cfRule type="duplicateValues" dxfId="11870" priority="605"/>
  </conditionalFormatting>
  <conditionalFormatting sqref="H53">
    <cfRule type="duplicateValues" dxfId="11869" priority="604"/>
  </conditionalFormatting>
  <conditionalFormatting sqref="H52:H53">
    <cfRule type="containsText" dxfId="11868" priority="602" operator="containsText" text="(HEM)">
      <formula>NOT(ISERROR(SEARCH("(HEM)",H52)))</formula>
    </cfRule>
    <cfRule type="containsText" dxfId="11867" priority="603" operator="containsText" text="(SV)">
      <formula>NOT(ISERROR(SEARCH("(SV)",H52)))</formula>
    </cfRule>
  </conditionalFormatting>
  <conditionalFormatting sqref="K52:N53">
    <cfRule type="cellIs" dxfId="11866" priority="601" operator="equal">
      <formula>0</formula>
    </cfRule>
  </conditionalFormatting>
  <conditionalFormatting sqref="L52:L53 N52:N53">
    <cfRule type="cellIs" dxfId="11865" priority="595" operator="equal">
      <formula>$O$16</formula>
    </cfRule>
    <cfRule type="cellIs" dxfId="11864" priority="596" operator="equal">
      <formula>$O$15</formula>
    </cfRule>
    <cfRule type="cellIs" dxfId="11863" priority="597" operator="equal">
      <formula>$O$14</formula>
    </cfRule>
    <cfRule type="cellIs" dxfId="11862" priority="598" operator="equal">
      <formula>$O$13</formula>
    </cfRule>
    <cfRule type="cellIs" dxfId="11861" priority="599" operator="equal">
      <formula>$O$12</formula>
    </cfRule>
    <cfRule type="cellIs" dxfId="11860" priority="600" operator="equal">
      <formula>$O$11</formula>
    </cfRule>
  </conditionalFormatting>
  <conditionalFormatting sqref="L52:L53">
    <cfRule type="duplicateValues" dxfId="11859" priority="594"/>
  </conditionalFormatting>
  <conditionalFormatting sqref="N52:N53">
    <cfRule type="duplicateValues" dxfId="11858" priority="593"/>
  </conditionalFormatting>
  <conditionalFormatting sqref="L52:L53">
    <cfRule type="duplicateValues" dxfId="11857" priority="592"/>
  </conditionalFormatting>
  <conditionalFormatting sqref="L52:L53">
    <cfRule type="duplicateValues" dxfId="11856" priority="591"/>
  </conditionalFormatting>
  <conditionalFormatting sqref="N52:N53">
    <cfRule type="duplicateValues" dxfId="11855" priority="590"/>
  </conditionalFormatting>
  <conditionalFormatting sqref="K52">
    <cfRule type="duplicateValues" dxfId="11854" priority="589"/>
  </conditionalFormatting>
  <conditionalFormatting sqref="K53">
    <cfRule type="duplicateValues" dxfId="11853" priority="588"/>
  </conditionalFormatting>
  <conditionalFormatting sqref="K52">
    <cfRule type="duplicateValues" dxfId="11852" priority="587"/>
  </conditionalFormatting>
  <conditionalFormatting sqref="K53">
    <cfRule type="duplicateValues" dxfId="11851" priority="586"/>
  </conditionalFormatting>
  <conditionalFormatting sqref="M52">
    <cfRule type="duplicateValues" dxfId="11850" priority="585"/>
  </conditionalFormatting>
  <conditionalFormatting sqref="M53">
    <cfRule type="duplicateValues" dxfId="11849" priority="584"/>
  </conditionalFormatting>
  <conditionalFormatting sqref="M52">
    <cfRule type="duplicateValues" dxfId="11848" priority="583"/>
  </conditionalFormatting>
  <conditionalFormatting sqref="M53">
    <cfRule type="duplicateValues" dxfId="11847" priority="582"/>
  </conditionalFormatting>
  <conditionalFormatting sqref="L52:L53">
    <cfRule type="duplicateValues" dxfId="11846" priority="571"/>
  </conditionalFormatting>
  <conditionalFormatting sqref="L52:L53">
    <cfRule type="cellIs" dxfId="11845" priority="568" operator="equal">
      <formula>$O$10</formula>
    </cfRule>
    <cfRule type="cellIs" dxfId="11844" priority="569" operator="equal">
      <formula>$O$18</formula>
    </cfRule>
    <cfRule type="cellIs" dxfId="11843" priority="570" operator="equal">
      <formula>$O$17</formula>
    </cfRule>
  </conditionalFormatting>
  <conditionalFormatting sqref="L52:L53">
    <cfRule type="cellIs" dxfId="11842" priority="559" operator="equal">
      <formula>$O$13</formula>
    </cfRule>
    <cfRule type="cellIs" dxfId="11841" priority="560" operator="equal">
      <formula>$O$12</formula>
    </cfRule>
    <cfRule type="cellIs" dxfId="11840" priority="561" operator="equal">
      <formula>$O$11</formula>
    </cfRule>
    <cfRule type="cellIs" dxfId="11839" priority="562" operator="equal">
      <formula>$O$10</formula>
    </cfRule>
    <cfRule type="cellIs" dxfId="11838" priority="563" operator="equal">
      <formula>$O$9</formula>
    </cfRule>
    <cfRule type="cellIs" dxfId="11837" priority="564" operator="equal">
      <formula>$O$8</formula>
    </cfRule>
    <cfRule type="cellIs" dxfId="11836" priority="565" operator="equal">
      <formula>$O$7</formula>
    </cfRule>
    <cfRule type="cellIs" dxfId="11835" priority="566" operator="equal">
      <formula>$O$6</formula>
    </cfRule>
    <cfRule type="cellIs" dxfId="11834" priority="567" operator="equal">
      <formula>$O$5</formula>
    </cfRule>
  </conditionalFormatting>
  <conditionalFormatting sqref="L52:L53">
    <cfRule type="duplicateValues" dxfId="11833" priority="555"/>
    <cfRule type="duplicateValues" dxfId="11832" priority="558"/>
  </conditionalFormatting>
  <conditionalFormatting sqref="L52">
    <cfRule type="duplicateValues" dxfId="11831" priority="557"/>
  </conditionalFormatting>
  <conditionalFormatting sqref="L53">
    <cfRule type="duplicateValues" dxfId="11830" priority="556"/>
  </conditionalFormatting>
  <conditionalFormatting sqref="L52">
    <cfRule type="duplicateValues" dxfId="11829" priority="554"/>
  </conditionalFormatting>
  <conditionalFormatting sqref="L53">
    <cfRule type="duplicateValues" dxfId="11828" priority="553"/>
  </conditionalFormatting>
  <conditionalFormatting sqref="L52:L53">
    <cfRule type="containsText" dxfId="11827" priority="551" operator="containsText" text="(HEM)">
      <formula>NOT(ISERROR(SEARCH("(HEM)",L52)))</formula>
    </cfRule>
    <cfRule type="containsText" dxfId="11826" priority="552" operator="containsText" text="(SV)">
      <formula>NOT(ISERROR(SEARCH("(SV)",L52)))</formula>
    </cfRule>
  </conditionalFormatting>
  <conditionalFormatting sqref="N52:N53">
    <cfRule type="duplicateValues" dxfId="11825" priority="550"/>
  </conditionalFormatting>
  <conditionalFormatting sqref="N52:N53">
    <cfRule type="duplicateValues" dxfId="11824" priority="549"/>
  </conditionalFormatting>
  <conditionalFormatting sqref="N52:N53">
    <cfRule type="duplicateValues" dxfId="11823" priority="548"/>
  </conditionalFormatting>
  <conditionalFormatting sqref="N52:N53">
    <cfRule type="duplicateValues" dxfId="11822" priority="537"/>
  </conditionalFormatting>
  <conditionalFormatting sqref="N52:N53">
    <cfRule type="cellIs" dxfId="11821" priority="534" operator="equal">
      <formula>$O$10</formula>
    </cfRule>
    <cfRule type="cellIs" dxfId="11820" priority="535" operator="equal">
      <formula>$O$18</formula>
    </cfRule>
    <cfRule type="cellIs" dxfId="11819" priority="536" operator="equal">
      <formula>$O$17</formula>
    </cfRule>
  </conditionalFormatting>
  <conditionalFormatting sqref="N52:N53">
    <cfRule type="cellIs" dxfId="11818" priority="525" operator="equal">
      <formula>$O$13</formula>
    </cfRule>
    <cfRule type="cellIs" dxfId="11817" priority="526" operator="equal">
      <formula>$O$12</formula>
    </cfRule>
    <cfRule type="cellIs" dxfId="11816" priority="527" operator="equal">
      <formula>$O$11</formula>
    </cfRule>
    <cfRule type="cellIs" dxfId="11815" priority="528" operator="equal">
      <formula>$O$10</formula>
    </cfRule>
    <cfRule type="cellIs" dxfId="11814" priority="529" operator="equal">
      <formula>$O$9</formula>
    </cfRule>
    <cfRule type="cellIs" dxfId="11813" priority="530" operator="equal">
      <formula>$O$8</formula>
    </cfRule>
    <cfRule type="cellIs" dxfId="11812" priority="531" operator="equal">
      <formula>$O$7</formula>
    </cfRule>
    <cfRule type="cellIs" dxfId="11811" priority="532" operator="equal">
      <formula>$O$6</formula>
    </cfRule>
    <cfRule type="cellIs" dxfId="11810" priority="533" operator="equal">
      <formula>$O$5</formula>
    </cfRule>
  </conditionalFormatting>
  <conditionalFormatting sqref="N52:N53">
    <cfRule type="duplicateValues" dxfId="11809" priority="521"/>
    <cfRule type="duplicateValues" dxfId="11808" priority="524"/>
  </conditionalFormatting>
  <conditionalFormatting sqref="N52">
    <cfRule type="duplicateValues" dxfId="11807" priority="523"/>
  </conditionalFormatting>
  <conditionalFormatting sqref="N53">
    <cfRule type="duplicateValues" dxfId="11806" priority="522"/>
  </conditionalFormatting>
  <conditionalFormatting sqref="N52">
    <cfRule type="duplicateValues" dxfId="11805" priority="520"/>
  </conditionalFormatting>
  <conditionalFormatting sqref="N53">
    <cfRule type="duplicateValues" dxfId="11804" priority="519"/>
  </conditionalFormatting>
  <conditionalFormatting sqref="N52:N53">
    <cfRule type="containsText" dxfId="11803" priority="517" operator="containsText" text="(HEM)">
      <formula>NOT(ISERROR(SEARCH("(HEM)",N52)))</formula>
    </cfRule>
    <cfRule type="containsText" dxfId="11802" priority="518" operator="containsText" text="(SV)">
      <formula>NOT(ISERROR(SEARCH("(SV)",N52)))</formula>
    </cfRule>
  </conditionalFormatting>
  <conditionalFormatting sqref="E35:H36">
    <cfRule type="cellIs" dxfId="11801" priority="514" operator="equal">
      <formula>0</formula>
    </cfRule>
  </conditionalFormatting>
  <conditionalFormatting sqref="F35:F36">
    <cfRule type="duplicateValues" dxfId="11800" priority="515"/>
  </conditionalFormatting>
  <conditionalFormatting sqref="H35:H36">
    <cfRule type="duplicateValues" dxfId="11799" priority="516"/>
  </conditionalFormatting>
  <conditionalFormatting sqref="E35:H36">
    <cfRule type="cellIs" dxfId="11798" priority="508" operator="equal">
      <formula>$O$11</formula>
    </cfRule>
    <cfRule type="cellIs" dxfId="11797" priority="509" operator="equal">
      <formula>$O$9</formula>
    </cfRule>
    <cfRule type="cellIs" dxfId="11796" priority="510" operator="equal">
      <formula>$O$8</formula>
    </cfRule>
    <cfRule type="cellIs" dxfId="11795" priority="511" operator="equal">
      <formula>$O$7</formula>
    </cfRule>
    <cfRule type="cellIs" dxfId="11794" priority="512" operator="equal">
      <formula>$O$6</formula>
    </cfRule>
    <cfRule type="cellIs" dxfId="11793" priority="513" operator="equal">
      <formula>$O$5</formula>
    </cfRule>
  </conditionalFormatting>
  <conditionalFormatting sqref="H35:H36">
    <cfRule type="duplicateValues" dxfId="11792" priority="507"/>
  </conditionalFormatting>
  <conditionalFormatting sqref="F35:F36">
    <cfRule type="duplicateValues" dxfId="11791" priority="506"/>
  </conditionalFormatting>
  <conditionalFormatting sqref="H35:H36">
    <cfRule type="duplicateValues" dxfId="11790" priority="505"/>
  </conditionalFormatting>
  <conditionalFormatting sqref="E35">
    <cfRule type="duplicateValues" dxfId="11789" priority="504"/>
  </conditionalFormatting>
  <conditionalFormatting sqref="E36">
    <cfRule type="duplicateValues" dxfId="11788" priority="503"/>
  </conditionalFormatting>
  <conditionalFormatting sqref="E36">
    <cfRule type="duplicateValues" dxfId="11787" priority="502"/>
  </conditionalFormatting>
  <conditionalFormatting sqref="E36">
    <cfRule type="duplicateValues" dxfId="11786" priority="501"/>
  </conditionalFormatting>
  <conditionalFormatting sqref="F35">
    <cfRule type="duplicateValues" dxfId="11785" priority="498"/>
  </conditionalFormatting>
  <conditionalFormatting sqref="F35">
    <cfRule type="duplicateValues" dxfId="11784" priority="489"/>
  </conditionalFormatting>
  <conditionalFormatting sqref="F35">
    <cfRule type="duplicateValues" dxfId="11783" priority="488"/>
  </conditionalFormatting>
  <conditionalFormatting sqref="F35">
    <cfRule type="cellIs" dxfId="11782" priority="482" operator="equal">
      <formula>$O$16</formula>
    </cfRule>
    <cfRule type="cellIs" dxfId="11781" priority="483" operator="equal">
      <formula>$O$15</formula>
    </cfRule>
    <cfRule type="cellIs" dxfId="11780" priority="484" operator="equal">
      <formula>$O$14</formula>
    </cfRule>
    <cfRule type="cellIs" dxfId="11779" priority="485" operator="equal">
      <formula>$O$13</formula>
    </cfRule>
    <cfRule type="cellIs" dxfId="11778" priority="486" operator="equal">
      <formula>$O$12</formula>
    </cfRule>
    <cfRule type="cellIs" dxfId="11777" priority="487" operator="equal">
      <formula>$O$11</formula>
    </cfRule>
  </conditionalFormatting>
  <conditionalFormatting sqref="F35">
    <cfRule type="cellIs" dxfId="11776" priority="479" operator="equal">
      <formula>$O$10</formula>
    </cfRule>
    <cfRule type="cellIs" dxfId="11775" priority="480" operator="equal">
      <formula>$O$18</formula>
    </cfRule>
    <cfRule type="cellIs" dxfId="11774" priority="481" operator="equal">
      <formula>$O$17</formula>
    </cfRule>
  </conditionalFormatting>
  <conditionalFormatting sqref="F35:F36">
    <cfRule type="cellIs" dxfId="11773" priority="470" operator="equal">
      <formula>$O$13</formula>
    </cfRule>
    <cfRule type="cellIs" dxfId="11772" priority="471" operator="equal">
      <formula>$O$12</formula>
    </cfRule>
    <cfRule type="cellIs" dxfId="11771" priority="472" operator="equal">
      <formula>$O$11</formula>
    </cfRule>
    <cfRule type="cellIs" dxfId="11770" priority="473" operator="equal">
      <formula>$O$10</formula>
    </cfRule>
    <cfRule type="cellIs" dxfId="11769" priority="474" operator="equal">
      <formula>$O$9</formula>
    </cfRule>
    <cfRule type="cellIs" dxfId="11768" priority="475" operator="equal">
      <formula>$O$8</formula>
    </cfRule>
    <cfRule type="cellIs" dxfId="11767" priority="476" operator="equal">
      <formula>$O$7</formula>
    </cfRule>
    <cfRule type="cellIs" dxfId="11766" priority="477" operator="equal">
      <formula>$O$6</formula>
    </cfRule>
    <cfRule type="cellIs" dxfId="11765" priority="478" operator="equal">
      <formula>$O$5</formula>
    </cfRule>
  </conditionalFormatting>
  <conditionalFormatting sqref="F36">
    <cfRule type="duplicateValues" dxfId="11764" priority="469"/>
  </conditionalFormatting>
  <conditionalFormatting sqref="F36">
    <cfRule type="duplicateValues" dxfId="11763" priority="458"/>
  </conditionalFormatting>
  <conditionalFormatting sqref="F36">
    <cfRule type="cellIs" dxfId="11762" priority="452" operator="equal">
      <formula>$O$16</formula>
    </cfRule>
    <cfRule type="cellIs" dxfId="11761" priority="453" operator="equal">
      <formula>$O$15</formula>
    </cfRule>
    <cfRule type="cellIs" dxfId="11760" priority="454" operator="equal">
      <formula>$O$14</formula>
    </cfRule>
    <cfRule type="cellIs" dxfId="11759" priority="455" operator="equal">
      <formula>$O$13</formula>
    </cfRule>
    <cfRule type="cellIs" dxfId="11758" priority="456" operator="equal">
      <formula>$O$12</formula>
    </cfRule>
    <cfRule type="cellIs" dxfId="11757" priority="457" operator="equal">
      <formula>$O$11</formula>
    </cfRule>
  </conditionalFormatting>
  <conditionalFormatting sqref="F36">
    <cfRule type="cellIs" dxfId="11756" priority="449" operator="equal">
      <formula>$O$10</formula>
    </cfRule>
    <cfRule type="cellIs" dxfId="11755" priority="450" operator="equal">
      <formula>$O$18</formula>
    </cfRule>
    <cfRule type="cellIs" dxfId="11754" priority="451" operator="equal">
      <formula>$O$17</formula>
    </cfRule>
  </conditionalFormatting>
  <conditionalFormatting sqref="H35:H36">
    <cfRule type="duplicateValues" dxfId="11753" priority="448"/>
  </conditionalFormatting>
  <conditionalFormatting sqref="H35:H36">
    <cfRule type="duplicateValues" dxfId="11752" priority="447"/>
  </conditionalFormatting>
  <conditionalFormatting sqref="G35">
    <cfRule type="duplicateValues" dxfId="11751" priority="446"/>
  </conditionalFormatting>
  <conditionalFormatting sqref="G36">
    <cfRule type="duplicateValues" dxfId="11750" priority="445"/>
  </conditionalFormatting>
  <conditionalFormatting sqref="G36">
    <cfRule type="duplicateValues" dxfId="11749" priority="444"/>
  </conditionalFormatting>
  <conditionalFormatting sqref="G36">
    <cfRule type="duplicateValues" dxfId="11748" priority="443"/>
  </conditionalFormatting>
  <conditionalFormatting sqref="H35">
    <cfRule type="duplicateValues" dxfId="11747" priority="440"/>
  </conditionalFormatting>
  <conditionalFormatting sqref="H35">
    <cfRule type="duplicateValues" dxfId="11746" priority="431"/>
  </conditionalFormatting>
  <conditionalFormatting sqref="H35">
    <cfRule type="duplicateValues" dxfId="11745" priority="430"/>
  </conditionalFormatting>
  <conditionalFormatting sqref="H35">
    <cfRule type="cellIs" dxfId="11744" priority="424" operator="equal">
      <formula>$O$16</formula>
    </cfRule>
    <cfRule type="cellIs" dxfId="11743" priority="425" operator="equal">
      <formula>$O$15</formula>
    </cfRule>
    <cfRule type="cellIs" dxfId="11742" priority="426" operator="equal">
      <formula>$O$14</formula>
    </cfRule>
    <cfRule type="cellIs" dxfId="11741" priority="427" operator="equal">
      <formula>$O$13</formula>
    </cfRule>
    <cfRule type="cellIs" dxfId="11740" priority="428" operator="equal">
      <formula>$O$12</formula>
    </cfRule>
    <cfRule type="cellIs" dxfId="11739" priority="429" operator="equal">
      <formula>$O$11</formula>
    </cfRule>
  </conditionalFormatting>
  <conditionalFormatting sqref="H35">
    <cfRule type="cellIs" dxfId="11738" priority="421" operator="equal">
      <formula>$O$10</formula>
    </cfRule>
    <cfRule type="cellIs" dxfId="11737" priority="422" operator="equal">
      <formula>$O$18</formula>
    </cfRule>
    <cfRule type="cellIs" dxfId="11736" priority="423" operator="equal">
      <formula>$O$17</formula>
    </cfRule>
  </conditionalFormatting>
  <conditionalFormatting sqref="H35:H36">
    <cfRule type="cellIs" dxfId="11735" priority="412" operator="equal">
      <formula>$O$13</formula>
    </cfRule>
    <cfRule type="cellIs" dxfId="11734" priority="413" operator="equal">
      <formula>$O$12</formula>
    </cfRule>
    <cfRule type="cellIs" dxfId="11733" priority="414" operator="equal">
      <formula>$O$11</formula>
    </cfRule>
    <cfRule type="cellIs" dxfId="11732" priority="415" operator="equal">
      <formula>$O$10</formula>
    </cfRule>
    <cfRule type="cellIs" dxfId="11731" priority="416" operator="equal">
      <formula>$O$9</formula>
    </cfRule>
    <cfRule type="cellIs" dxfId="11730" priority="417" operator="equal">
      <formula>$O$8</formula>
    </cfRule>
    <cfRule type="cellIs" dxfId="11729" priority="418" operator="equal">
      <formula>$O$7</formula>
    </cfRule>
    <cfRule type="cellIs" dxfId="11728" priority="419" operator="equal">
      <formula>$O$6</formula>
    </cfRule>
    <cfRule type="cellIs" dxfId="11727" priority="420" operator="equal">
      <formula>$O$5</formula>
    </cfRule>
  </conditionalFormatting>
  <conditionalFormatting sqref="H36">
    <cfRule type="duplicateValues" dxfId="11726" priority="411"/>
  </conditionalFormatting>
  <conditionalFormatting sqref="H36">
    <cfRule type="duplicateValues" dxfId="11725" priority="400"/>
  </conditionalFormatting>
  <conditionalFormatting sqref="H36">
    <cfRule type="cellIs" dxfId="11724" priority="394" operator="equal">
      <formula>$O$16</formula>
    </cfRule>
    <cfRule type="cellIs" dxfId="11723" priority="395" operator="equal">
      <formula>$O$15</formula>
    </cfRule>
    <cfRule type="cellIs" dxfId="11722" priority="396" operator="equal">
      <formula>$O$14</formula>
    </cfRule>
    <cfRule type="cellIs" dxfId="11721" priority="397" operator="equal">
      <formula>$O$13</formula>
    </cfRule>
    <cfRule type="cellIs" dxfId="11720" priority="398" operator="equal">
      <formula>$O$12</formula>
    </cfRule>
    <cfRule type="cellIs" dxfId="11719" priority="399" operator="equal">
      <formula>$O$11</formula>
    </cfRule>
  </conditionalFormatting>
  <conditionalFormatting sqref="H36">
    <cfRule type="cellIs" dxfId="11718" priority="391" operator="equal">
      <formula>$O$10</formula>
    </cfRule>
    <cfRule type="cellIs" dxfId="11717" priority="392" operator="equal">
      <formula>$O$18</formula>
    </cfRule>
    <cfRule type="cellIs" dxfId="11716" priority="393" operator="equal">
      <formula>$O$17</formula>
    </cfRule>
  </conditionalFormatting>
  <conditionalFormatting sqref="K35:N36">
    <cfRule type="cellIs" dxfId="11715" priority="388" operator="equal">
      <formula>0</formula>
    </cfRule>
  </conditionalFormatting>
  <conditionalFormatting sqref="L35:L36">
    <cfRule type="duplicateValues" dxfId="11714" priority="389"/>
  </conditionalFormatting>
  <conditionalFormatting sqref="N35:N36">
    <cfRule type="duplicateValues" dxfId="11713" priority="390"/>
  </conditionalFormatting>
  <conditionalFormatting sqref="K35:N36">
    <cfRule type="cellIs" dxfId="11712" priority="382" operator="equal">
      <formula>$O$11</formula>
    </cfRule>
    <cfRule type="cellIs" dxfId="11711" priority="383" operator="equal">
      <formula>$O$9</formula>
    </cfRule>
    <cfRule type="cellIs" dxfId="11710" priority="384" operator="equal">
      <formula>$O$8</formula>
    </cfRule>
    <cfRule type="cellIs" dxfId="11709" priority="385" operator="equal">
      <formula>$O$7</formula>
    </cfRule>
    <cfRule type="cellIs" dxfId="11708" priority="386" operator="equal">
      <formula>$O$6</formula>
    </cfRule>
    <cfRule type="cellIs" dxfId="11707" priority="387" operator="equal">
      <formula>$O$5</formula>
    </cfRule>
  </conditionalFormatting>
  <conditionalFormatting sqref="N35:N36">
    <cfRule type="duplicateValues" dxfId="11706" priority="381"/>
  </conditionalFormatting>
  <conditionalFormatting sqref="L35:L36">
    <cfRule type="duplicateValues" dxfId="11705" priority="380"/>
  </conditionalFormatting>
  <conditionalFormatting sqref="N35:N36">
    <cfRule type="duplicateValues" dxfId="11704" priority="379"/>
  </conditionalFormatting>
  <conditionalFormatting sqref="K35">
    <cfRule type="duplicateValues" dxfId="11703" priority="378"/>
  </conditionalFormatting>
  <conditionalFormatting sqref="K36">
    <cfRule type="duplicateValues" dxfId="11702" priority="377"/>
  </conditionalFormatting>
  <conditionalFormatting sqref="K36">
    <cfRule type="duplicateValues" dxfId="11701" priority="376"/>
  </conditionalFormatting>
  <conditionalFormatting sqref="K36">
    <cfRule type="duplicateValues" dxfId="11700" priority="375"/>
  </conditionalFormatting>
  <conditionalFormatting sqref="L35">
    <cfRule type="duplicateValues" dxfId="11699" priority="372"/>
  </conditionalFormatting>
  <conditionalFormatting sqref="L35">
    <cfRule type="duplicateValues" dxfId="11698" priority="363"/>
  </conditionalFormatting>
  <conditionalFormatting sqref="L35">
    <cfRule type="duplicateValues" dxfId="11697" priority="362"/>
  </conditionalFormatting>
  <conditionalFormatting sqref="L35">
    <cfRule type="cellIs" dxfId="11696" priority="356" operator="equal">
      <formula>$O$16</formula>
    </cfRule>
    <cfRule type="cellIs" dxfId="11695" priority="357" operator="equal">
      <formula>$O$15</formula>
    </cfRule>
    <cfRule type="cellIs" dxfId="11694" priority="358" operator="equal">
      <formula>$O$14</formula>
    </cfRule>
    <cfRule type="cellIs" dxfId="11693" priority="359" operator="equal">
      <formula>$O$13</formula>
    </cfRule>
    <cfRule type="cellIs" dxfId="11692" priority="360" operator="equal">
      <formula>$O$12</formula>
    </cfRule>
    <cfRule type="cellIs" dxfId="11691" priority="361" operator="equal">
      <formula>$O$11</formula>
    </cfRule>
  </conditionalFormatting>
  <conditionalFormatting sqref="L35">
    <cfRule type="cellIs" dxfId="11690" priority="353" operator="equal">
      <formula>$O$10</formula>
    </cfRule>
    <cfRule type="cellIs" dxfId="11689" priority="354" operator="equal">
      <formula>$O$18</formula>
    </cfRule>
    <cfRule type="cellIs" dxfId="11688" priority="355" operator="equal">
      <formula>$O$17</formula>
    </cfRule>
  </conditionalFormatting>
  <conditionalFormatting sqref="L35:L36">
    <cfRule type="cellIs" dxfId="11687" priority="344" operator="equal">
      <formula>$O$13</formula>
    </cfRule>
    <cfRule type="cellIs" dxfId="11686" priority="345" operator="equal">
      <formula>$O$12</formula>
    </cfRule>
    <cfRule type="cellIs" dxfId="11685" priority="346" operator="equal">
      <formula>$O$11</formula>
    </cfRule>
    <cfRule type="cellIs" dxfId="11684" priority="347" operator="equal">
      <formula>$O$10</formula>
    </cfRule>
    <cfRule type="cellIs" dxfId="11683" priority="348" operator="equal">
      <formula>$O$9</formula>
    </cfRule>
    <cfRule type="cellIs" dxfId="11682" priority="349" operator="equal">
      <formula>$O$8</formula>
    </cfRule>
    <cfRule type="cellIs" dxfId="11681" priority="350" operator="equal">
      <formula>$O$7</formula>
    </cfRule>
    <cfRule type="cellIs" dxfId="11680" priority="351" operator="equal">
      <formula>$O$6</formula>
    </cfRule>
    <cfRule type="cellIs" dxfId="11679" priority="352" operator="equal">
      <formula>$O$5</formula>
    </cfRule>
  </conditionalFormatting>
  <conditionalFormatting sqref="L36">
    <cfRule type="duplicateValues" dxfId="11678" priority="343"/>
  </conditionalFormatting>
  <conditionalFormatting sqref="L36">
    <cfRule type="duplicateValues" dxfId="11677" priority="332"/>
  </conditionalFormatting>
  <conditionalFormatting sqref="L36">
    <cfRule type="cellIs" dxfId="11676" priority="326" operator="equal">
      <formula>$O$16</formula>
    </cfRule>
    <cfRule type="cellIs" dxfId="11675" priority="327" operator="equal">
      <formula>$O$15</formula>
    </cfRule>
    <cfRule type="cellIs" dxfId="11674" priority="328" operator="equal">
      <formula>$O$14</formula>
    </cfRule>
    <cfRule type="cellIs" dxfId="11673" priority="329" operator="equal">
      <formula>$O$13</formula>
    </cfRule>
    <cfRule type="cellIs" dxfId="11672" priority="330" operator="equal">
      <formula>$O$12</formula>
    </cfRule>
    <cfRule type="cellIs" dxfId="11671" priority="331" operator="equal">
      <formula>$O$11</formula>
    </cfRule>
  </conditionalFormatting>
  <conditionalFormatting sqref="L36">
    <cfRule type="cellIs" dxfId="11670" priority="323" operator="equal">
      <formula>$O$10</formula>
    </cfRule>
    <cfRule type="cellIs" dxfId="11669" priority="324" operator="equal">
      <formula>$O$18</formula>
    </cfRule>
    <cfRule type="cellIs" dxfId="11668" priority="325" operator="equal">
      <formula>$O$17</formula>
    </cfRule>
  </conditionalFormatting>
  <conditionalFormatting sqref="N35:N36">
    <cfRule type="duplicateValues" dxfId="11667" priority="322"/>
  </conditionalFormatting>
  <conditionalFormatting sqref="N35:N36">
    <cfRule type="duplicateValues" dxfId="11666" priority="321"/>
  </conditionalFormatting>
  <conditionalFormatting sqref="M35">
    <cfRule type="duplicateValues" dxfId="11665" priority="320"/>
  </conditionalFormatting>
  <conditionalFormatting sqref="M36">
    <cfRule type="duplicateValues" dxfId="11664" priority="319"/>
  </conditionalFormatting>
  <conditionalFormatting sqref="M36">
    <cfRule type="duplicateValues" dxfId="11663" priority="318"/>
  </conditionalFormatting>
  <conditionalFormatting sqref="M36">
    <cfRule type="duplicateValues" dxfId="11662" priority="317"/>
  </conditionalFormatting>
  <conditionalFormatting sqref="N35">
    <cfRule type="duplicateValues" dxfId="11661" priority="314"/>
  </conditionalFormatting>
  <conditionalFormatting sqref="N35">
    <cfRule type="duplicateValues" dxfId="11660" priority="305"/>
  </conditionalFormatting>
  <conditionalFormatting sqref="N35">
    <cfRule type="duplicateValues" dxfId="11659" priority="304"/>
  </conditionalFormatting>
  <conditionalFormatting sqref="N35">
    <cfRule type="cellIs" dxfId="11658" priority="298" operator="equal">
      <formula>$O$16</formula>
    </cfRule>
    <cfRule type="cellIs" dxfId="11657" priority="299" operator="equal">
      <formula>$O$15</formula>
    </cfRule>
    <cfRule type="cellIs" dxfId="11656" priority="300" operator="equal">
      <formula>$O$14</formula>
    </cfRule>
    <cfRule type="cellIs" dxfId="11655" priority="301" operator="equal">
      <formula>$O$13</formula>
    </cfRule>
    <cfRule type="cellIs" dxfId="11654" priority="302" operator="equal">
      <formula>$O$12</formula>
    </cfRule>
    <cfRule type="cellIs" dxfId="11653" priority="303" operator="equal">
      <formula>$O$11</formula>
    </cfRule>
  </conditionalFormatting>
  <conditionalFormatting sqref="N35">
    <cfRule type="cellIs" dxfId="11652" priority="295" operator="equal">
      <formula>$O$10</formula>
    </cfRule>
    <cfRule type="cellIs" dxfId="11651" priority="296" operator="equal">
      <formula>$O$18</formula>
    </cfRule>
    <cfRule type="cellIs" dxfId="11650" priority="297" operator="equal">
      <formula>$O$17</formula>
    </cfRule>
  </conditionalFormatting>
  <conditionalFormatting sqref="N35:N36">
    <cfRule type="cellIs" dxfId="11649" priority="286" operator="equal">
      <formula>$O$13</formula>
    </cfRule>
    <cfRule type="cellIs" dxfId="11648" priority="287" operator="equal">
      <formula>$O$12</formula>
    </cfRule>
    <cfRule type="cellIs" dxfId="11647" priority="288" operator="equal">
      <formula>$O$11</formula>
    </cfRule>
    <cfRule type="cellIs" dxfId="11646" priority="289" operator="equal">
      <formula>$O$10</formula>
    </cfRule>
    <cfRule type="cellIs" dxfId="11645" priority="290" operator="equal">
      <formula>$O$9</formula>
    </cfRule>
    <cfRule type="cellIs" dxfId="11644" priority="291" operator="equal">
      <formula>$O$8</formula>
    </cfRule>
    <cfRule type="cellIs" dxfId="11643" priority="292" operator="equal">
      <formula>$O$7</formula>
    </cfRule>
    <cfRule type="cellIs" dxfId="11642" priority="293" operator="equal">
      <formula>$O$6</formula>
    </cfRule>
    <cfRule type="cellIs" dxfId="11641" priority="294" operator="equal">
      <formula>$O$5</formula>
    </cfRule>
  </conditionalFormatting>
  <conditionalFormatting sqref="N36">
    <cfRule type="duplicateValues" dxfId="11640" priority="285"/>
  </conditionalFormatting>
  <conditionalFormatting sqref="N36">
    <cfRule type="duplicateValues" dxfId="11639" priority="274"/>
  </conditionalFormatting>
  <conditionalFormatting sqref="N36">
    <cfRule type="cellIs" dxfId="11638" priority="268" operator="equal">
      <formula>$O$16</formula>
    </cfRule>
    <cfRule type="cellIs" dxfId="11637" priority="269" operator="equal">
      <formula>$O$15</formula>
    </cfRule>
    <cfRule type="cellIs" dxfId="11636" priority="270" operator="equal">
      <formula>$O$14</formula>
    </cfRule>
    <cfRule type="cellIs" dxfId="11635" priority="271" operator="equal">
      <formula>$O$13</formula>
    </cfRule>
    <cfRule type="cellIs" dxfId="11634" priority="272" operator="equal">
      <formula>$O$12</formula>
    </cfRule>
    <cfRule type="cellIs" dxfId="11633" priority="273" operator="equal">
      <formula>$O$11</formula>
    </cfRule>
  </conditionalFormatting>
  <conditionalFormatting sqref="N36">
    <cfRule type="cellIs" dxfId="11632" priority="265" operator="equal">
      <formula>$O$10</formula>
    </cfRule>
    <cfRule type="cellIs" dxfId="11631" priority="266" operator="equal">
      <formula>$O$18</formula>
    </cfRule>
    <cfRule type="cellIs" dxfId="11630" priority="267" operator="equal">
      <formula>$O$17</formula>
    </cfRule>
  </conditionalFormatting>
  <conditionalFormatting sqref="F18:F19">
    <cfRule type="cellIs" dxfId="11629" priority="264" operator="equal">
      <formula>0</formula>
    </cfRule>
  </conditionalFormatting>
  <conditionalFormatting sqref="F18:F19">
    <cfRule type="duplicateValues" dxfId="11628" priority="263"/>
  </conditionalFormatting>
  <conditionalFormatting sqref="E18:E19">
    <cfRule type="cellIs" dxfId="11627" priority="260" operator="equal">
      <formula>0</formula>
    </cfRule>
  </conditionalFormatting>
  <conditionalFormatting sqref="E18">
    <cfRule type="duplicateValues" dxfId="11626" priority="261"/>
  </conditionalFormatting>
  <conditionalFormatting sqref="E19">
    <cfRule type="duplicateValues" dxfId="11625" priority="262"/>
  </conditionalFormatting>
  <conditionalFormatting sqref="F18:F19">
    <cfRule type="duplicateValues" dxfId="11624" priority="246"/>
    <cfRule type="duplicateValues" dxfId="11623" priority="247"/>
  </conditionalFormatting>
  <conditionalFormatting sqref="F18:F19">
    <cfRule type="cellIs" dxfId="11622" priority="245" operator="equal">
      <formula>0</formula>
    </cfRule>
  </conditionalFormatting>
  <conditionalFormatting sqref="F18">
    <cfRule type="duplicateValues" dxfId="11621" priority="248"/>
  </conditionalFormatting>
  <conditionalFormatting sqref="F19">
    <cfRule type="duplicateValues" dxfId="11620" priority="249"/>
  </conditionalFormatting>
  <conditionalFormatting sqref="F18:F19">
    <cfRule type="cellIs" dxfId="11619" priority="231" operator="equal">
      <formula>$O$18</formula>
    </cfRule>
    <cfRule type="cellIs" dxfId="11618" priority="232" operator="equal">
      <formula>$O$17</formula>
    </cfRule>
    <cfRule type="cellIs" dxfId="11617" priority="233" operator="equal">
      <formula>$O$16</formula>
    </cfRule>
    <cfRule type="cellIs" dxfId="11616" priority="234" operator="equal">
      <formula>$O$15</formula>
    </cfRule>
    <cfRule type="cellIs" dxfId="11615" priority="235" operator="equal">
      <formula>$O$14</formula>
    </cfRule>
    <cfRule type="cellIs" dxfId="11614" priority="236" operator="equal">
      <formula>$O$13</formula>
    </cfRule>
    <cfRule type="cellIs" dxfId="11613" priority="237" operator="equal">
      <formula>$O$12</formula>
    </cfRule>
    <cfRule type="cellIs" dxfId="11612" priority="238" operator="equal">
      <formula>$O$11</formula>
    </cfRule>
    <cfRule type="cellIs" dxfId="11611" priority="239" operator="equal">
      <formula>$O$10</formula>
    </cfRule>
    <cfRule type="cellIs" dxfId="11610" priority="240" operator="equal">
      <formula>$O$9</formula>
    </cfRule>
    <cfRule type="cellIs" dxfId="11609" priority="241" operator="equal">
      <formula>$O$8</formula>
    </cfRule>
    <cfRule type="cellIs" dxfId="11608" priority="242" operator="equal">
      <formula>$O$7</formula>
    </cfRule>
    <cfRule type="cellIs" dxfId="11607" priority="243" operator="equal">
      <formula>$O$6</formula>
    </cfRule>
    <cfRule type="cellIs" dxfId="11606" priority="244" operator="equal">
      <formula>$O$5</formula>
    </cfRule>
  </conditionalFormatting>
  <conditionalFormatting sqref="F18:F19">
    <cfRule type="duplicateValues" dxfId="11605" priority="230"/>
  </conditionalFormatting>
  <conditionalFormatting sqref="H18:H19">
    <cfRule type="cellIs" dxfId="11604" priority="229" operator="equal">
      <formula>0</formula>
    </cfRule>
  </conditionalFormatting>
  <conditionalFormatting sqref="H18:H19">
    <cfRule type="duplicateValues" dxfId="11603" priority="228"/>
  </conditionalFormatting>
  <conditionalFormatting sqref="G18:G19">
    <cfRule type="cellIs" dxfId="11602" priority="225" operator="equal">
      <formula>0</formula>
    </cfRule>
  </conditionalFormatting>
  <conditionalFormatting sqref="G18">
    <cfRule type="duplicateValues" dxfId="11601" priority="226"/>
  </conditionalFormatting>
  <conditionalFormatting sqref="G19">
    <cfRule type="duplicateValues" dxfId="11600" priority="227"/>
  </conditionalFormatting>
  <conditionalFormatting sqref="H18:H19">
    <cfRule type="duplicateValues" dxfId="11599" priority="211"/>
    <cfRule type="duplicateValues" dxfId="11598" priority="212"/>
  </conditionalFormatting>
  <conditionalFormatting sqref="H18:H19">
    <cfRule type="cellIs" dxfId="11597" priority="210" operator="equal">
      <formula>0</formula>
    </cfRule>
  </conditionalFormatting>
  <conditionalFormatting sqref="H18">
    <cfRule type="duplicateValues" dxfId="11596" priority="213"/>
  </conditionalFormatting>
  <conditionalFormatting sqref="H19">
    <cfRule type="duplicateValues" dxfId="11595" priority="214"/>
  </conditionalFormatting>
  <conditionalFormatting sqref="H18:H19">
    <cfRule type="cellIs" dxfId="11594" priority="196" operator="equal">
      <formula>$O$18</formula>
    </cfRule>
    <cfRule type="cellIs" dxfId="11593" priority="197" operator="equal">
      <formula>$O$17</formula>
    </cfRule>
    <cfRule type="cellIs" dxfId="11592" priority="198" operator="equal">
      <formula>$O$16</formula>
    </cfRule>
    <cfRule type="cellIs" dxfId="11591" priority="199" operator="equal">
      <formula>$O$15</formula>
    </cfRule>
    <cfRule type="cellIs" dxfId="11590" priority="200" operator="equal">
      <formula>$O$14</formula>
    </cfRule>
    <cfRule type="cellIs" dxfId="11589" priority="201" operator="equal">
      <formula>$O$13</formula>
    </cfRule>
    <cfRule type="cellIs" dxfId="11588" priority="202" operator="equal">
      <formula>$O$12</formula>
    </cfRule>
    <cfRule type="cellIs" dxfId="11587" priority="203" operator="equal">
      <formula>$O$11</formula>
    </cfRule>
    <cfRule type="cellIs" dxfId="11586" priority="204" operator="equal">
      <formula>$O$10</formula>
    </cfRule>
    <cfRule type="cellIs" dxfId="11585" priority="205" operator="equal">
      <formula>$O$9</formula>
    </cfRule>
    <cfRule type="cellIs" dxfId="11584" priority="206" operator="equal">
      <formula>$O$8</formula>
    </cfRule>
    <cfRule type="cellIs" dxfId="11583" priority="207" operator="equal">
      <formula>$O$7</formula>
    </cfRule>
    <cfRule type="cellIs" dxfId="11582" priority="208" operator="equal">
      <formula>$O$6</formula>
    </cfRule>
    <cfRule type="cellIs" dxfId="11581" priority="209" operator="equal">
      <formula>$O$5</formula>
    </cfRule>
  </conditionalFormatting>
  <conditionalFormatting sqref="H18:H19">
    <cfRule type="duplicateValues" dxfId="11580" priority="195"/>
  </conditionalFormatting>
  <conditionalFormatting sqref="L18:L19">
    <cfRule type="cellIs" dxfId="11579" priority="194" operator="equal">
      <formula>0</formula>
    </cfRule>
  </conditionalFormatting>
  <conditionalFormatting sqref="L18:L19">
    <cfRule type="duplicateValues" dxfId="11578" priority="193"/>
  </conditionalFormatting>
  <conditionalFormatting sqref="K18:K19">
    <cfRule type="cellIs" dxfId="11577" priority="190" operator="equal">
      <formula>0</formula>
    </cfRule>
  </conditionalFormatting>
  <conditionalFormatting sqref="K18">
    <cfRule type="duplicateValues" dxfId="11576" priority="191"/>
  </conditionalFormatting>
  <conditionalFormatting sqref="K19">
    <cfRule type="duplicateValues" dxfId="11575" priority="192"/>
  </conditionalFormatting>
  <conditionalFormatting sqref="L18:L19">
    <cfRule type="duplicateValues" dxfId="11574" priority="176"/>
    <cfRule type="duplicateValues" dxfId="11573" priority="177"/>
  </conditionalFormatting>
  <conditionalFormatting sqref="L18:L19">
    <cfRule type="cellIs" dxfId="11572" priority="175" operator="equal">
      <formula>0</formula>
    </cfRule>
  </conditionalFormatting>
  <conditionalFormatting sqref="L18">
    <cfRule type="duplicateValues" dxfId="11571" priority="178"/>
  </conditionalFormatting>
  <conditionalFormatting sqref="L19">
    <cfRule type="duplicateValues" dxfId="11570" priority="179"/>
  </conditionalFormatting>
  <conditionalFormatting sqref="L18:L19">
    <cfRule type="cellIs" dxfId="11569" priority="161" operator="equal">
      <formula>$O$18</formula>
    </cfRule>
    <cfRule type="cellIs" dxfId="11568" priority="162" operator="equal">
      <formula>$O$17</formula>
    </cfRule>
    <cfRule type="cellIs" dxfId="11567" priority="163" operator="equal">
      <formula>$O$16</formula>
    </cfRule>
    <cfRule type="cellIs" dxfId="11566" priority="164" operator="equal">
      <formula>$O$15</formula>
    </cfRule>
    <cfRule type="cellIs" dxfId="11565" priority="165" operator="equal">
      <formula>$O$14</formula>
    </cfRule>
    <cfRule type="cellIs" dxfId="11564" priority="166" operator="equal">
      <formula>$O$13</formula>
    </cfRule>
    <cfRule type="cellIs" dxfId="11563" priority="167" operator="equal">
      <formula>$O$12</formula>
    </cfRule>
    <cfRule type="cellIs" dxfId="11562" priority="168" operator="equal">
      <formula>$O$11</formula>
    </cfRule>
    <cfRule type="cellIs" dxfId="11561" priority="169" operator="equal">
      <formula>$O$10</formula>
    </cfRule>
    <cfRule type="cellIs" dxfId="11560" priority="170" operator="equal">
      <formula>$O$9</formula>
    </cfRule>
    <cfRule type="cellIs" dxfId="11559" priority="171" operator="equal">
      <formula>$O$8</formula>
    </cfRule>
    <cfRule type="cellIs" dxfId="11558" priority="172" operator="equal">
      <formula>$O$7</formula>
    </cfRule>
    <cfRule type="cellIs" dxfId="11557" priority="173" operator="equal">
      <formula>$O$6</formula>
    </cfRule>
    <cfRule type="cellIs" dxfId="11556" priority="174" operator="equal">
      <formula>$O$5</formula>
    </cfRule>
  </conditionalFormatting>
  <conditionalFormatting sqref="L18:L19">
    <cfRule type="duplicateValues" dxfId="11555" priority="160"/>
  </conditionalFormatting>
  <conditionalFormatting sqref="N18:N19">
    <cfRule type="cellIs" dxfId="11554" priority="159" operator="equal">
      <formula>0</formula>
    </cfRule>
  </conditionalFormatting>
  <conditionalFormatting sqref="N18:N19">
    <cfRule type="duplicateValues" dxfId="11553" priority="158"/>
  </conditionalFormatting>
  <conditionalFormatting sqref="M18:M19">
    <cfRule type="cellIs" dxfId="11552" priority="155" operator="equal">
      <formula>0</formula>
    </cfRule>
  </conditionalFormatting>
  <conditionalFormatting sqref="M18">
    <cfRule type="duplicateValues" dxfId="11551" priority="156"/>
  </conditionalFormatting>
  <conditionalFormatting sqref="M19">
    <cfRule type="duplicateValues" dxfId="11550" priority="157"/>
  </conditionalFormatting>
  <conditionalFormatting sqref="N18:N19">
    <cfRule type="duplicateValues" dxfId="11549" priority="141"/>
    <cfRule type="duplicateValues" dxfId="11548" priority="142"/>
  </conditionalFormatting>
  <conditionalFormatting sqref="N18:N19">
    <cfRule type="cellIs" dxfId="11547" priority="140" operator="equal">
      <formula>0</formula>
    </cfRule>
  </conditionalFormatting>
  <conditionalFormatting sqref="N18">
    <cfRule type="duplicateValues" dxfId="11546" priority="143"/>
  </conditionalFormatting>
  <conditionalFormatting sqref="N19">
    <cfRule type="duplicateValues" dxfId="11545" priority="144"/>
  </conditionalFormatting>
  <conditionalFormatting sqref="N18:N19">
    <cfRule type="cellIs" dxfId="11544" priority="126" operator="equal">
      <formula>$O$18</formula>
    </cfRule>
    <cfRule type="cellIs" dxfId="11543" priority="127" operator="equal">
      <formula>$O$17</formula>
    </cfRule>
    <cfRule type="cellIs" dxfId="11542" priority="128" operator="equal">
      <formula>$O$16</formula>
    </cfRule>
    <cfRule type="cellIs" dxfId="11541" priority="129" operator="equal">
      <formula>$O$15</formula>
    </cfRule>
    <cfRule type="cellIs" dxfId="11540" priority="130" operator="equal">
      <formula>$O$14</formula>
    </cfRule>
    <cfRule type="cellIs" dxfId="11539" priority="131" operator="equal">
      <formula>$O$13</formula>
    </cfRule>
    <cfRule type="cellIs" dxfId="11538" priority="132" operator="equal">
      <formula>$O$12</formula>
    </cfRule>
    <cfRule type="cellIs" dxfId="11537" priority="133" operator="equal">
      <formula>$O$11</formula>
    </cfRule>
    <cfRule type="cellIs" dxfId="11536" priority="134" operator="equal">
      <formula>$O$10</formula>
    </cfRule>
    <cfRule type="cellIs" dxfId="11535" priority="135" operator="equal">
      <formula>$O$9</formula>
    </cfRule>
    <cfRule type="cellIs" dxfId="11534" priority="136" operator="equal">
      <formula>$O$8</formula>
    </cfRule>
    <cfRule type="cellIs" dxfId="11533" priority="137" operator="equal">
      <formula>$O$7</formula>
    </cfRule>
    <cfRule type="cellIs" dxfId="11532" priority="138" operator="equal">
      <formula>$O$6</formula>
    </cfRule>
    <cfRule type="cellIs" dxfId="11531" priority="139" operator="equal">
      <formula>$O$5</formula>
    </cfRule>
  </conditionalFormatting>
  <conditionalFormatting sqref="N18:N19">
    <cfRule type="duplicateValues" dxfId="11530" priority="125"/>
  </conditionalFormatting>
  <conditionalFormatting sqref="E38">
    <cfRule type="duplicateValues" dxfId="11529" priority="97"/>
  </conditionalFormatting>
  <conditionalFormatting sqref="E38:E42">
    <cfRule type="cellIs" dxfId="11528" priority="98" operator="equal">
      <formula>0</formula>
    </cfRule>
  </conditionalFormatting>
  <conditionalFormatting sqref="E38">
    <cfRule type="duplicateValues" dxfId="11527" priority="124"/>
  </conditionalFormatting>
  <conditionalFormatting sqref="E38:E51">
    <cfRule type="cellIs" dxfId="11526" priority="96" operator="equal">
      <formula>0</formula>
    </cfRule>
  </conditionalFormatting>
  <conditionalFormatting sqref="E39">
    <cfRule type="duplicateValues" dxfId="11525" priority="111"/>
    <cfRule type="duplicateValues" dxfId="11524" priority="123"/>
  </conditionalFormatting>
  <conditionalFormatting sqref="E40">
    <cfRule type="duplicateValues" dxfId="11523" priority="110"/>
    <cfRule type="duplicateValues" dxfId="11522" priority="122"/>
  </conditionalFormatting>
  <conditionalFormatting sqref="E42">
    <cfRule type="duplicateValues" dxfId="11521" priority="108"/>
    <cfRule type="duplicateValues" dxfId="11520" priority="120"/>
  </conditionalFormatting>
  <conditionalFormatting sqref="E43">
    <cfRule type="duplicateValues" dxfId="11519" priority="107"/>
    <cfRule type="duplicateValues" dxfId="11518" priority="119"/>
  </conditionalFormatting>
  <conditionalFormatting sqref="E44">
    <cfRule type="duplicateValues" dxfId="11517" priority="106"/>
    <cfRule type="duplicateValues" dxfId="11516" priority="118"/>
  </conditionalFormatting>
  <conditionalFormatting sqref="E45">
    <cfRule type="duplicateValues" dxfId="11515" priority="105"/>
    <cfRule type="duplicateValues" dxfId="11514" priority="117"/>
  </conditionalFormatting>
  <conditionalFormatting sqref="E46">
    <cfRule type="duplicateValues" dxfId="11513" priority="104"/>
    <cfRule type="duplicateValues" dxfId="11512" priority="116"/>
  </conditionalFormatting>
  <conditionalFormatting sqref="E47">
    <cfRule type="duplicateValues" dxfId="11511" priority="103"/>
    <cfRule type="duplicateValues" dxfId="11510" priority="115"/>
  </conditionalFormatting>
  <conditionalFormatting sqref="E48">
    <cfRule type="duplicateValues" dxfId="11509" priority="102"/>
    <cfRule type="duplicateValues" dxfId="11508" priority="114"/>
  </conditionalFormatting>
  <conditionalFormatting sqref="E49">
    <cfRule type="duplicateValues" dxfId="11507" priority="101"/>
    <cfRule type="duplicateValues" dxfId="11506" priority="112"/>
  </conditionalFormatting>
  <conditionalFormatting sqref="E49">
    <cfRule type="duplicateValues" dxfId="11505" priority="113"/>
  </conditionalFormatting>
  <conditionalFormatting sqref="E50">
    <cfRule type="duplicateValues" dxfId="11504" priority="99"/>
  </conditionalFormatting>
  <conditionalFormatting sqref="E50">
    <cfRule type="duplicateValues" dxfId="11503" priority="100"/>
  </conditionalFormatting>
  <conditionalFormatting sqref="E51">
    <cfRule type="duplicateValues" dxfId="11502" priority="94"/>
  </conditionalFormatting>
  <conditionalFormatting sqref="E51">
    <cfRule type="duplicateValues" dxfId="11501" priority="95"/>
  </conditionalFormatting>
  <conditionalFormatting sqref="E41">
    <cfRule type="duplicateValues" dxfId="11500" priority="109"/>
    <cfRule type="duplicateValues" dxfId="11499" priority="121"/>
  </conditionalFormatting>
  <conditionalFormatting sqref="G38">
    <cfRule type="duplicateValues" dxfId="11498" priority="66"/>
  </conditionalFormatting>
  <conditionalFormatting sqref="G38:G42">
    <cfRule type="cellIs" dxfId="11497" priority="67" operator="equal">
      <formula>0</formula>
    </cfRule>
  </conditionalFormatting>
  <conditionalFormatting sqref="G38">
    <cfRule type="duplicateValues" dxfId="11496" priority="93"/>
  </conditionalFormatting>
  <conditionalFormatting sqref="G38:G51">
    <cfRule type="cellIs" dxfId="11495" priority="65" operator="equal">
      <formula>0</formula>
    </cfRule>
  </conditionalFormatting>
  <conditionalFormatting sqref="G39">
    <cfRule type="duplicateValues" dxfId="11494" priority="80"/>
    <cfRule type="duplicateValues" dxfId="11493" priority="92"/>
  </conditionalFormatting>
  <conditionalFormatting sqref="G40">
    <cfRule type="duplicateValues" dxfId="11492" priority="79"/>
    <cfRule type="duplicateValues" dxfId="11491" priority="91"/>
  </conditionalFormatting>
  <conditionalFormatting sqref="G42">
    <cfRule type="duplicateValues" dxfId="11490" priority="77"/>
    <cfRule type="duplicateValues" dxfId="11489" priority="89"/>
  </conditionalFormatting>
  <conditionalFormatting sqref="G43">
    <cfRule type="duplicateValues" dxfId="11488" priority="76"/>
    <cfRule type="duplicateValues" dxfId="11487" priority="88"/>
  </conditionalFormatting>
  <conditionalFormatting sqref="G44">
    <cfRule type="duplicateValues" dxfId="11486" priority="75"/>
    <cfRule type="duplicateValues" dxfId="11485" priority="87"/>
  </conditionalFormatting>
  <conditionalFormatting sqref="G45">
    <cfRule type="duplicateValues" dxfId="11484" priority="74"/>
    <cfRule type="duplicateValues" dxfId="11483" priority="86"/>
  </conditionalFormatting>
  <conditionalFormatting sqref="G46">
    <cfRule type="duplicateValues" dxfId="11482" priority="73"/>
    <cfRule type="duplicateValues" dxfId="11481" priority="85"/>
  </conditionalFormatting>
  <conditionalFormatting sqref="G47">
    <cfRule type="duplicateValues" dxfId="11480" priority="72"/>
    <cfRule type="duplicateValues" dxfId="11479" priority="84"/>
  </conditionalFormatting>
  <conditionalFormatting sqref="G48">
    <cfRule type="duplicateValues" dxfId="11478" priority="71"/>
    <cfRule type="duplicateValues" dxfId="11477" priority="83"/>
  </conditionalFormatting>
  <conditionalFormatting sqref="G49">
    <cfRule type="duplicateValues" dxfId="11476" priority="70"/>
    <cfRule type="duplicateValues" dxfId="11475" priority="81"/>
  </conditionalFormatting>
  <conditionalFormatting sqref="G49">
    <cfRule type="duplicateValues" dxfId="11474" priority="82"/>
  </conditionalFormatting>
  <conditionalFormatting sqref="G50">
    <cfRule type="duplicateValues" dxfId="11473" priority="68"/>
  </conditionalFormatting>
  <conditionalFormatting sqref="G50">
    <cfRule type="duplicateValues" dxfId="11472" priority="69"/>
  </conditionalFormatting>
  <conditionalFormatting sqref="G51">
    <cfRule type="duplicateValues" dxfId="11471" priority="63"/>
  </conditionalFormatting>
  <conditionalFormatting sqref="G51">
    <cfRule type="duplicateValues" dxfId="11470" priority="64"/>
  </conditionalFormatting>
  <conditionalFormatting sqref="G41">
    <cfRule type="duplicateValues" dxfId="11469" priority="78"/>
    <cfRule type="duplicateValues" dxfId="11468" priority="90"/>
  </conditionalFormatting>
  <conditionalFormatting sqref="K38">
    <cfRule type="duplicateValues" dxfId="11467" priority="35"/>
  </conditionalFormatting>
  <conditionalFormatting sqref="K38:K42">
    <cfRule type="cellIs" dxfId="11466" priority="36" operator="equal">
      <formula>0</formula>
    </cfRule>
  </conditionalFormatting>
  <conditionalFormatting sqref="K38">
    <cfRule type="duplicateValues" dxfId="11465" priority="62"/>
  </conditionalFormatting>
  <conditionalFormatting sqref="K38:K51">
    <cfRule type="cellIs" dxfId="11464" priority="34" operator="equal">
      <formula>0</formula>
    </cfRule>
  </conditionalFormatting>
  <conditionalFormatting sqref="K39">
    <cfRule type="duplicateValues" dxfId="11463" priority="49"/>
    <cfRule type="duplicateValues" dxfId="11462" priority="61"/>
  </conditionalFormatting>
  <conditionalFormatting sqref="K40">
    <cfRule type="duplicateValues" dxfId="11461" priority="48"/>
    <cfRule type="duplicateValues" dxfId="11460" priority="60"/>
  </conditionalFormatting>
  <conditionalFormatting sqref="K42">
    <cfRule type="duplicateValues" dxfId="11459" priority="46"/>
    <cfRule type="duplicateValues" dxfId="11458" priority="58"/>
  </conditionalFormatting>
  <conditionalFormatting sqref="K43">
    <cfRule type="duplicateValues" dxfId="11457" priority="45"/>
    <cfRule type="duplicateValues" dxfId="11456" priority="57"/>
  </conditionalFormatting>
  <conditionalFormatting sqref="K44">
    <cfRule type="duplicateValues" dxfId="11455" priority="44"/>
    <cfRule type="duplicateValues" dxfId="11454" priority="56"/>
  </conditionalFormatting>
  <conditionalFormatting sqref="K45">
    <cfRule type="duplicateValues" dxfId="11453" priority="43"/>
    <cfRule type="duplicateValues" dxfId="11452" priority="55"/>
  </conditionalFormatting>
  <conditionalFormatting sqref="K46">
    <cfRule type="duplicateValues" dxfId="11451" priority="42"/>
    <cfRule type="duplicateValues" dxfId="11450" priority="54"/>
  </conditionalFormatting>
  <conditionalFormatting sqref="K47">
    <cfRule type="duplicateValues" dxfId="11449" priority="41"/>
    <cfRule type="duplicateValues" dxfId="11448" priority="53"/>
  </conditionalFormatting>
  <conditionalFormatting sqref="K48">
    <cfRule type="duplicateValues" dxfId="11447" priority="40"/>
    <cfRule type="duplicateValues" dxfId="11446" priority="52"/>
  </conditionalFormatting>
  <conditionalFormatting sqref="K49">
    <cfRule type="duplicateValues" dxfId="11445" priority="39"/>
    <cfRule type="duplicateValues" dxfId="11444" priority="50"/>
  </conditionalFormatting>
  <conditionalFormatting sqref="K49">
    <cfRule type="duplicateValues" dxfId="11443" priority="51"/>
  </conditionalFormatting>
  <conditionalFormatting sqref="K50">
    <cfRule type="duplicateValues" dxfId="11442" priority="37"/>
  </conditionalFormatting>
  <conditionalFormatting sqref="K50">
    <cfRule type="duplicateValues" dxfId="11441" priority="38"/>
  </conditionalFormatting>
  <conditionalFormatting sqref="K51">
    <cfRule type="duplicateValues" dxfId="11440" priority="32"/>
  </conditionalFormatting>
  <conditionalFormatting sqref="K51">
    <cfRule type="duplicateValues" dxfId="11439" priority="33"/>
  </conditionalFormatting>
  <conditionalFormatting sqref="K41">
    <cfRule type="duplicateValues" dxfId="11438" priority="47"/>
    <cfRule type="duplicateValues" dxfId="11437" priority="59"/>
  </conditionalFormatting>
  <conditionalFormatting sqref="M38">
    <cfRule type="duplicateValues" dxfId="11436" priority="4"/>
  </conditionalFormatting>
  <conditionalFormatting sqref="M38:M42">
    <cfRule type="cellIs" dxfId="11435" priority="5" operator="equal">
      <formula>0</formula>
    </cfRule>
  </conditionalFormatting>
  <conditionalFormatting sqref="M38">
    <cfRule type="duplicateValues" dxfId="11434" priority="31"/>
  </conditionalFormatting>
  <conditionalFormatting sqref="M38:M51">
    <cfRule type="cellIs" dxfId="11433" priority="3" operator="equal">
      <formula>0</formula>
    </cfRule>
  </conditionalFormatting>
  <conditionalFormatting sqref="M39">
    <cfRule type="duplicateValues" dxfId="11432" priority="18"/>
    <cfRule type="duplicateValues" dxfId="11431" priority="30"/>
  </conditionalFormatting>
  <conditionalFormatting sqref="M40">
    <cfRule type="duplicateValues" dxfId="11430" priority="17"/>
    <cfRule type="duplicateValues" dxfId="11429" priority="29"/>
  </conditionalFormatting>
  <conditionalFormatting sqref="M42">
    <cfRule type="duplicateValues" dxfId="11428" priority="15"/>
    <cfRule type="duplicateValues" dxfId="11427" priority="27"/>
  </conditionalFormatting>
  <conditionalFormatting sqref="M43">
    <cfRule type="duplicateValues" dxfId="11426" priority="14"/>
    <cfRule type="duplicateValues" dxfId="11425" priority="26"/>
  </conditionalFormatting>
  <conditionalFormatting sqref="M44">
    <cfRule type="duplicateValues" dxfId="11424" priority="13"/>
    <cfRule type="duplicateValues" dxfId="11423" priority="25"/>
  </conditionalFormatting>
  <conditionalFormatting sqref="M45">
    <cfRule type="duplicateValues" dxfId="11422" priority="12"/>
    <cfRule type="duplicateValues" dxfId="11421" priority="24"/>
  </conditionalFormatting>
  <conditionalFormatting sqref="M46">
    <cfRule type="duplicateValues" dxfId="11420" priority="11"/>
    <cfRule type="duplicateValues" dxfId="11419" priority="23"/>
  </conditionalFormatting>
  <conditionalFormatting sqref="M47">
    <cfRule type="duplicateValues" dxfId="11418" priority="10"/>
    <cfRule type="duplicateValues" dxfId="11417" priority="22"/>
  </conditionalFormatting>
  <conditionalFormatting sqref="M48">
    <cfRule type="duplicateValues" dxfId="11416" priority="9"/>
    <cfRule type="duplicateValues" dxfId="11415" priority="21"/>
  </conditionalFormatting>
  <conditionalFormatting sqref="M49">
    <cfRule type="duplicateValues" dxfId="11414" priority="8"/>
    <cfRule type="duplicateValues" dxfId="11413" priority="19"/>
  </conditionalFormatting>
  <conditionalFormatting sqref="M49">
    <cfRule type="duplicateValues" dxfId="11412" priority="20"/>
  </conditionalFormatting>
  <conditionalFormatting sqref="M50">
    <cfRule type="duplicateValues" dxfId="11411" priority="6"/>
  </conditionalFormatting>
  <conditionalFormatting sqref="M50">
    <cfRule type="duplicateValues" dxfId="11410" priority="7"/>
  </conditionalFormatting>
  <conditionalFormatting sqref="M51">
    <cfRule type="duplicateValues" dxfId="11409" priority="1"/>
  </conditionalFormatting>
  <conditionalFormatting sqref="M51">
    <cfRule type="duplicateValues" dxfId="11408" priority="2"/>
  </conditionalFormatting>
  <conditionalFormatting sqref="M41">
    <cfRule type="duplicateValues" dxfId="11407" priority="16"/>
    <cfRule type="duplicateValues" dxfId="11406" priority="28"/>
  </conditionalFormatting>
  <dataValidations count="48">
    <dataValidation type="list" allowBlank="1" showInputMessage="1" sqref="L24 N24 H24 F24" xr:uid="{00000000-0002-0000-0400-000000000000}">
      <formula1>$G$88:$G$94</formula1>
    </dataValidation>
    <dataValidation type="list" allowBlank="1" showInputMessage="1" sqref="F26 N26 H26 L26" xr:uid="{00000000-0002-0000-0400-000001000000}">
      <formula1>$K$88:$K$94</formula1>
    </dataValidation>
    <dataValidation type="list" allowBlank="1" showInputMessage="1" sqref="F22 N22 H22 L22" xr:uid="{00000000-0002-0000-0400-000002000000}">
      <formula1>$C$88:$C$95</formula1>
    </dataValidation>
    <dataValidation type="list" allowBlank="1" showInputMessage="1" sqref="F28 N28 H28 L28" xr:uid="{00000000-0002-0000-0400-000003000000}">
      <formula1>$O$88:$O$95</formula1>
    </dataValidation>
    <dataValidation type="list" allowBlank="1" showInputMessage="1" sqref="F29 N29 H29 L29" xr:uid="{00000000-0002-0000-0400-000004000000}">
      <formula1>$Q$88:$Q$94</formula1>
    </dataValidation>
    <dataValidation type="list" allowBlank="1" showInputMessage="1" sqref="F30 N30 H30 L30" xr:uid="{00000000-0002-0000-0400-000005000000}">
      <formula1>$S$88:$S$95</formula1>
    </dataValidation>
    <dataValidation type="list" allowBlank="1" showInputMessage="1" sqref="F31 N31 H31 L31" xr:uid="{00000000-0002-0000-0400-000006000000}">
      <formula1>$U$88:$U$95</formula1>
    </dataValidation>
    <dataValidation type="list" allowBlank="1" showInputMessage="1" sqref="F33 N33 H33 L33" xr:uid="{00000000-0002-0000-0400-000007000000}">
      <formula1>$Y$88:$Y$95</formula1>
    </dataValidation>
    <dataValidation type="list" allowBlank="1" showInputMessage="1" sqref="L21 N21 H21 F21" xr:uid="{00000000-0002-0000-0400-000008000000}">
      <formula1>$A$88:$A$95</formula1>
    </dataValidation>
    <dataValidation type="list" allowBlank="1" showInputMessage="1" sqref="F23 N23 H23 L23" xr:uid="{00000000-0002-0000-0400-000009000000}">
      <formula1>$E$88:$E$95</formula1>
    </dataValidation>
    <dataValidation type="list" allowBlank="1" showInputMessage="1" sqref="F25 N25 H25 L25" xr:uid="{00000000-0002-0000-0400-00000A000000}">
      <formula1>$I$88:$I$95</formula1>
    </dataValidation>
    <dataValidation type="list" allowBlank="1" showInputMessage="1" sqref="N17 H17 F17 L17" xr:uid="{00000000-0002-0000-0400-00000B000000}">
      <formula1>$Y$100:$Y$107</formula1>
    </dataValidation>
    <dataValidation type="list" allowBlank="1" showInputMessage="1" sqref="F14 H14 L14 N14" xr:uid="{00000000-0002-0000-0400-00000C000000}">
      <formula1>$S$100:$S$106</formula1>
    </dataValidation>
    <dataValidation type="list" allowBlank="1" showInputMessage="1" sqref="F5 H5 L5 N5" xr:uid="{00000000-0002-0000-0400-00000D000000}">
      <formula1>$A$100:$A$107</formula1>
    </dataValidation>
    <dataValidation type="list" allowBlank="1" showInputMessage="1" sqref="F11 L11 N11 H11" xr:uid="{00000000-0002-0000-0400-00000E000000}">
      <formula1>$M$100:$M$107</formula1>
    </dataValidation>
    <dataValidation type="list" allowBlank="1" showInputMessage="1" sqref="F12 N12 L12 H12" xr:uid="{00000000-0002-0000-0400-00000F000000}">
      <formula1>$O$100:$O$107</formula1>
    </dataValidation>
    <dataValidation type="list" allowBlank="1" showInputMessage="1" sqref="F13 N13 L13 H13" xr:uid="{00000000-0002-0000-0400-000010000000}">
      <formula1>$Q$100:$Q$107</formula1>
    </dataValidation>
    <dataValidation type="list" allowBlank="1" showInputMessage="1" sqref="Q26:R26 N16 H16 F16 L16" xr:uid="{00000000-0002-0000-0400-000011000000}">
      <formula1>$W$100:$W$107</formula1>
    </dataValidation>
    <dataValidation type="list" allowBlank="1" showInputMessage="1" sqref="F7 N7 L7 H7" xr:uid="{00000000-0002-0000-0400-000012000000}">
      <formula1>$E$100:$E$107</formula1>
    </dataValidation>
    <dataValidation type="list" allowBlank="1" showInputMessage="1" sqref="F6 N6 L6 H6" xr:uid="{00000000-0002-0000-0400-000013000000}">
      <formula1>$C$100:$C$107</formula1>
    </dataValidation>
    <dataValidation type="list" allowBlank="1" showInputMessage="1" sqref="F8 N8 L8 H8" xr:uid="{00000000-0002-0000-0400-000014000000}">
      <formula1>$G$100:$G$107</formula1>
    </dataValidation>
    <dataValidation type="list" allowBlank="1" showInputMessage="1" sqref="F9 N9 L9 H9" xr:uid="{00000000-0002-0000-0400-000015000000}">
      <formula1>$I$100:$I$107</formula1>
    </dataValidation>
    <dataValidation type="list" allowBlank="1" showInputMessage="1" sqref="F10 N10 L10 H10" xr:uid="{00000000-0002-0000-0400-000016000000}">
      <formula1>$K$100:$K$107</formula1>
    </dataValidation>
    <dataValidation type="list" allowBlank="1" showInputMessage="1" sqref="F15 N15 L15 H15" xr:uid="{00000000-0002-0000-0400-000017000000}">
      <formula1>$U$100:$U$107</formula1>
    </dataValidation>
    <dataValidation type="list" allowBlank="1" showInputMessage="1" sqref="F34 N34 L34 H34" xr:uid="{00000000-0002-0000-0400-000018000000}">
      <formula1>$AA$88:$AA$94</formula1>
    </dataValidation>
    <dataValidation type="list" allowBlank="1" showInputMessage="1" sqref="F32 H32 L32 N32" xr:uid="{00000000-0002-0000-0400-000019000000}">
      <formula1>$W$88:$W$95</formula1>
    </dataValidation>
    <dataValidation type="list" allowBlank="1" showInputMessage="1" sqref="F27 H27 L27 N27" xr:uid="{00000000-0002-0000-0400-00001A000000}">
      <formula1>$M$88:$M$95</formula1>
    </dataValidation>
    <dataValidation type="list" allowBlank="1" showInputMessage="1" showErrorMessage="1" sqref="N51 F51 H51 L51" xr:uid="{00000000-0002-0000-0400-00001B000000}">
      <formula1>$AA$74:$AA$79</formula1>
    </dataValidation>
    <dataValidation type="list" allowBlank="1" showInputMessage="1" showErrorMessage="1" sqref="N50 F50 H50 L50" xr:uid="{00000000-0002-0000-0400-00001C000000}">
      <formula1>$Y$74:$Y$79</formula1>
    </dataValidation>
    <dataValidation type="list" allowBlank="1" showInputMessage="1" showErrorMessage="1" sqref="N49 F49 H49 L49" xr:uid="{00000000-0002-0000-0400-00001D000000}">
      <formula1>$W$74:$W$79</formula1>
    </dataValidation>
    <dataValidation type="list" allowBlank="1" showInputMessage="1" showErrorMessage="1" sqref="N48 F48 H48 L48" xr:uid="{00000000-0002-0000-0400-00001E000000}">
      <formula1>$U$74:$U$79</formula1>
    </dataValidation>
    <dataValidation type="list" allowBlank="1" showInputMessage="1" showErrorMessage="1" sqref="N47 F47 H47" xr:uid="{00000000-0002-0000-0400-00001F000000}">
      <formula1>$S$74:$S$79</formula1>
    </dataValidation>
    <dataValidation type="list" allowBlank="1" showInputMessage="1" showErrorMessage="1" sqref="N46 F46 H46 L46" xr:uid="{00000000-0002-0000-0400-000020000000}">
      <formula1>$Q$74:$Q$79</formula1>
    </dataValidation>
    <dataValidation type="list" allowBlank="1" showInputMessage="1" showErrorMessage="1" sqref="N45 F45 H45 L45" xr:uid="{00000000-0002-0000-0400-000021000000}">
      <formula1>$O$74:$O$79</formula1>
    </dataValidation>
    <dataValidation type="list" allowBlank="1" showInputMessage="1" showErrorMessage="1" sqref="N44 F44 H44 L44" xr:uid="{00000000-0002-0000-0400-000022000000}">
      <formula1>$M$74:$M$79</formula1>
    </dataValidation>
    <dataValidation type="list" allowBlank="1" showInputMessage="1" showErrorMessage="1" sqref="N43 F43 H43 L43" xr:uid="{00000000-0002-0000-0400-000023000000}">
      <formula1>$K$74:$K$79</formula1>
    </dataValidation>
    <dataValidation type="list" allowBlank="1" showInputMessage="1" showErrorMessage="1" sqref="N42 F42 H42 L42" xr:uid="{00000000-0002-0000-0400-000024000000}">
      <formula1>$I$74:$I$79</formula1>
    </dataValidation>
    <dataValidation type="list" allowBlank="1" showInputMessage="1" showErrorMessage="1" sqref="N41 F41 H41 L41" xr:uid="{00000000-0002-0000-0400-000025000000}">
      <formula1>$G$74:$G$79</formula1>
    </dataValidation>
    <dataValidation type="list" allowBlank="1" showInputMessage="1" showErrorMessage="1" sqref="N40 F40 H40 L40" xr:uid="{00000000-0002-0000-0400-000026000000}">
      <formula1>$E$74:$E$79</formula1>
    </dataValidation>
    <dataValidation type="list" allowBlank="1" showInputMessage="1" showErrorMessage="1" sqref="N39 F39 H39 L39" xr:uid="{00000000-0002-0000-0400-000027000000}">
      <formula1>$C$74:$C$79</formula1>
    </dataValidation>
    <dataValidation type="list" allowBlank="1" showInputMessage="1" showErrorMessage="1" sqref="N38 F38 H38 L38" xr:uid="{00000000-0002-0000-0400-000028000000}">
      <formula1>$A$74:$A$79</formula1>
    </dataValidation>
    <dataValidation type="list" allowBlank="1" showInputMessage="1" showErrorMessage="1" sqref="L47" xr:uid="{00000000-0002-0000-0400-000029000000}">
      <formula1>$S$74:$S$80</formula1>
    </dataValidation>
    <dataValidation type="list" allowBlank="1" showInputMessage="1" showErrorMessage="1" sqref="E52:E53 G52:G53 K52:K53 M52:M53" xr:uid="{00000000-0002-0000-0400-00002A000000}">
      <formula1>$AD$74:$AD$83</formula1>
    </dataValidation>
    <dataValidation type="list" allowBlank="1" showInputMessage="1" showErrorMessage="1" sqref="F52:F53 H52:H53 L52:L53 N52:N53" xr:uid="{00000000-0002-0000-0400-00002B000000}">
      <formula1>$AC$74:$AC$83</formula1>
    </dataValidation>
    <dataValidation type="list" allowBlank="1" showInputMessage="1" showErrorMessage="1" sqref="F35:F36 H35:H36 L35:L36 N35:N36" xr:uid="{00000000-0002-0000-0400-00002C000000}">
      <formula1>$AC$88:$AC$95</formula1>
    </dataValidation>
    <dataValidation type="list" allowBlank="1" showInputMessage="1" showErrorMessage="1" sqref="E35:E36 G35:G36 K35:K36 M35:M36" xr:uid="{00000000-0002-0000-0400-00002D000000}">
      <formula1>$AD$88:$AD$95</formula1>
    </dataValidation>
    <dataValidation type="list" allowBlank="1" showInputMessage="1" showErrorMessage="1" sqref="E18:E19 G18:G19 K18:K19 M18:M19" xr:uid="{00000000-0002-0000-0400-00002E000000}">
      <formula1>$AB$100:$AB$107</formula1>
    </dataValidation>
    <dataValidation type="list" allowBlank="1" showInputMessage="1" showErrorMessage="1" sqref="F18:F19 H18:H19 L18:L19 N18:N19" xr:uid="{00000000-0002-0000-0400-00002F000000}">
      <formula1>$AA$100:$AA$107</formula1>
    </dataValidation>
  </dataValidations>
  <pageMargins left="0.75" right="0.75" top="0.28000000000000003" bottom="0.17" header="0.5" footer="0.5"/>
  <pageSetup scale="85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1365E-E25E-4758-99C5-980D9AAF2157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W4:W59</xm:sqref>
        </x14:conditionalFormatting>
        <x14:conditionalFormatting xmlns:xm="http://schemas.microsoft.com/office/excel/2006/main">
          <x14:cfRule type="containsText" priority="8283" operator="containsText" id="{B1EF7A00-D7B6-4127-8B68-9BBAB06A3C03}">
            <xm:f>NOT(ISERROR(SEARCH($O$5,Q26)))</xm:f>
            <xm:f>$O$5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284" operator="containsText" id="{012E79D1-0B78-4893-810E-F582E9B9B432}">
            <xm:f>NOT(ISERROR(SEARCH($O$6,Q26)))</xm:f>
            <xm:f>$O$6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898" operator="containsText" id="{67A147D5-209F-41EC-B317-A34162119D98}">
            <xm:f>NOT(ISERROR(SEARCH($O$7,Q26)))</xm:f>
            <xm:f>$O$7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897" operator="containsText" id="{224A184B-83F0-4523-8676-BF1D78EC6518}">
            <xm:f>NOT(ISERROR(SEARCH($O$8,Q26)))</xm:f>
            <xm:f>$O$8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896" operator="containsText" id="{161BB9CD-9E2D-49D4-869B-A24E57E8D7C4}">
            <xm:f>NOT(ISERROR(SEARCH($O$9,Q26)))</xm:f>
            <xm:f>$O$9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790" operator="containsText" id="{754529BE-3811-42EC-A987-4B3334BA72AB}">
            <xm:f>NOT(ISERROR(SEARCH($O$11,Q26)))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791" operator="containsText" id="{9A76BFC9-7AAF-4392-85B4-378091109598}">
            <xm:f>NOT(ISERROR(SEARCH($O$12,Q26)))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792" operator="containsText" id="{100523B3-B1CB-4486-BF91-16B6C7E89990}">
            <xm:f>NOT(ISERROR(SEARCH($O$13,Q26)))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793" operator="containsText" id="{18928EC5-64C8-4F3D-AC43-496C138CA699}">
            <xm:f>NOT(ISERROR(SEARCH($O$14,Q26)))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809" operator="containsText" id="{F8524DC5-E99A-4D7A-8DDA-733023277560}">
            <xm:f>NOT(ISERROR(SEARCH($O$15,Q26)))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8821" operator="containsText" id="{8F4D4CA5-9AE6-41AC-A8C9-6EB6A13ADC35}">
            <xm:f>NOT(ISERROR(SEARCH($O$5,R26)))</xm:f>
            <xm:f>$O$5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2" operator="containsText" id="{082E2636-CAEE-494C-90BA-4CE7932F56CC}">
            <xm:f>NOT(ISERROR(SEARCH($O$6,R26)))</xm:f>
            <xm:f>$O$6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3" operator="containsText" id="{2269A333-9267-4631-8F63-EA6D212C6A62}">
            <xm:f>NOT(ISERROR(SEARCH($O$7,R26)))</xm:f>
            <xm:f>$O$7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4" operator="containsText" id="{7D00FE5A-407C-482D-A8F1-F66AE617DA9C}">
            <xm:f>NOT(ISERROR(SEARCH($O$8,R26)))</xm:f>
            <xm:f>$O$8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5" operator="containsText" id="{B59A6D01-D459-42CE-8F42-7A673624A900}">
            <xm:f>NOT(ISERROR(SEARCH($O$9,R26)))</xm:f>
            <xm:f>$O$9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6" operator="containsText" id="{D3B33CA5-E358-4CB5-85C6-EBBC9A2728EC}">
            <xm:f>NOT(ISERROR(SEARCH($O$11,R26)))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7" operator="containsText" id="{86A6E20D-C143-4D69-8EE1-5E823CE5BD52}">
            <xm:f>NOT(ISERROR(SEARCH($O$12,R26)))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8" operator="containsText" id="{517B3B55-9F02-4B79-904B-7D15F2519AEF}">
            <xm:f>NOT(ISERROR(SEARCH($O$13,R26)))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29" operator="containsText" id="{D9221F41-3651-4ED1-A338-2CFF75D36444}">
            <xm:f>NOT(ISERROR(SEARCH($O$14,R26)))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8830" operator="containsText" id="{8B572C00-878E-40BB-96E2-E782E23790DB}">
            <xm:f>NOT(ISERROR(SEARCH($O$15,R26)))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2095" operator="containsText" id="{AC6958BB-BFE5-4F43-8F01-6F73D40001C5}">
            <xm:f>NOT(ISERROR(SEARCH($O$5,F38)))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096" operator="containsText" id="{F93DB31F-ED51-4E36-A929-9F4E88475D14}">
            <xm:f>NOT(ISERROR(SEARCH($O$6,F38)))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103" operator="containsText" id="{0018BAB3-8DD7-4359-BCE0-F8CA90D26571}">
            <xm:f>NOT(ISERROR(SEARCH($O$7,F38)))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097" operator="containsText" id="{E3FACDAA-F238-4009-B35F-957B322879F7}">
            <xm:f>NOT(ISERROR(SEARCH($O$8,F38)))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098" operator="containsText" id="{4C26F14F-42AD-43DD-8863-A8F9A137A40E}">
            <xm:f>NOT(ISERROR(SEARCH($O$9,F38)))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099" operator="containsText" id="{767397F1-FDE8-4ECF-93DD-B0C37C94C6C6}">
            <xm:f>NOT(ISERROR(SEARCH($O$11,F38)))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100" operator="containsText" id="{1B3169A7-1328-4B00-81DF-7905C854C832}">
            <xm:f>NOT(ISERROR(SEARCH($O$12,F38)))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104" operator="containsText" id="{703BCF84-AC04-4BEF-8674-B59E17E48B98}">
            <xm:f>NOT(ISERROR(SEARCH($O$13,F38)))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101" operator="containsText" id="{C62040BF-CA5F-47F9-8F54-14B510F206D2}">
            <xm:f>NOT(ISERROR(SEARCH($O$14,F38)))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102" operator="containsText" id="{90C1252F-4639-41CF-B834-42C8B59F351D}">
            <xm:f>NOT(ISERROR(SEARCH($O$15,F38)))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F38:F49 H38:H49 L38:L49 N38:N49</xm:sqref>
        </x14:conditionalFormatting>
        <x14:conditionalFormatting xmlns:xm="http://schemas.microsoft.com/office/excel/2006/main">
          <x14:cfRule type="containsText" priority="2049" operator="containsText" id="{7AF9AE3C-0033-460F-AFD7-00F70EE85F09}">
            <xm:f>NOT(ISERROR(SEARCH($O$12,F49)))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014" operator="containsText" id="{84DC2BB9-0F4D-493F-A00F-97ACEABAB1ED}">
            <xm:f>NOT(ISERROR(SEARCH($O$13,F49)))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013" operator="containsText" id="{219476B8-5653-45F0-BC1E-D066AF71CE81}">
            <xm:f>NOT(ISERROR(SEARCH($O$14,F49)))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050" operator="containsText" id="{89C612E8-32B4-40C6-9496-C5ED59B1EDE2}">
            <xm:f>NOT(ISERROR(SEARCH($O$15,F49)))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051" operator="containsText" id="{217F4C08-8CE6-4D8F-A7EE-2944C500218B}">
            <xm:f>NOT(ISERROR(SEARCH($O$5,F49)))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022" operator="containsText" id="{2D53FB76-1B2C-4D55-90FA-DCC88A45BFDF}">
            <xm:f>NOT(ISERROR(SEARCH($O$6,F49)))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023" operator="containsText" id="{4FCC7B38-C62D-423E-851B-A8FE1852B480}">
            <xm:f>NOT(ISERROR(SEARCH($O$7,F49)))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024" operator="containsText" id="{2B417E6D-E111-4CF8-8ADD-09FABC678D03}">
            <xm:f>NOT(ISERROR(SEARCH($O$8,F49)))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025" operator="containsText" id="{474B07DB-5500-4F8B-B384-E6EBAE62A897}">
            <xm:f>NOT(ISERROR(SEARCH($O$9,F49)))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F49 H49</xm:sqref>
        </x14:conditionalFormatting>
        <x14:conditionalFormatting xmlns:xm="http://schemas.microsoft.com/office/excel/2006/main">
          <x14:cfRule type="containsText" priority="2048" operator="containsText" id="{07F893D3-D732-4F64-AD9E-420754342E18}">
            <xm:f>NOT(ISERROR(SEARCH($O$11,F49)))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H49 F49</xm:sqref>
        </x14:conditionalFormatting>
        <x14:conditionalFormatting xmlns:xm="http://schemas.microsoft.com/office/excel/2006/main">
          <x14:cfRule type="containsText" priority="2006" operator="containsText" id="{48C499BE-D227-4843-9791-89E00F6451DF}">
            <xm:f>NOT(ISERROR(SEARCH($O$12,L49)))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75" operator="containsText" id="{BABAC2FA-E877-46A0-9EEC-7F31B91C4DB3}">
            <xm:f>NOT(ISERROR(SEARCH($O$13,L49)))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74" operator="containsText" id="{85854004-47F6-49AA-837B-A94821C747D1}">
            <xm:f>NOT(ISERROR(SEARCH($O$14,L49)))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2007" operator="containsText" id="{0D071378-5669-4BE2-9C34-A4A000CBA84C}">
            <xm:f>NOT(ISERROR(SEARCH($O$15,L49)))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2008" operator="containsText" id="{1B70BD3C-A786-40A7-AF0C-47090C03B9FE}">
            <xm:f>NOT(ISERROR(SEARCH($O$5,L49)))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80" operator="containsText" id="{DBDC3BA4-7B5F-41C7-AAA9-5AD30E5373C9}">
            <xm:f>NOT(ISERROR(SEARCH($O$6,L49)))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81" operator="containsText" id="{F47AF3CA-65BB-434E-9531-9BCCE53AD874}">
            <xm:f>NOT(ISERROR(SEARCH($O$7,L49)))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82" operator="containsText" id="{64C0F81C-A29B-4093-8776-095476CD2164}">
            <xm:f>NOT(ISERROR(SEARCH($O$8,L49)))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83" operator="containsText" id="{B7F03F42-DF07-4708-900C-D73FD7B0F690}">
            <xm:f>NOT(ISERROR(SEARCH($O$9,L49)))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2005" operator="containsText" id="{C98E37D6-4938-4CE5-A9AD-DA441F9C64C7}">
            <xm:f>NOT(ISERROR(SEARCH($O$11,L49)))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containsText" priority="1970" operator="containsText" id="{08A2EFA4-490F-46E1-9BFC-F3AB215A8F7D}">
            <xm:f>NOT(ISERROR(SEARCH($O$12,N49)))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39" operator="containsText" id="{725737C0-FD32-4D7B-9A0F-FE2959C2F60C}">
            <xm:f>NOT(ISERROR(SEARCH($O$13,N49)))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38" operator="containsText" id="{5C1D62C1-B496-4FB7-A9ED-A0A6852C50BA}">
            <xm:f>NOT(ISERROR(SEARCH($O$14,N49)))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71" operator="containsText" id="{DF6C1D02-01D0-42C4-BE14-66245A6B5DB5}">
            <xm:f>NOT(ISERROR(SEARCH($O$15,N49)))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72" operator="containsText" id="{7098CCB1-6B4D-4932-9541-22AF87BFC818}">
            <xm:f>NOT(ISERROR(SEARCH($O$5,N49)))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44" operator="containsText" id="{0A283C0F-27B9-4996-AD12-6996A7C7238E}">
            <xm:f>NOT(ISERROR(SEARCH($O$6,N49)))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45" operator="containsText" id="{CC8FADD0-3453-4338-97EE-231712B4265D}">
            <xm:f>NOT(ISERROR(SEARCH($O$7,N49)))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46" operator="containsText" id="{A3EFB034-2141-44E2-8E70-C8C64D0B190A}">
            <xm:f>NOT(ISERROR(SEARCH($O$8,N49)))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47" operator="containsText" id="{4DA913E4-E35C-4814-858F-B290A796CACD}">
            <xm:f>NOT(ISERROR(SEARCH($O$9,N49)))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69" operator="containsText" id="{96FABD67-8527-44B6-9FC0-C2916F8A2A65}">
            <xm:f>NOT(ISERROR(SEARCH($O$11,N49)))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N49</xm:sqref>
        </x14:conditionalFormatting>
        <x14:conditionalFormatting xmlns:xm="http://schemas.microsoft.com/office/excel/2006/main">
          <x14:cfRule type="containsText" priority="1917" operator="containsText" id="{5E478F48-919C-46AE-81EE-5E1E16950640}">
            <xm:f>NOT(ISERROR(SEARCH($O$12,F50)))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882" operator="containsText" id="{6DCDEB5A-8A54-4AB8-AC1C-909F381442D6}">
            <xm:f>NOT(ISERROR(SEARCH($O$13,F50)))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881" operator="containsText" id="{C857B828-ABF5-4475-846B-F4B303E52C47}">
            <xm:f>NOT(ISERROR(SEARCH($O$14,F50)))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918" operator="containsText" id="{DA315DB8-586E-42CA-A0D1-9947313D042E}">
            <xm:f>NOT(ISERROR(SEARCH($O$15,F50)))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919" operator="containsText" id="{9983AACA-B86D-42D1-99F4-642CDE4783FF}">
            <xm:f>NOT(ISERROR(SEARCH($O$5,F50)))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890" operator="containsText" id="{1AE398B3-FDD0-4EDF-BE85-DD722ED9EF43}">
            <xm:f>NOT(ISERROR(SEARCH($O$6,F50)))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891" operator="containsText" id="{F0B9F2F2-0AE4-4F8C-898A-E2A62F88394F}">
            <xm:f>NOT(ISERROR(SEARCH($O$7,F50)))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892" operator="containsText" id="{066F1697-8679-4257-BC71-55ACEDFE6CE9}">
            <xm:f>NOT(ISERROR(SEARCH($O$8,F50)))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893" operator="containsText" id="{E286105A-0BAD-4ABA-A202-B40DBF8FC2BF}">
            <xm:f>NOT(ISERROR(SEARCH($O$9,F50)))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F50 H50</xm:sqref>
        </x14:conditionalFormatting>
        <x14:conditionalFormatting xmlns:xm="http://schemas.microsoft.com/office/excel/2006/main">
          <x14:cfRule type="containsText" priority="1916" operator="containsText" id="{DF1114FC-0275-4A60-B4BB-3994F023564F}">
            <xm:f>NOT(ISERROR(SEARCH($O$11,F50)))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H50 F50</xm:sqref>
        </x14:conditionalFormatting>
        <x14:conditionalFormatting xmlns:xm="http://schemas.microsoft.com/office/excel/2006/main">
          <x14:cfRule type="containsText" priority="1874" operator="containsText" id="{EB489638-B2B7-408A-94C2-9594A3C74CA2}">
            <xm:f>NOT(ISERROR(SEARCH($O$12,L50)))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43" operator="containsText" id="{6CAAD934-DAE9-4500-866E-AD2B6AD24C34}">
            <xm:f>NOT(ISERROR(SEARCH($O$13,L50)))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42" operator="containsText" id="{D67EF9D7-0C15-4493-A91F-73613B138822}">
            <xm:f>NOT(ISERROR(SEARCH($O$14,L50)))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75" operator="containsText" id="{3FBB8CDF-83BA-402F-BDD5-CA591EE3C2CA}">
            <xm:f>NOT(ISERROR(SEARCH($O$15,L50)))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76" operator="containsText" id="{6B34368A-E371-4BBB-9CFA-0AF2800F86A5}">
            <xm:f>NOT(ISERROR(SEARCH($O$5,L50)))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48" operator="containsText" id="{54AA9709-CBB9-45B9-A7EE-1DE8506A6693}">
            <xm:f>NOT(ISERROR(SEARCH($O$6,L50)))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49" operator="containsText" id="{2833CB52-1CA4-4D03-9EEB-C9FA61A7FC4B}">
            <xm:f>NOT(ISERROR(SEARCH($O$7,L50)))</xm:f>
            <xm:f>$O$7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50" operator="containsText" id="{7EED31CD-567D-4B90-8286-FFF7E452A1E0}">
            <xm:f>NOT(ISERROR(SEARCH($O$8,L50)))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51" operator="containsText" id="{6520471C-D038-4724-A010-1373E1A3DFEF}">
            <xm:f>NOT(ISERROR(SEARCH($O$9,L50)))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73" operator="containsText" id="{F0CBFB49-0B0B-4C9C-90D9-B4CA6040434E}">
            <xm:f>NOT(ISERROR(SEARCH($O$11,L50)))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L50</xm:sqref>
        </x14:conditionalFormatting>
        <x14:conditionalFormatting xmlns:xm="http://schemas.microsoft.com/office/excel/2006/main">
          <x14:cfRule type="containsText" priority="1838" operator="containsText" id="{D6E2537C-C520-4552-BCC0-0F7C6BFC32A5}">
            <xm:f>NOT(ISERROR(SEARCH($O$12,N50)))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07" operator="containsText" id="{3E305CE6-A6B3-4D2C-9CEF-0FE32673CE49}">
            <xm:f>NOT(ISERROR(SEARCH($O$13,N50)))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06" operator="containsText" id="{9BDFE0C1-951D-4284-8AE9-3687BCEECD26}">
            <xm:f>NOT(ISERROR(SEARCH($O$14,N50)))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39" operator="containsText" id="{D0137E90-2970-434D-A0FE-DD6AA6B5D8E3}">
            <xm:f>NOT(ISERROR(SEARCH($O$15,N50)))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40" operator="containsText" id="{141ED14F-3286-4EFD-9929-D241B9914E1C}">
            <xm:f>NOT(ISERROR(SEARCH($O$5,N50)))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12" operator="containsText" id="{C6784F84-6EF7-4E05-988C-4402AC591BC6}">
            <xm:f>NOT(ISERROR(SEARCH($O$6,N50)))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13" operator="containsText" id="{E5E26E52-FCE4-4A01-99A9-28C5A8C27C05}">
            <xm:f>NOT(ISERROR(SEARCH($O$7,N50)))</xm:f>
            <xm:f>$O$7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14" operator="containsText" id="{E2D30533-3216-4BFD-A043-4F73A2C67746}">
            <xm:f>NOT(ISERROR(SEARCH($O$8,N50)))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15" operator="containsText" id="{1A893242-70E0-4522-AAB4-9FCB77114734}">
            <xm:f>NOT(ISERROR(SEARCH($O$9,N50)))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837" operator="containsText" id="{C989B918-7407-45F0-85DE-86FC5E335061}">
            <xm:f>NOT(ISERROR(SEARCH($O$11,N50)))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772" operator="containsText" id="{25CC1ADB-40EB-4411-9465-49DCE51D4B66}">
            <xm:f>NOT(ISERROR(SEARCH($O$12,F51)))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1737" operator="containsText" id="{EA289CC5-25AC-4741-9934-7A3775F8FA08}">
            <xm:f>NOT(ISERROR(SEARCH($O$13,F51)))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1736" operator="containsText" id="{C88BD10E-BD1D-4325-BC01-3F043346858C}">
            <xm:f>NOT(ISERROR(SEARCH($O$14,F51)))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1773" operator="containsText" id="{962A72CA-288A-43C8-9709-3A810EC35434}">
            <xm:f>NOT(ISERROR(SEARCH($O$15,F51)))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1774" operator="containsText" id="{79D3D0B2-7516-47DD-89D2-0DB38A73497B}">
            <xm:f>NOT(ISERROR(SEARCH($O$5,F51)))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1745" operator="containsText" id="{33FD5D83-2006-496A-8BB2-3932A4AEF3C9}">
            <xm:f>NOT(ISERROR(SEARCH($O$6,F51)))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1746" operator="containsText" id="{D7091C24-4501-4277-B98C-60358B900D48}">
            <xm:f>NOT(ISERROR(SEARCH($O$7,F51)))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1747" operator="containsText" id="{CC7CF931-00C7-4346-9413-02346E965AA7}">
            <xm:f>NOT(ISERROR(SEARCH($O$8,F51)))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1748" operator="containsText" id="{8C5CDDF9-53B8-4D24-8AC0-FEA8B16C4419}">
            <xm:f>NOT(ISERROR(SEARCH($O$9,F51)))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F51 H51</xm:sqref>
        </x14:conditionalFormatting>
        <x14:conditionalFormatting xmlns:xm="http://schemas.microsoft.com/office/excel/2006/main">
          <x14:cfRule type="containsText" priority="1771" operator="containsText" id="{DCCA7BE0-5D7C-402F-9719-298A7ECA0F1C}">
            <xm:f>NOT(ISERROR(SEARCH($O$11,F51)))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H51 F51</xm:sqref>
        </x14:conditionalFormatting>
        <x14:conditionalFormatting xmlns:xm="http://schemas.microsoft.com/office/excel/2006/main">
          <x14:cfRule type="containsText" priority="1729" operator="containsText" id="{8F507340-C5C6-4146-A8F8-9F9B92AFD74B}">
            <xm:f>NOT(ISERROR(SEARCH($O$12,L51)))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698" operator="containsText" id="{4703F255-1286-404B-8EFC-7C594E145C9B}">
            <xm:f>NOT(ISERROR(SEARCH($O$13,L51)))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697" operator="containsText" id="{38158252-E6A0-4B39-A066-5BD2750F6318}">
            <xm:f>NOT(ISERROR(SEARCH($O$14,L51)))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30" operator="containsText" id="{4A6A4A6A-4107-4421-880B-FB277D69795E}">
            <xm:f>NOT(ISERROR(SEARCH($O$15,L51)))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31" operator="containsText" id="{40373F9A-ECB4-48EF-BF77-5159585AF51B}">
            <xm:f>NOT(ISERROR(SEARCH($O$5,L51)))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03" operator="containsText" id="{628AC2D7-E0FE-4EE0-ABB0-380519227B9E}">
            <xm:f>NOT(ISERROR(SEARCH($O$6,L51)))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04" operator="containsText" id="{50B6B70F-0E59-47EC-89CC-56C054708C00}">
            <xm:f>NOT(ISERROR(SEARCH($O$7,L51)))</xm:f>
            <xm:f>$O$7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05" operator="containsText" id="{631E8A78-1836-4397-9C61-A825131AEB6F}">
            <xm:f>NOT(ISERROR(SEARCH($O$8,L51)))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06" operator="containsText" id="{8986346F-349D-4B2A-9866-069AFAC44FEF}">
            <xm:f>NOT(ISERROR(SEARCH($O$9,L51)))</xm:f>
            <xm:f>$O$9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728" operator="containsText" id="{1A5EBF50-F78E-41E5-A225-63399E9B2BDD}">
            <xm:f>NOT(ISERROR(SEARCH($O$11,L51)))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L51</xm:sqref>
        </x14:conditionalFormatting>
        <x14:conditionalFormatting xmlns:xm="http://schemas.microsoft.com/office/excel/2006/main">
          <x14:cfRule type="containsText" priority="1693" operator="containsText" id="{D97B5EB6-67EC-4A2C-8B7E-64A635B3C827}">
            <xm:f>NOT(ISERROR(SEARCH($O$12,N51)))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62" operator="containsText" id="{9D352D95-1C3E-4683-A76F-1DA8AFF244A7}">
            <xm:f>NOT(ISERROR(SEARCH($O$13,N51)))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61" operator="containsText" id="{AD8AB51D-05EB-45E5-ABDD-FD0B2A651328}">
            <xm:f>NOT(ISERROR(SEARCH($O$14,N51)))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94" operator="containsText" id="{9CA85CE2-A00E-4BB4-A1DC-728362D775EA}">
            <xm:f>NOT(ISERROR(SEARCH($O$15,N51)))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95" operator="containsText" id="{111933D8-6D67-44FD-9DFF-3DF8EFE2F61D}">
            <xm:f>NOT(ISERROR(SEARCH($O$5,N51)))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67" operator="containsText" id="{172494EF-4AAC-47E5-AA30-6289655CB29F}">
            <xm:f>NOT(ISERROR(SEARCH($O$6,N51)))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68" operator="containsText" id="{54079F6F-6980-4D7C-9803-C2C6B5C537AC}">
            <xm:f>NOT(ISERROR(SEARCH($O$7,N51)))</xm:f>
            <xm:f>$O$7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69" operator="containsText" id="{4835B734-6758-4905-BB2D-5A00F39F91AE}">
            <xm:f>NOT(ISERROR(SEARCH($O$8,N51)))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70" operator="containsText" id="{474D67CE-38F0-476C-8676-F8A8E3423E21}">
            <xm:f>NOT(ISERROR(SEARCH($O$9,N51)))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692" operator="containsText" id="{059C9CD1-C46C-4245-988D-569C1DE88A92}">
            <xm:f>NOT(ISERROR(SEARCH($O$11,N51)))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567" operator="containsText" id="{233CAB25-1E0D-4B14-BF45-FAA61873D9C4}">
            <xm:f>NOT(ISERROR(SEARCH($O$5,F21)))</xm:f>
            <xm:f>$O$5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66" operator="containsText" id="{5E41DA8A-D59A-4E92-8AF4-B4105EDAB012}">
            <xm:f>NOT(ISERROR(SEARCH($O$6,F21)))</xm:f>
            <xm:f>$O$6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65" operator="containsText" id="{B2880F02-4A7C-43A5-A929-0EDAADF44CD0}">
            <xm:f>NOT(ISERROR(SEARCH($O$7,F21)))</xm:f>
            <xm:f>$O$7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64" operator="containsText" id="{2B7F594A-AEAC-4FA6-97D0-CB94F8E6DD35}">
            <xm:f>NOT(ISERROR(SEARCH($O$8,F21)))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F21:F33 L21:L33 N21:N33</xm:sqref>
        </x14:conditionalFormatting>
        <x14:conditionalFormatting xmlns:xm="http://schemas.microsoft.com/office/excel/2006/main">
          <x14:cfRule type="containsText" priority="1563" operator="containsText" id="{47BA4C16-7030-4C6A-8D48-3996CA5FC2D4}">
            <xm:f>NOT(ISERROR(SEARCH($O$9,F21)))</xm:f>
            <xm:f>$O$9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80" operator="containsText" id="{C165EABF-B680-4C32-B17F-1FBFCA19F0ED}">
            <xm:f>NOT(ISERROR(SEARCH($O$11,F21)))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62" operator="containsText" id="{700BDFCD-79C3-421D-99E8-57E9DE9867B3}">
            <xm:f>NOT(ISERROR(SEARCH($O$12,F21)))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61" operator="containsText" id="{F09E334C-D433-4DE0-8BFB-3A1FFE0786CF}">
            <xm:f>NOT(ISERROR(SEARCH($O$13,F21)))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60" operator="containsText" id="{F10A7B12-E821-4AC3-971A-C1A05FC8E5C5}">
            <xm:f>NOT(ISERROR(SEARCH($O$14,F21)))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43" operator="containsText" id="{A2924AB6-BBF1-42D0-B06C-F160F970EA38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542" operator="containsText" id="{2B05B300-6F5D-46F4-9459-AEA7FEB18CD5}">
            <xm:f>NOT(ISERROR(SEARCH($O$8,L21)))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1584" operator="containsText" id="{9B70AF09-540B-4B0D-825D-B58600E195AD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1585" operator="containsText" id="{0755BCE8-F648-4E87-ABC9-6EFA6556CDE2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579" operator="containsText" id="{42E0222B-0F3E-4788-84B1-5830DB3A5FEC}">
            <xm:f>NOT(ISERROR(SEARCH($O$15,F21)))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362" operator="containsText" id="{3A55619C-1F75-4192-9816-031995E2E540}">
            <xm:f>NOT(ISERROR(SEARCH($O$5,F5)))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63" operator="containsText" id="{601A7971-77ED-49AC-9943-435CED116C01}">
            <xm:f>NOT(ISERROR(SEARCH($O$6,F5)))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64" operator="containsText" id="{93050B9A-5A54-4926-97D7-D8FA9FF01C9C}">
            <xm:f>NOT(ISERROR(SEARCH($O$7,F5)))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65" operator="containsText" id="{C8E9472B-AC84-497D-8D12-8F59EFA0CBDE}">
            <xm:f>NOT(ISERROR(SEARCH($O$8,F5)))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66" operator="containsText" id="{6DA9E9D4-C366-4B20-AD16-9F6C1919B791}">
            <xm:f>NOT(ISERROR(SEARCH($O$9,F5)))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67" operator="containsText" id="{32A63DD0-DC7A-4E1A-BC83-098B5F8A4C52}">
            <xm:f>NOT(ISERROR(SEARCH($O$11,F5)))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368" operator="containsText" id="{0D80B449-BEA8-4377-88D2-CC18FB9963FE}">
            <xm:f>NOT(ISERROR(SEARCH($O$12,F5)))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369" operator="containsText" id="{01127C1F-F769-4411-B6EF-FB21957167C8}">
            <xm:f>NOT(ISERROR(SEARCH($O$13,F5)))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370" operator="containsText" id="{5C179FD6-C60D-4970-9B4B-3F4B83211ADA}">
            <xm:f>NOT(ISERROR(SEARCH($O$14,F5)))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371" operator="containsText" id="{FAA2F62E-52D1-460A-B7C9-D2BF6D4D344C}">
            <xm:f>NOT(ISERROR(SEARCH($O$5,N5)))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372" operator="containsText" id="{6C2882D4-4E4D-45A5-8C15-85F8B6610EA7}">
            <xm:f>NOT(ISERROR(SEARCH($O$6,N5)))</xm:f>
            <xm:f>$O$6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373" operator="containsText" id="{D487358D-0203-401F-9F03-1D0AB5F02C7F}">
            <xm:f>NOT(ISERROR(SEARCH($O$7,N5)))</xm:f>
            <xm:f>$O$7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374" operator="containsText" id="{41D436A2-996F-4498-9EBD-1E9AD34B6A36}">
            <xm:f>NOT(ISERROR(SEARCH($O$8,N5)))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375" operator="containsText" id="{73ADA1A8-C6D6-4773-B954-50D2DE39D804}">
            <xm:f>NOT(ISERROR(SEARCH($O$9,N5)))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376" operator="containsText" id="{BB4CA8F6-298C-481C-9A73-B1F948B7D469}">
            <xm:f>NOT(ISERROR(SEARCH($O$5,L11)))</xm:f>
            <xm:f>$O$5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377" operator="containsText" id="{54754FDC-DD61-4216-92F6-606D9CB516EF}">
            <xm:f>NOT(ISERROR(SEARCH($O$6,L11)))</xm:f>
            <xm:f>$O$6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378" operator="containsText" id="{30E37342-AC0A-4BD8-ABBC-B0B21C3BEE1C}">
            <xm:f>NOT(ISERROR(SEARCH($O$7,L11)))</xm:f>
            <xm:f>$O$7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379" operator="containsText" id="{EF4152E9-AC0C-4C9C-B485-8431755A8E0E}">
            <xm:f>NOT(ISERROR(SEARCH($O$8,L11)))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380" operator="containsText" id="{FD203E79-6B79-4348-9033-B7D648D76D50}">
            <xm:f>NOT(ISERROR(SEARCH($O$9,L11)))</xm:f>
            <xm:f>$O$9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381" operator="containsText" id="{BB13DE15-86A9-4646-AC6C-7CF3045B03DE}">
            <xm:f>NOT(ISERROR(SEARCH($O$5,N15)))</xm:f>
            <xm:f>$O$5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2" operator="containsText" id="{531C2796-DD84-4E32-8B6F-735974090790}">
            <xm:f>NOT(ISERROR(SEARCH($O$6,N15)))</xm:f>
            <xm:f>$O$6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3" operator="containsText" id="{E816C5EB-4004-4E4A-B24C-496FF29141EA}">
            <xm:f>NOT(ISERROR(SEARCH($O$7,N15)))</xm:f>
            <xm:f>$O$7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4" operator="containsText" id="{CF552498-B5E5-4A07-A592-C65AEDC65C9E}">
            <xm:f>NOT(ISERROR(SEARCH($O$8,N15)))</xm:f>
            <xm:f>$O$8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5" operator="containsText" id="{9990E957-7FF9-42A0-942B-0D7910218AF0}">
            <xm:f>NOT(ISERROR(SEARCH($O$9,N15)))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6" stopIfTrue="1" operator="containsText" id="{591FAF10-F13B-4FD8-84B6-910EA2468425}">
            <xm:f>NOT(ISERROR(SEARCH($O$11,N15)))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7" stopIfTrue="1" operator="containsText" id="{00BD4548-90BD-49E0-BB11-18B5B20FFA5D}">
            <xm:f>NOT(ISERROR(SEARCH($O$12,N15)))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8" stopIfTrue="1" operator="containsText" id="{129A390B-2534-40D2-9489-FE45F3CD96EB}">
            <xm:f>NOT(ISERROR(SEARCH($O$13,N15)))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89" stopIfTrue="1" operator="containsText" id="{C6117E3D-3AF9-49CD-AA31-AB9AA2887966}">
            <xm:f>NOT(ISERROR(SEARCH($O$14,N15)))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390" operator="containsText" id="{8A5E40E8-19C7-452E-90E2-F2F06AF698DC}">
            <xm:f>NOT(ISERROR(SEARCH($O$15,F5)))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391" stopIfTrue="1" operator="containsText" id="{2FA0F139-8AE6-4C17-871A-43C34310A69D}">
            <xm:f>NOT(ISERROR(SEARCH($O$15,N15)))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913" operator="containsText" id="{827BCC9C-5AB4-44C9-841B-0E3CA97B55BD}">
            <xm:f>NOT(ISERROR(SEARCH($O$8,H32)))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H32</xm:sqref>
        </x14:conditionalFormatting>
        <x14:conditionalFormatting xmlns:xm="http://schemas.microsoft.com/office/excel/2006/main">
          <x14:cfRule type="containsText" priority="903" operator="containsText" id="{E346C04D-25BC-4828-BA17-24C75DF33897}">
            <xm:f>NOT(ISERROR(SEARCH($O$8,H27)))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891" operator="containsText" id="{6790833A-E49B-41BF-A4B5-AE18B4BFBC6C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895" operator="containsText" id="{5AD5FDED-2532-488C-86CA-6196D2A88CDC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881" operator="containsText" id="{5F5E0CC4-8222-4ADD-8D8A-1BCF6B0BA211}">
            <xm:f>NOT(ISERROR(SEARCH($O$8,H23)))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874" operator="containsText" id="{8B899C11-DA16-4DB4-8C09-C00D077D6191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866" operator="containsText" id="{D0557535-DCC8-48F5-8F1A-646FCB00702A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870" operator="containsText" id="{4DF7D8AE-5C3F-48C3-92FB-E3C7F1388A90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862" operator="containsText" id="{B5282228-E165-4419-8B40-A1FF3CB6F369}">
            <xm:f>NOT(ISERROR(SEARCH($O$5,F34)))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61" operator="containsText" id="{CE97DA95-B41C-47C3-9D60-0266280D55D3}">
            <xm:f>NOT(ISERROR(SEARCH($O$6,F34)))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60" operator="containsText" id="{470799C1-8CB5-4C09-B7FA-2CC511C3E1AC}">
            <xm:f>NOT(ISERROR(SEARCH($O$7,F34)))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59" operator="containsText" id="{8251A75A-8A7B-4A71-A20A-ABA8BF572078}">
            <xm:f>NOT(ISERROR(SEARCH($O$8,F34)))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58" operator="containsText" id="{89FC585C-16EE-4F78-8828-68F44973E11B}">
            <xm:f>NOT(ISERROR(SEARCH($O$9,F34)))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64" operator="containsText" id="{433F7C0D-A5E1-41EC-99C2-DCE48D73343A}">
            <xm:f>NOT(ISERROR(SEARCH($O$11,F34)))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57" operator="containsText" id="{7BC3D513-84B9-4030-B3C1-FE8CF64266FB}">
            <xm:f>NOT(ISERROR(SEARCH($O$12,F34)))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56" operator="containsText" id="{A6866AD6-26A7-4E84-BE2D-09ABD9DDB141}">
            <xm:f>NOT(ISERROR(SEARCH($O$13,F34)))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55" operator="containsText" id="{2E957787-2FD1-48D3-B698-8FA7126C301B}">
            <xm:f>NOT(ISERROR(SEARCH($O$14,F34)))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63" operator="containsText" id="{7FB342DB-D451-4817-A4FB-E361535D8987}">
            <xm:f>NOT(ISERROR(SEARCH($O$15,F34)))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41" operator="containsText" id="{59869E3F-1806-47CD-9773-4F2C11725247}">
            <xm:f>NOT(ISERROR(SEARCH($O$5,H34)))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40" operator="containsText" id="{8DEC6064-1BC8-40BB-8C91-FB6C025ED309}">
            <xm:f>NOT(ISERROR(SEARCH($O$6,H34)))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39" operator="containsText" id="{E2720B3D-EAFD-4B7C-BB14-194B402BB4A6}">
            <xm:f>NOT(ISERROR(SEARCH($O$7,H34)))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38" operator="containsText" id="{128B9860-0065-42CE-B466-74D58C23004F}">
            <xm:f>NOT(ISERROR(SEARCH($O$9,H34)))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43" operator="containsText" id="{6E1D9C7B-D63D-434A-8EA1-FCF156050AED}">
            <xm:f>NOT(ISERROR(SEARCH($O$11,H34)))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37" operator="containsText" id="{520E6506-BFDB-43E6-99C5-FA5B84D92022}">
            <xm:f>NOT(ISERROR(SEARCH($O$12,H34)))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36" operator="containsText" id="{22F5DE8D-3EE7-4B8D-89FB-29C0ECA4110B}">
            <xm:f>NOT(ISERROR(SEARCH($O$13,H34)))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35" operator="containsText" id="{E12DD2E3-57A5-4AEC-B17E-295FD166B8A5}">
            <xm:f>NOT(ISERROR(SEARCH($O$14,H34)))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34" operator="containsText" id="{D7363B88-A0BA-44E5-870F-E81BC9DCA70F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44" operator="containsText" id="{CC2854F8-B00C-4DC2-9059-93F4D5817726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42" operator="containsText" id="{D4EB0FC3-D99A-4040-812C-AE78F71078E0}">
            <xm:f>NOT(ISERROR(SEARCH($O$15,H34)))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09" operator="containsText" id="{A1F0BBD1-9B49-4A38-9F83-A02E69123204}">
            <xm:f>NOT(ISERROR(SEARCH($O$5,L34)))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8" operator="containsText" id="{0818DF30-95BF-46F1-B9CF-BFB7DF66CF79}">
            <xm:f>NOT(ISERROR(SEARCH($O$6,L34)))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7" operator="containsText" id="{8B02218E-DB96-4B5F-9B73-E625D422F714}">
            <xm:f>NOT(ISERROR(SEARCH($O$7,L34)))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6" operator="containsText" id="{06E7C424-4839-4665-956B-D17A94F8AD28}">
            <xm:f>NOT(ISERROR(SEARCH($O$8,L34)))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5" operator="containsText" id="{F0F783D8-7EFA-4739-9B87-16FE76CCF192}">
            <xm:f>NOT(ISERROR(SEARCH($O$9,L34)))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13" operator="containsText" id="{FAB8D03C-A423-4196-8BC7-77DD22E54DA4}">
            <xm:f>NOT(ISERROR(SEARCH($O$11,L34)))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4" operator="containsText" id="{831EF0F0-EF3B-4769-87CE-17A14A0B2B03}">
            <xm:f>NOT(ISERROR(SEARCH($O$12,L34)))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3" operator="containsText" id="{FAC92B1B-7B9E-4ADB-8C77-C36B30AC34CA}">
            <xm:f>NOT(ISERROR(SEARCH($O$13,L34)))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02" operator="containsText" id="{DC511643-A7C8-463C-B6D8-2D4AEFE71BD7}">
            <xm:f>NOT(ISERROR(SEARCH($O$14,L34)))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12" operator="containsText" id="{D4CAF255-D22F-4E45-8C56-44955BC5493E}">
            <xm:f>NOT(ISERROR(SEARCH($O$15,L34)))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657" operator="containsText" id="{3F87CBD3-9938-4106-8BDB-442104F63C5E}">
            <xm:f>NOT(ISERROR(SEARCH($O$5,F52)))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58" operator="containsText" id="{84F67BDA-39E3-4C6D-B76D-F9325DBCFEE1}">
            <xm:f>NOT(ISERROR(SEARCH($O$6,F52)))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5" operator="containsText" id="{0A910143-2D10-47F6-8931-66F43184F31A}">
            <xm:f>NOT(ISERROR(SEARCH($O$7,F52)))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59" operator="containsText" id="{FBC3406A-F442-4D66-9CBC-388B24FF7530}">
            <xm:f>NOT(ISERROR(SEARCH($O$8,F52)))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0" operator="containsText" id="{9848C4AE-3403-4F9A-AFBD-96227BDD6E7F}">
            <xm:f>NOT(ISERROR(SEARCH($O$9,F52)))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1" operator="containsText" id="{3944EC7A-3B34-454C-A3B8-B6691658CA9D}">
            <xm:f>NOT(ISERROR(SEARCH($O$11,F52)))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2" operator="containsText" id="{72D96F25-64A9-4C6A-B4F0-5F1AD4AADA9D}">
            <xm:f>NOT(ISERROR(SEARCH($O$12,F52)))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6" operator="containsText" id="{77504B0A-D27E-4F3A-9EEF-4DAE8C080944}">
            <xm:f>NOT(ISERROR(SEARCH($O$13,F52)))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3" operator="containsText" id="{826BA7E5-EFCD-4AEC-BD3D-8CD281CC9E3A}">
            <xm:f>NOT(ISERROR(SEARCH($O$14,F52)))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64" operator="containsText" id="{64F64D03-76EA-4E40-A337-677E6B386430}">
            <xm:f>NOT(ISERROR(SEARCH($O$15,F52)))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23" operator="containsText" id="{9F30267B-1817-43E0-9976-F9D416B7B6DD}">
            <xm:f>NOT(ISERROR(SEARCH($O$5,H52)))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24" operator="containsText" id="{65439D54-E580-4F25-830C-1D48934A9EA3}">
            <xm:f>NOT(ISERROR(SEARCH($O$6,H52)))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31" operator="containsText" id="{BFBBAC64-B47B-4544-A7C6-A47BB883DC73}">
            <xm:f>NOT(ISERROR(SEARCH($O$7,H52)))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25" operator="containsText" id="{E77B34C5-F4DD-416C-9E6E-30B6A840BD28}">
            <xm:f>NOT(ISERROR(SEARCH($O$8,H52)))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26" operator="containsText" id="{5831D82D-9D52-4938-9502-A990D0513AEE}">
            <xm:f>NOT(ISERROR(SEARCH($O$9,H52)))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27" operator="containsText" id="{20595984-6C6F-4C52-A293-5E0BF1968CCB}">
            <xm:f>NOT(ISERROR(SEARCH($O$11,H52)))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28" operator="containsText" id="{B857D3B9-59B7-4EA3-B8F6-6223CE405471}">
            <xm:f>NOT(ISERROR(SEARCH($O$12,H52)))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32" operator="containsText" id="{757A8CB8-D25D-4F17-82C5-597C128AACA2}">
            <xm:f>NOT(ISERROR(SEARCH($O$13,H52)))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29" operator="containsText" id="{D7DAD211-79EF-4354-A285-819F5CD6B118}">
            <xm:f>NOT(ISERROR(SEARCH($O$14,H52)))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30" operator="containsText" id="{D17351E2-68F7-4881-8665-BD6324A9F387}">
            <xm:f>NOT(ISERROR(SEARCH($O$15,H52)))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572" operator="containsText" id="{71D9D097-7DC0-4FFC-946D-F748A213960D}">
            <xm:f>NOT(ISERROR(SEARCH($O$5,L52)))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3" operator="containsText" id="{84AC5728-12EB-41DE-BD3A-BEDAB5DB61E6}">
            <xm:f>NOT(ISERROR(SEARCH($O$6,L52)))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80" operator="containsText" id="{34289DEC-3E96-4DB9-B976-E20023B28FE0}">
            <xm:f>NOT(ISERROR(SEARCH($O$7,L52)))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4" operator="containsText" id="{27B9B588-B9E7-4D6B-B367-33C65C997693}">
            <xm:f>NOT(ISERROR(SEARCH($O$8,L52)))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5" operator="containsText" id="{0FE5B0D4-472F-457C-BE6A-60506C77588A}">
            <xm:f>NOT(ISERROR(SEARCH($O$9,L52)))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6" operator="containsText" id="{70FD9829-1949-4B30-965E-8CAF0705F55C}">
            <xm:f>NOT(ISERROR(SEARCH($O$11,L52)))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7" operator="containsText" id="{721BDDA5-5CB2-4B04-85C0-F18F14C7AA7A}">
            <xm:f>NOT(ISERROR(SEARCH($O$12,L52)))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81" operator="containsText" id="{6C9B52E6-4698-4F96-B0BC-78F6CDABFDC2}">
            <xm:f>NOT(ISERROR(SEARCH($O$13,L52)))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8" operator="containsText" id="{80036EF0-5A7C-4A7F-8FFA-47A97DD19D5F}">
            <xm:f>NOT(ISERROR(SEARCH($O$14,L52)))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79" operator="containsText" id="{06A8EF97-1F4F-403D-B54F-4E88CB91BA68}">
            <xm:f>NOT(ISERROR(SEARCH($O$15,L52)))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L52:L53</xm:sqref>
        </x14:conditionalFormatting>
        <x14:conditionalFormatting xmlns:xm="http://schemas.microsoft.com/office/excel/2006/main">
          <x14:cfRule type="containsText" priority="538" operator="containsText" id="{B215BBD1-0330-4FAE-876A-C3D3201EDF6B}">
            <xm:f>NOT(ISERROR(SEARCH($O$5,N52)))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39" operator="containsText" id="{00F4A91F-5373-45CC-AB9D-E97540B2C912}">
            <xm:f>NOT(ISERROR(SEARCH($O$6,N52)))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6" operator="containsText" id="{A62943C4-AE95-47D7-92AE-21851BFA94E6}">
            <xm:f>NOT(ISERROR(SEARCH($O$7,N52)))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0" operator="containsText" id="{60B87DE9-390F-44A9-91C6-510A700F5272}">
            <xm:f>NOT(ISERROR(SEARCH($O$8,N52)))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1" operator="containsText" id="{BE3864C9-7C0D-4713-92BA-E810DE7282B9}">
            <xm:f>NOT(ISERROR(SEARCH($O$9,N52)))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2" operator="containsText" id="{6330A9B6-2F42-462B-A1B5-D6988ED60A19}">
            <xm:f>NOT(ISERROR(SEARCH($O$11,N52)))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3" operator="containsText" id="{4DAAC852-BA6E-4ED5-8290-D6129FA10BF2}">
            <xm:f>NOT(ISERROR(SEARCH($O$12,N52)))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7" operator="containsText" id="{907C8799-4B36-4469-8D65-03E9D5B675A7}">
            <xm:f>NOT(ISERROR(SEARCH($O$13,N52)))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4" operator="containsText" id="{F4931191-5169-49E3-A2C6-9A152776B3C6}">
            <xm:f>NOT(ISERROR(SEARCH($O$14,N52)))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545" operator="containsText" id="{6FFD64D9-63A4-4174-AB2B-4853FF67BB46}">
            <xm:f>NOT(ISERROR(SEARCH($O$15,N52)))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497" operator="containsText" id="{F743A2CA-7FF8-43E0-9A13-2FE0192F386B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6" operator="containsText" id="{D3B9BBF1-6F87-41FA-A9DA-9460AE46EAC4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5" operator="containsText" id="{70ACEB94-979E-4EA8-9712-1B96B7F89E65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4" operator="containsText" id="{5C5FE5C6-170A-4421-9293-50F9B3813E56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3" operator="containsText" id="{9E834563-64F5-4413-8F65-D942B744F477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500" operator="containsText" id="{8951FDB9-1A01-4318-9040-E9A8796C63B4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2" operator="containsText" id="{2162956C-72AE-431D-A91B-3878705DB6AB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1" operator="containsText" id="{182A9FDC-80BF-468D-92CC-BB9019D4B103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0" operator="containsText" id="{E26C018F-803B-4D10-8B70-5B7FC90C45F5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99" operator="containsText" id="{C64B56CC-71C1-4040-B46F-776AC8FB0005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466" operator="containsText" id="{ED816696-E174-44F6-AD4E-E0064E03B133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5" operator="containsText" id="{AA807D6D-0F94-41A1-88DC-0089F94F893D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4" operator="containsText" id="{D786BD21-B1A5-46D4-91A1-C3C99C870B10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3" operator="containsText" id="{08170E9A-2A79-4536-9A6F-3AB1CB4F77EA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2" operator="containsText" id="{76693D4F-0AB9-4218-A1C6-DE609C6D86E7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8" operator="containsText" id="{0F9853F3-7E2E-4FA8-9E49-2B929A245866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1" operator="containsText" id="{96EAB1A0-4BF2-4BF9-B4F3-D690AE9B0FBC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0" operator="containsText" id="{C0CD4E32-3DDD-40F1-AE44-60D0C1AE4CBA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59" operator="containsText" id="{5FC8542C-67A6-47B0-8078-F005F8BCBF2D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67" operator="containsText" id="{1FD964B0-330B-4979-94F5-AEC85EBEB185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439" operator="containsText" id="{FFE560BC-E432-42C2-A18A-0A25054C077D}">
            <xm:f>NOT(ISERROR(SEARCH($O$5,H35)))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8" operator="containsText" id="{72A3FF0B-2A6B-456F-8099-4D4FE699A212}">
            <xm:f>NOT(ISERROR(SEARCH($O$6,H35)))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7" operator="containsText" id="{15AAA863-1F6D-41C0-B69E-0B88117EBDC4}">
            <xm:f>NOT(ISERROR(SEARCH($O$7,H35)))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6" operator="containsText" id="{4BBC49F6-7708-4FB8-AD3A-342B64AADE89}">
            <xm:f>NOT(ISERROR(SEARCH($O$8,H35)))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5" operator="containsText" id="{A3860C45-B786-4200-AE5E-0175B869D81D}">
            <xm:f>NOT(ISERROR(SEARCH($O$9,H35)))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42" operator="containsText" id="{B56B1F3B-0B1C-4EE3-9B2B-CC995D8D0090}">
            <xm:f>NOT(ISERROR(SEARCH($O$11,H35)))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4" operator="containsText" id="{13CFD1D2-48E1-4796-A18F-58B8D1279A9F}">
            <xm:f>NOT(ISERROR(SEARCH($O$12,H35)))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3" operator="containsText" id="{ED0EAC29-8038-4CC5-AE5B-A4FC4C1C9F08}">
            <xm:f>NOT(ISERROR(SEARCH($O$13,H35)))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32" operator="containsText" id="{F539798F-45D5-4019-9C5E-73A501A3B520}">
            <xm:f>NOT(ISERROR(SEARCH($O$14,H35)))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41" operator="containsText" id="{56A9C60B-1D80-40D8-8DB2-3AF9F4C77C25}">
            <xm:f>NOT(ISERROR(SEARCH($O$15,H35)))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408" operator="containsText" id="{76F715BE-A781-4B73-9725-FFDC4A0E1C87}">
            <xm:f>NOT(ISERROR(SEARCH($O$5,H36)))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7" operator="containsText" id="{A373DD31-0A9C-4190-971D-5C3C902DDAC0}">
            <xm:f>NOT(ISERROR(SEARCH($O$6,H36)))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6" operator="containsText" id="{725C640A-6916-452D-A4AC-8A1F45B86D15}">
            <xm:f>NOT(ISERROR(SEARCH($O$7,H36)))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5" operator="containsText" id="{D7244D7C-2C93-4568-8966-7F436E02B4A5}">
            <xm:f>NOT(ISERROR(SEARCH($O$8,H36)))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4" operator="containsText" id="{C99DF8F5-AB1D-498E-AE79-8130BE260724}">
            <xm:f>NOT(ISERROR(SEARCH($O$9,H36)))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10" operator="containsText" id="{2F257016-62DB-4346-B99E-3C051BE2D77D}">
            <xm:f>NOT(ISERROR(SEARCH($O$11,H36)))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3" operator="containsText" id="{DECAEB17-0DC7-413B-91C2-B237273A0E2E}">
            <xm:f>NOT(ISERROR(SEARCH($O$12,H36)))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2" operator="containsText" id="{4FA15793-A3B8-4B93-BBF9-CC5AFBF2CFF6}">
            <xm:f>NOT(ISERROR(SEARCH($O$13,H36)))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1" operator="containsText" id="{4E3394E8-9248-4F5B-874F-2FACD84DEF42}">
            <xm:f>NOT(ISERROR(SEARCH($O$14,H36)))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409" operator="containsText" id="{810DAFF2-75AE-450D-B666-916C0F6FFB85}">
            <xm:f>NOT(ISERROR(SEARCH($O$15,H36)))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371" operator="containsText" id="{40412667-6861-4FD2-979B-FD6915D71A9C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70" operator="containsText" id="{A3C5A7D6-CECD-4986-8D83-7F9C2AEB2AFF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69" operator="containsText" id="{A39AC891-BF43-406C-B066-90C33CD1782E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68" operator="containsText" id="{61D13E77-C622-4A7D-B8DD-75035D4C6D0F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67" operator="containsText" id="{D55B4912-A525-40BE-B6B6-7A3CCC705354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74" operator="containsText" id="{1A1EF9EB-2470-47EB-9C94-75CE19A1D038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66" operator="containsText" id="{CA4A0FE9-43E7-4730-8ACE-B8509F3550E5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65" operator="containsText" id="{DC017493-8396-4024-A203-65C5DB8BF63B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64" operator="containsText" id="{E9FEFCF2-DE66-452E-86E8-C0E6624F6B96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73" operator="containsText" id="{E89D05F2-1581-4C1B-A838-1069A18161E3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340" operator="containsText" id="{3929B976-B7A2-4106-AFDD-E7E5CAEC0AB3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9" operator="containsText" id="{6923A017-00C4-44BC-8183-C20F78F5A5B9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8" operator="containsText" id="{CE0B4577-A533-41CD-95F5-AE5D97EEEB20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7" operator="containsText" id="{4F2F1472-74D3-4432-A902-6686054878C1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6" operator="containsText" id="{B58971F5-09D3-443E-9CF7-2F4D1EC88511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42" operator="containsText" id="{2CD7A365-CB70-451E-B609-4957FAD7F7B8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5" operator="containsText" id="{0B169BF6-0C8A-4A5F-86B1-C6DE50E79549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4" operator="containsText" id="{EE307670-0881-42A5-98D7-E0BED094B7CB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33" operator="containsText" id="{0ED5FDEA-C5E1-4350-92DF-9DA6C0CDB191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41" operator="containsText" id="{9BE044E7-CF28-4258-A150-6DC1363E7264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313" operator="containsText" id="{F2B40E1B-A6F9-4D9B-A9BF-D54A2F3F0EBE}">
            <xm:f>NOT(ISERROR(SEARCH($O$5,N35)))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12" operator="containsText" id="{0EC59369-98CC-4222-B73D-45683FBCAE6B}">
            <xm:f>NOT(ISERROR(SEARCH($O$6,N35)))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11" operator="containsText" id="{B2A49D5C-9887-409C-A2E1-5DC673236B71}">
            <xm:f>NOT(ISERROR(SEARCH($O$7,N35)))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10" operator="containsText" id="{82C1B7B7-24F9-4D46-B375-AC9E6F3C0679}">
            <xm:f>NOT(ISERROR(SEARCH($O$8,N35)))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09" operator="containsText" id="{B0496034-8FD0-4443-8362-7EFC78091FB0}">
            <xm:f>NOT(ISERROR(SEARCH($O$9,N35)))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16" operator="containsText" id="{5C37ABD2-DAD9-4428-9D02-1570E2F6756A}">
            <xm:f>NOT(ISERROR(SEARCH($O$11,N35)))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08" operator="containsText" id="{D0C89493-3F79-4962-A131-21AE6A16BBAD}">
            <xm:f>NOT(ISERROR(SEARCH($O$12,N35)))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07" operator="containsText" id="{EFAE626D-9533-4007-9FB8-D7C77ED5AA45}">
            <xm:f>NOT(ISERROR(SEARCH($O$13,N35)))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06" operator="containsText" id="{174935F1-54A3-4DBD-966D-4312917465F8}">
            <xm:f>NOT(ISERROR(SEARCH($O$14,N35)))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315" operator="containsText" id="{70A585D3-419F-4EF9-A315-E27D69593EBE}">
            <xm:f>NOT(ISERROR(SEARCH($O$15,N35)))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282" operator="containsText" id="{B70CAE4D-2AFC-4AE5-9E20-BA1F3C59A9CE}">
            <xm:f>NOT(ISERROR(SEARCH($O$5,N36)))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81" operator="containsText" id="{6BAEAA9C-9666-463E-B063-FACC9884A603}">
            <xm:f>NOT(ISERROR(SEARCH($O$6,N36)))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80" operator="containsText" id="{D200B0E4-C546-4BEB-9E0C-EEFB95A9C13E}">
            <xm:f>NOT(ISERROR(SEARCH($O$7,N36)))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79" operator="containsText" id="{FDBE54F1-6BE7-4A3B-A818-28FE57D58877}">
            <xm:f>NOT(ISERROR(SEARCH($O$8,N36)))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78" operator="containsText" id="{067C85AE-D378-4D9F-9E5A-B113DDF6DC7F}">
            <xm:f>NOT(ISERROR(SEARCH($O$9,N36)))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84" operator="containsText" id="{F6039151-8E41-4601-B0F3-AA56CD07E1CC}">
            <xm:f>NOT(ISERROR(SEARCH($O$11,N36)))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77" operator="containsText" id="{A79CBCDE-33C6-46EC-9D1D-EAA3CD6A997A}">
            <xm:f>NOT(ISERROR(SEARCH($O$12,N36)))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76" operator="containsText" id="{73637F57-BD0D-451A-A80F-AF2917432837}">
            <xm:f>NOT(ISERROR(SEARCH($O$13,N36)))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75" operator="containsText" id="{01DAAB9C-7974-403F-81C3-F161E4247261}">
            <xm:f>NOT(ISERROR(SEARCH($O$14,N36)))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83" operator="containsText" id="{0129C05E-7932-405D-AF0A-9A632CA86299}">
            <xm:f>NOT(ISERROR(SEARCH($O$15,N36)))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250" operator="containsText" id="{6A3BB9D9-AE29-45C4-B273-AAEFA4C6FAAB}">
            <xm:f>NOT(ISERROR(SEARCH($O$5,F18)))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1" operator="containsText" id="{EC03758F-38E4-4BA7-9427-77EF357BAD27}">
            <xm:f>NOT(ISERROR(SEARCH($O$6,F18)))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2" operator="containsText" id="{CDD399C7-655F-4902-937B-0969EA70400F}">
            <xm:f>NOT(ISERROR(SEARCH($O$7,F18)))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3" operator="containsText" id="{2C720B25-D1E6-4C90-8810-0EE76F4400CB}">
            <xm:f>NOT(ISERROR(SEARCH($O$8,F18)))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4" operator="containsText" id="{FD8AC599-E905-4D6D-8F60-B076F5D713A7}">
            <xm:f>NOT(ISERROR(SEARCH($O$9,F18)))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5" operator="containsText" id="{BBCA3A4A-4CBF-4F48-B5F3-3149099C7752}">
            <xm:f>NOT(ISERROR(SEARCH($O$11,F18)))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6" operator="containsText" id="{7570B5D8-E109-487A-BE5D-03270606AA97}">
            <xm:f>NOT(ISERROR(SEARCH($O$12,F18)))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7" operator="containsText" id="{D0C65F05-0B2F-4D52-A7F9-9260D08FBEFB}">
            <xm:f>NOT(ISERROR(SEARCH($O$13,F18)))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8" operator="containsText" id="{4791157A-F787-4204-9DB0-0C79F7F78B34}">
            <xm:f>NOT(ISERROR(SEARCH($O$14,F18)))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59" operator="containsText" id="{C8A04E53-1EA7-49F7-A776-C987D2E26BA3}">
            <xm:f>NOT(ISERROR(SEARCH($O$15,F18)))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215" operator="containsText" id="{00705852-F409-4C57-99C7-53EF9C57FB7F}">
            <xm:f>NOT(ISERROR(SEARCH($O$5,H18)))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16" operator="containsText" id="{423389A9-684E-4E44-8FD7-36B5A5F777A0}">
            <xm:f>NOT(ISERROR(SEARCH($O$6,H18)))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17" operator="containsText" id="{4D895E78-9CB7-489D-971B-2A710512664F}">
            <xm:f>NOT(ISERROR(SEARCH($O$7,H18)))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18" operator="containsText" id="{B41DBAC3-2B2B-439F-973C-9CAFA2BE5B2F}">
            <xm:f>NOT(ISERROR(SEARCH($O$8,H18)))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19" operator="containsText" id="{05B7CBB2-6077-430E-9A7B-668FCDFDFE2A}">
            <xm:f>NOT(ISERROR(SEARCH($O$9,H18)))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20" operator="containsText" id="{4F4958E0-B46C-4A12-A2D9-0B7BA9D19CAD}">
            <xm:f>NOT(ISERROR(SEARCH($O$11,H18)))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21" operator="containsText" id="{56B30D79-374A-4543-B637-5B5A2A0839DB}">
            <xm:f>NOT(ISERROR(SEARCH($O$12,H18)))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22" operator="containsText" id="{6586AC27-53C9-4632-B001-5B22F70EB8AC}">
            <xm:f>NOT(ISERROR(SEARCH($O$13,H18)))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23" operator="containsText" id="{5A58A61E-AE55-40A4-B7AB-171C9E0D15B4}">
            <xm:f>NOT(ISERROR(SEARCH($O$14,H18)))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224" operator="containsText" id="{44F61E8B-3EDC-48E4-BEC1-47F9649FBB67}">
            <xm:f>NOT(ISERROR(SEARCH($O$15,H18)))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80" operator="containsText" id="{F363B2A5-991D-4EAE-BBC5-009B9CC28461}">
            <xm:f>NOT(ISERROR(SEARCH($O$5,L18)))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1" operator="containsText" id="{C0B18827-7A59-43ED-968F-D02197F5AFEE}">
            <xm:f>NOT(ISERROR(SEARCH($O$6,L18)))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2" operator="containsText" id="{07E5274D-7E4E-4815-AAA6-088B6FB62FAD}">
            <xm:f>NOT(ISERROR(SEARCH($O$7,L18)))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3" operator="containsText" id="{7384FB71-266B-4B5F-B8C1-6F44DFA735F5}">
            <xm:f>NOT(ISERROR(SEARCH($O$8,L18)))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4" operator="containsText" id="{87951BC7-F4E8-4A4E-956E-A04374F76BCD}">
            <xm:f>NOT(ISERROR(SEARCH($O$9,L18)))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5" operator="containsText" id="{FC1144C8-0E24-4455-AC80-A48313C0F996}">
            <xm:f>NOT(ISERROR(SEARCH($O$11,L18)))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6" operator="containsText" id="{3FC514F5-A035-483D-9916-40109B98FECB}">
            <xm:f>NOT(ISERROR(SEARCH($O$12,L18)))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7" operator="containsText" id="{966A73FC-2865-4416-BEFC-B26622DB865C}">
            <xm:f>NOT(ISERROR(SEARCH($O$13,L18)))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8" operator="containsText" id="{14A96581-DB89-454C-9EED-B8D9E05FF0CD}">
            <xm:f>NOT(ISERROR(SEARCH($O$14,L18)))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89" operator="containsText" id="{BAD46024-768D-424B-B5F6-CD9E5A6EDA29}">
            <xm:f>NOT(ISERROR(SEARCH($O$15,L18)))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45" operator="containsText" id="{0788DF05-24E2-4AB9-9E70-523F2831B0CF}">
            <xm:f>NOT(ISERROR(SEARCH($O$5,N18)))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46" operator="containsText" id="{54710C4C-4382-4DFA-A1C6-63C2F486D3C2}">
            <xm:f>NOT(ISERROR(SEARCH($O$6,N18)))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47" operator="containsText" id="{3C4DB352-F9E2-4AAA-8897-A92F6643A6B4}">
            <xm:f>NOT(ISERROR(SEARCH($O$7,N18)))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48" operator="containsText" id="{08AAA307-5046-4C82-99F5-E51871132A40}">
            <xm:f>NOT(ISERROR(SEARCH($O$8,N18)))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49" operator="containsText" id="{7E01EB46-987C-45A0-8A36-8D8DBEFD0478}">
            <xm:f>NOT(ISERROR(SEARCH($O$9,N18)))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50" operator="containsText" id="{DB0C5085-4C61-41A0-9083-711F589B8864}">
            <xm:f>NOT(ISERROR(SEARCH($O$11,N18)))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51" operator="containsText" id="{FD5E34A2-88DE-4989-B155-2F162240EC07}">
            <xm:f>NOT(ISERROR(SEARCH($O$12,N18)))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52" operator="containsText" id="{7DE63F01-BC8A-43A1-812B-73136AB77047}">
            <xm:f>NOT(ISERROR(SEARCH($O$13,N18)))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53" operator="containsText" id="{C44185AE-2C5C-4B50-9280-BC1BBB294729}">
            <xm:f>NOT(ISERROR(SEARCH($O$14,N18)))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  <x14:conditionalFormatting xmlns:xm="http://schemas.microsoft.com/office/excel/2006/main">
          <x14:cfRule type="containsText" priority="154" operator="containsText" id="{BDEB2116-1D9D-4FAA-8A3B-70652453E732}">
            <xm:f>NOT(ISERROR(SEARCH($O$15,N18)))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N18:N19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130"/>
  <sheetViews>
    <sheetView showGridLines="0" topLeftCell="A40" zoomScale="109" zoomScaleNormal="141" workbookViewId="0">
      <selection activeCell="I38" sqref="I38:I51"/>
    </sheetView>
  </sheetViews>
  <sheetFormatPr defaultColWidth="8.81640625" defaultRowHeight="14.5" x14ac:dyDescent="0.35"/>
  <cols>
    <col min="1" max="1" width="9.453125" bestFit="1" customWidth="1"/>
    <col min="2" max="2" width="19.453125" bestFit="1" customWidth="1"/>
    <col min="3" max="3" width="9.26953125" customWidth="1"/>
    <col min="4" max="4" width="4.81640625" customWidth="1"/>
    <col min="7" max="7" width="10.7265625" customWidth="1"/>
    <col min="13" max="13" width="3.453125" customWidth="1"/>
    <col min="14" max="14" width="5" customWidth="1"/>
    <col min="15" max="15" width="3.7265625" customWidth="1"/>
    <col min="16" max="16" width="11.81640625" customWidth="1"/>
    <col min="17" max="20" width="5.81640625" customWidth="1"/>
    <col min="21" max="37" width="9.453125" customWidth="1"/>
  </cols>
  <sheetData>
    <row r="1" spans="1:79" ht="19" thickBot="1" x14ac:dyDescent="0.4">
      <c r="A1" s="1"/>
      <c r="B1" s="1"/>
      <c r="C1" s="1"/>
      <c r="D1" s="1"/>
      <c r="E1" s="1"/>
      <c r="F1" s="1"/>
      <c r="G1" s="1"/>
      <c r="H1" s="2"/>
      <c r="I1" s="1"/>
      <c r="J1" s="1"/>
      <c r="AC1" s="379" t="s">
        <v>237</v>
      </c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1"/>
    </row>
    <row r="2" spans="1:79" ht="15" thickBot="1" x14ac:dyDescent="0.4">
      <c r="Y2" s="382" t="s">
        <v>1</v>
      </c>
      <c r="Z2" s="383"/>
      <c r="AA2" s="383"/>
      <c r="AB2" s="384"/>
      <c r="AC2" s="385" t="s">
        <v>2</v>
      </c>
      <c r="AD2" s="386"/>
      <c r="AE2" s="386"/>
      <c r="AF2" s="387"/>
      <c r="AG2" s="385" t="s">
        <v>3</v>
      </c>
      <c r="AH2" s="386"/>
      <c r="AI2" s="386"/>
      <c r="AJ2" s="387"/>
      <c r="AK2" s="112" t="s">
        <v>4</v>
      </c>
      <c r="AL2" s="113"/>
      <c r="AM2" s="113"/>
      <c r="AN2" s="114"/>
    </row>
    <row r="3" spans="1:79" ht="30" customHeight="1" thickBot="1" x14ac:dyDescent="0.4">
      <c r="A3" s="369" t="s">
        <v>5</v>
      </c>
      <c r="B3" s="370"/>
      <c r="C3" s="370"/>
      <c r="D3" s="370"/>
      <c r="E3" s="370"/>
      <c r="F3" s="370"/>
      <c r="G3" s="370"/>
      <c r="H3" s="370"/>
      <c r="I3" s="371">
        <f>Mon!I3+5</f>
        <v>44002</v>
      </c>
      <c r="J3" s="371"/>
      <c r="K3" s="371"/>
      <c r="L3" s="371"/>
      <c r="M3" s="371"/>
      <c r="N3" s="372"/>
      <c r="O3" s="120"/>
      <c r="P3" s="150" t="s">
        <v>6</v>
      </c>
      <c r="Q3" s="28"/>
      <c r="R3" s="28"/>
      <c r="S3" s="28"/>
      <c r="U3" s="168" t="s">
        <v>7</v>
      </c>
      <c r="V3" s="10" t="s">
        <v>8</v>
      </c>
      <c r="W3" s="168" t="s">
        <v>218</v>
      </c>
      <c r="X3" s="168" t="s">
        <v>7</v>
      </c>
      <c r="Y3" s="10" t="s">
        <v>9</v>
      </c>
      <c r="Z3" s="10" t="s">
        <v>10</v>
      </c>
      <c r="AA3" s="10" t="s">
        <v>11</v>
      </c>
      <c r="AB3" s="10" t="s">
        <v>12</v>
      </c>
      <c r="AC3" s="10" t="s">
        <v>13</v>
      </c>
      <c r="AD3" s="10" t="s">
        <v>14</v>
      </c>
      <c r="AE3" s="10" t="s">
        <v>15</v>
      </c>
      <c r="AF3" s="10" t="s">
        <v>16</v>
      </c>
      <c r="AG3" s="10" t="s">
        <v>17</v>
      </c>
      <c r="AH3" s="10" t="s">
        <v>18</v>
      </c>
      <c r="AI3" s="10" t="s">
        <v>19</v>
      </c>
      <c r="AJ3" s="10" t="s">
        <v>20</v>
      </c>
      <c r="AK3" s="115" t="s">
        <v>21</v>
      </c>
      <c r="AL3" s="10" t="s">
        <v>22</v>
      </c>
      <c r="AM3" s="10" t="s">
        <v>23</v>
      </c>
      <c r="AN3" t="s">
        <v>238</v>
      </c>
      <c r="BX3" s="364" t="s">
        <v>25</v>
      </c>
      <c r="BY3" s="365"/>
      <c r="BZ3" s="365"/>
      <c r="CA3" s="366"/>
    </row>
    <row r="4" spans="1:79" ht="18.75" customHeight="1" thickBot="1" x14ac:dyDescent="0.4">
      <c r="A4" s="101" t="s">
        <v>26</v>
      </c>
      <c r="B4" s="299"/>
      <c r="C4" s="94" t="s">
        <v>27</v>
      </c>
      <c r="D4" s="95"/>
      <c r="E4" s="352" t="s">
        <v>28</v>
      </c>
      <c r="F4" s="353"/>
      <c r="G4" s="354" t="s">
        <v>29</v>
      </c>
      <c r="H4" s="353"/>
      <c r="I4" s="354" t="s">
        <v>30</v>
      </c>
      <c r="J4" s="353"/>
      <c r="K4" s="354" t="s">
        <v>31</v>
      </c>
      <c r="L4" s="353"/>
      <c r="O4" s="121" t="s">
        <v>33</v>
      </c>
      <c r="P4" s="38" t="s">
        <v>33</v>
      </c>
      <c r="Q4" s="331"/>
      <c r="R4" s="75"/>
      <c r="S4" s="75"/>
      <c r="U4" s="165" t="str">
        <f>Mon!U4</f>
        <v>(AB)</v>
      </c>
      <c r="V4" s="9">
        <f t="shared" ref="V4:V52" si="0">SUM(COUNTIF($E$5:$N$55,U4),IF(T4&lt;&gt;0,COUNTIF($E$5:$N$55,T4),0),IF(S4&lt;&gt;0,COUNTIF($E$5:$N$55,S4),0))</f>
        <v>0</v>
      </c>
      <c r="W4" s="36">
        <f>SUM(Mon!V4,Tue!V4,Wed!V4,Thur!V4,Fri!V4,Sat!V4)</f>
        <v>6</v>
      </c>
      <c r="X4" s="165" t="str">
        <f>Mon!U4</f>
        <v>(AB)</v>
      </c>
      <c r="Y4" s="20">
        <f t="shared" ref="Y4:Y59" si="1">SUM((COUNTIF($E$5:$F$55,$U4)),IF($T4&lt;&gt;0,(COUNTIF($E$5:$F$55,$T4))),IF($S4&lt;&gt;0,(COUNTIF($E$5:$F$55,$S4))))</f>
        <v>0</v>
      </c>
      <c r="Z4" s="21">
        <f t="shared" ref="Z4:Z59" si="2">SUM(COUNTIF($G$5:$J$55,$U4),IF($T4&lt;&gt;0,(COUNTIF($G$5:$J$55,$T4))),IF($S4&lt;&gt;0,(COUNTIF($G$5:$J$55,$S4))))</f>
        <v>0</v>
      </c>
      <c r="AA4" s="21">
        <f t="shared" ref="AA4:AA35" si="3">SUM(COUNTIF($K$20:$L$55,$U4),IF($T4&lt;&gt;0,(COUNTIF($K$20:$L$55,$T4))),IF($S4&lt;&gt;0,(COUNTIF($K$20:$L$55,$S4))))</f>
        <v>0</v>
      </c>
      <c r="AB4" s="22">
        <f t="shared" ref="AB4:AB59" si="4">SUM(COUNTIF($M$5:$N$55,$U4),IF($T4&lt;&gt;0,(COUNTIF($M$5:$N$55,$T4))),IF($S4&lt;&gt;0,(COUNTIF($M$5:$N$55,$S4))))</f>
        <v>0</v>
      </c>
      <c r="AC4" s="25" t="str">
        <f>CONCATENATE(IF($U4=$F$5,$E$5,IF($U4=$F$6,$E$6,IF($U4=$F$7,$E$7,IF($U4=$F$8,$E$8,IF($U4=$F$9,$E$9,IF($U4=$F$10,$E$10,IF($U4=$F$11,$E$11,IF($U4=$F$12,$E$12,IF($U4=$F$13,$E$13,IF($U4=$F$14,$E$14,IF($U4=$F$15,$E$15,IF($U4=$F$16,$E$16,IF($U4=$F$17,$E$17,"")))))))))))))&amp;" "&amp;IF($U4=$F$5,"(A)",IF($U4=$F$6,"(B)",IF($U4=$F$7,"(C)",IF($U4=$F$8,"(D)",IF($U4=$F$9,"(E)",IF($U4=$F$10,"(F)",IF($U4=$F$11,"(G)",IF($U4=$F$12,"(H)",IF($U4=$F$13,"(I)",IF($U4=$F$14,"(J)",IF($U4=$F$15,"(K)",IF($U4=$F$16,"(L)",IF($U4=$F$17,"(L)",""))))))))))))))</f>
        <v xml:space="preserve"> </v>
      </c>
      <c r="AD4" s="26" t="str">
        <f>CONCATENATE(IF($U4=$H$5,$G$5,IF($U4=$H$6,$G$6,IF($U4=$H$7,$G$7,IF($U4=$H$8,$G$8,IF($U4=$H$9,$G$9,IF($U4=$H$10,$G$10,IF($U4=$H$11,$G$11,IF($U4=$H$12,$G$12,IF($U4=$H$13,$G$13,IF($U4=$H$14,$G$14,IF($U4=$H$15,$G$15,IF($U4=$H$16,$G$16,IF($U4=$H$17,$G$17,"")))))))))))))&amp;" "&amp;IF($U4=$H$5,"(A)",IF($U4=$H$6,"(B)",IF($U4=$H$7,"(C)",IF($U4=$H$8,"(D)",IF($U4=$H$9,"(E)",IF($U4=$H$10,"(F)",IF($U4=$H$11,"(G)",IF($U4=$H$12,"(H)",IF($U4=$H$13,"(I)",IF($U4=$H$14,"(J)",IF($U4=$H$15,"(K)",IF($U4=$H$16,"(L)",IF($U4=$H$17,"(L)",""))))))))))))))</f>
        <v xml:space="preserve"> </v>
      </c>
      <c r="AE4" s="26" t="str">
        <f>CONCATENATE(IF($U4=$L$5,$K$5,IF($U4=$L$6,$K$6,IF($U4=$L$7,$K$7,IF($U4=$L$8,$K$8,IF($U4=$L$9,$K$9,IF($U4=$L$10,$K$10,IF($U4=$L$11,$K$11,IF($U4=$L$12,$K$12,IF($U4=$L$13,$K$13,IF($U4=$L$14,$K$14,IF($U4=$L$15,$K$15,IF($U4=$L$16,$K$16,IF($U4=$L$17,$K$17,"")))))))))))))&amp;" "&amp;IF($U4=$L$5,"(A)",IF($U4=$L$6,"(B)",IF($U4=$L$7,"(C)",IF($U4=$L$8,"(D)",IF($U4=$L$9,"(E)",IF($U4=$L$10,"(F)",IF($U4=$L$11,"(G)",IF($U4=$L$12,"(H)",IF($U4=$L$13,"(I)",IF($U4=$L$14,"(J)",IF($U4=$L$15,"(K)",IF($U4=$L$16,"(L)",IF($U4=$L$17,"(L)",""))))))))))))))</f>
        <v xml:space="preserve"> </v>
      </c>
      <c r="AF4" s="27" t="str">
        <f>CONCATENATE(IF($U4=$N$5,$M$5,IF($U4=$N$6,$M$6,IF($U4=$N$7,$M$7,IF($U4=$N$8,$M$8,IF($U4=$N$9,$M$9,IF($U4=$N$10,$M$10,IF($U4=$N$11,$M$11,IF($U4=$N$12,$M$12,IF($U4=$N$13,$M$13,IF($U4=$N$14,$M$14,IF($U4=$N$15,$M$15,IF($U4=$N$16,$M$16,IF($U4=$N$17,$M$17,"")))))))))))))&amp;" "&amp;(IF($U4=$N$5,"(A)",IF($U4=$N$6,"(B)",IF($U4=$N$7,"(C)",IF($U4=$N$8,"(D)",IF($U4=$N$9,"(E)",IF($U4=$N$10,"(F)",IF($U4=$N$11,"(G)",IF($U4=$N$12,"(H)",IF($U4=$N$13,"(I)",IF($U4=$N$14,"(J)",IF($U4=$N$15,"(K)",IF($U4=$N$16,"(L)",IF($U4=$N$17,"(L)","")))))))))))))))</f>
        <v xml:space="preserve"> </v>
      </c>
      <c r="AG4" s="178" t="str">
        <f>CONCATENATE(IF($U4=$F$21,$E$21,IF($U4=$F$22,$E$22,IF($U4=$F$23,$E$23,IF($U4=$F$24,$E$24,IF($U4=$F$25,$E$25,IF($U4=$F$26,$E$26,IF($U4=$F$27,$E$27,IF($U4=$F$28,$E$28,IF($U4=$F$29,$E$29,IF($U4=$F$30,$E$30,IF($U4=$F$31,$E$31,IF($U4=$F$32,$E$32,IF($U4=$F$33,$E$33,IF($U4=$F$34,$E$34,"")))))))))))))&amp;" "&amp;(IF($U4=$F$21,"(A)",IF($U4=$F$22,"(B)",IF($U4=$F$23,"(C)",IF($U4=$F$24,"(D)",IF($U4=$F$25,"(E)",IF($U4=$F$26,"(F)",IF($U4=$F$27,"(G)",IF($U4=$F$28,"(H)",IF($U4=$F$29,"(I)",IF($U4=$F$30,"(J)",IF($U4=$D$63,"(K)",IF($U4=$F$32,"(L)",IF($U4=$F$33,"(M)",IF($U4=$F$34,"(N)","")))))))))))))))))</f>
        <v xml:space="preserve"> </v>
      </c>
      <c r="AH4" s="177" t="str">
        <f>CONCATENATE(IF($U4=$H$21,$G$21,IF($U4=$H$22,$G$22,IF($U4=$H$23,$G$23,IF($U4=$H$24,$G$24,IF($U4=$H$25,$G$25,IF($U4=$H$26,$G$26,IF($U4=$H$27,$G$27,IF($U4=$H$28,$G$28,IF($U4=$H$29,$G$29,IF($U4=$H$30,$G$30,IF($U4=$H$31,$G$31,IF($U4=$H$32,$G$32,IF($U4=$H$33,$G$33,IF($U4=$H$34,$G$34,""))))))))))))))&amp;" "&amp;(IF($U4=$H$21,"(A)",IF($U4=$H$22,"(B)",IF($U4=$H$23,"(C)",IF($U4=$H$24,"(D)",IF($U4=$H$25,"(E)",IF($U4=$H$26,"(F)",IF($U4=$H$27,"(G)",IF($U4=$H$28,"(H)",IF($U4=$H$29,"(I)",IF($U4=$H$30,"(J)",IF($U4=$H$31,"(K)",IF($U4=$H$32,"(L)",IF($U4=$H$33,"(M)",IF($U4=$H$34,"(N)",""))))))))))))))))</f>
        <v xml:space="preserve"> </v>
      </c>
      <c r="AI4" s="177" t="str">
        <f>CONCATENATE(IF($U4=$L$21,$K$21,IF($U4=$L$22,$K$22,IF($U4=$L$23,$K$23,IF($U4=$L$24,$K$24,IF($U4=$L$25,$K$25,IF($U4=$L$26,$K$26,IF($U4=$L$27,$K$27,IF($U4=$L$28,$K$28,IF($U4=$L$29,$K$29,IF($U4=$L$30,$K$30,IF($U4=$L$31,$K$31,IF($U4=$L$32,$K$32,IF($U4=$L$33,$K$33,IF($U4=$L$34,$K$34,""))))))))))))))&amp;" "&amp;IF($U4=$L$21,"(A)",IF($U4=$L$22,"(B)",IF($U4=$L$23,"(C)",IF($U4=$L$24,"(D)",IF($U4=$L$25,"(E)",IF($U4=$L$26,"(F)",IF($U4=$L$27,"(G)",IF($U4=$L$28,"(H)",IF($U4=$L$29,"(I)",IF($U4=$L$30,"(J)",IF($U4=$L$31,"(K)",IF($U4=$L$32,"(L)",IF($U4=$L$33,"(M)",IF($U4=$L$34,"(N)","")))))))))))))))</f>
        <v xml:space="preserve"> </v>
      </c>
      <c r="AJ4" s="180" t="str">
        <f>CONCATENATE(IF($U4=$N$21,$M$21,IF($U4=$N$22,$M$22,IF($U4=$N$23,$M$23,IF($U4=$N$24,$M$24,IF($U4=$N$25,$M$25,IF($U4=$N$26,$M$26,IF($U4=$N$27,$M$27,IF($U4=$N$28,$M$28,IF($U4=$N$29,$M$29,IF($U4=$N$30,$M$30,IF($U4=$N$31,$M$31,IF($U4=$N$32,$M$32,IF($U4=$N$33,$M$33,IF($U4=$N$34,$M$34,""))))))))))))))&amp;" "&amp;(IF($U4=$N$21,"(A)",IF($U4=$N$22,"(B)",IF($U4=$N$23,"(C)",IF($U4=$N$24,"(D)",IF($U4=$N$25,"(E)",IF($U4=$N$26,"(F)",IF($U4=$N$27,"(G)",IF($U4=$N$28,"(H)",IF($U4=$N$29,"(I)",IF($U4=$N$30,"(J)",IF($U4=$N$31,"(K)",IF($U4=$N$32,"(L)",IF($U4=$N$33,"(M)",IF($U4=$N$34,"(N)",""))))))))))))))))</f>
        <v xml:space="preserve"> </v>
      </c>
      <c r="AK4" s="178" t="str">
        <f>CONCATENATE(IF($U4=$F$37,$E$37,IF($U4=$F$38,$E$38,IF($U4=$F$39,$E$39,IF($U4=$F$40,$E$40,IF($U4=$F$41,$E$41,IF($U4=$F$42,$E$42,IF($U4=$F$43,$E$43,IF($U4=$F$44,$E$44,IF($U4=$F$45,$E$45,IF($U4=$F$46,$E$46,IF($U4=$F$47,$E$47,IF($U4=$F$48,$E$48,IF($U4=$F$49,$E$49,IF($U4=$F$50,$E$50,IF($U4=$F$51,$E$51,""))))))))))))))&amp;" "&amp;IF($U4=$F$38,"(A)",IF($U4=$F$39,"(B)",IF($U4=$F$40,"(C)",IF($U4=$F$41,"(D)",IF($U4=$F$42,"(E)",IF($U4=$F$43,"(F)",IF($U4=$F$44,"(G)",IF($U4=$F$45,"(H)",IF($U4=$F$46,"(I)",IF($U4=$F$47,"(J)",IF($U4=$F$48,"(K)",IF($U4=$F$49,"(L)",IF($U4=$F$50,"(M)",IF($U4=$F$51,"(N)",""))))))))))))))))</f>
        <v xml:space="preserve"> </v>
      </c>
      <c r="AL4" s="177" t="str">
        <f>CONCATENATE(IF($U4=$H$37,$G$37,IF($U4=$H$38,$G$38,IF($U4=$H$39,$G$39,IF($U4=$H$40,$G$40,IF($U4=$H$41,$G$41,IF($U4=$H$42,$G$42,IF($U4=$H$43,$G$43,IF($U4=$H$44,$G$44,IF($U4=$H$45,$G$45,IF($U4=$H$46,$G$46,IF($U4=$H$47,$G$47,IF($U4=$H$48,$G$48,IF($U4=$H$49,$G$49,IF($U4=$H$50,$G$50,IF($U4=$H$51,$G$51,"")))))))))))))))&amp;" "&amp;IF($U4=$H$38,"(A)",IF($U4=$H$39,"(B)",IF($U4=$H$40,"(C)",IF($U4=$H$41,"(D)",IF($U4=$H$42,"(E)",IF($U4=$H$43,"(F)",IF($U4=$H$44,"(G)",IF($U4=$H$45,"(H)",IF($U4=$H$46,"(I)",IF($U4=$H$47,"(J)",IF($U4=$H$48,"(K)",IF($U4=$H$49,"(L)",IF($U4=$H$50,"(M)",IF($U4=$H$51,"(N)","")))))))))))))))</f>
        <v xml:space="preserve"> </v>
      </c>
      <c r="AM4" s="177" t="str">
        <f>CONCATENATE(IF($U4=$L$37,$K$37,IF($U4=$L$38,$K$38,IF($U4=$L$39,$K$39,IF($U4=$L$40,$K$40,IF($U4=$L$41,$K$41,IF($U4=$L$42,$K$42,IF($U4=$L$43,$K$43,IF($U4=$L$44,$K$44,IF($U4=$L$45,$K$45,IF($U4=$L$46,$K$46,IF($U4=$L$47,$K$47,IF($U4=$L$48,$K$48,IF($U4=$L$49,$K$49,IF($U4=$L$50,$K$50,IF($U4=$L$51,$K$51,"")))))))))))))))&amp;" "&amp;IF($U4=$L$38,"(A)",IF($U4=$L$39,"(B)",IF($U4=$L$40,"(C)",IF($U4=$L$41,"(D)",IF($U4=$L$42,"(E)",IF($U4=$L$43,"(F)",IF($U4=$L$44,"(G)",IF($U4=$L$45,"(H)",IF($U4=$L$46,"(I)",IF($U4=$L$47,"(J)",IF($U4=$L$48,"(K)",IF($U4=$L$49,"(L)",IF($U4=$L$50,"(M)",IF($U4=$L$51,"(N)","")))))))))))))))</f>
        <v xml:space="preserve"> </v>
      </c>
      <c r="AN4" s="179" t="str">
        <f>CONCATENATE(IF($U4=$N$37,$M$37,IF($U4=$N$38,$M$38,IF($U4=$N$39,$M$39,IF($U4=$N$40,$M$40,IF($U4=$N$41,$M$41,IF($U4=$N$42,$M$42,IF($U4=$N$43,$M$43,IF($U4=$N$44,$M$44,IF($U4=$N$45,$M$45,IF($U4=$N$46,$M$46,IF($U4=$N$47,$M$47,IF($U4=$N$48,$M$48,IF($U4=$N$49,$M$49,IF($U4=$N$50,$M$50,IF($U4=$N$51,$M$51,"")))))))))))))))&amp;" "&amp;IF($U4=$N$38,"(A)",IF($U4=$N$39,"(B)",IF($U4=$N$40,"(C)",IF($U4=$N$41,"(D)",IF($U4=$N$42,"(E)",IF($U4=$N$43,"(F)",IF($U4=$N$44,"(G)",IF($U4=$N$45,"(H)",IF($U4=$N$46,"(I)",IF($U4=$N$47,"(J)",IF($U4=$N$48,"(K)",IF($U4=$N$49,"(L)",IF($U4=$N$50,"(M)",IF($U4=$N$51,"(N)","")))))))))))))))</f>
        <v xml:space="preserve"> </v>
      </c>
      <c r="BV4" t="s">
        <v>35</v>
      </c>
      <c r="BX4" s="4" t="s">
        <v>36</v>
      </c>
      <c r="BY4" s="4" t="s">
        <v>37</v>
      </c>
      <c r="BZ4" s="4" t="s">
        <v>38</v>
      </c>
      <c r="CA4" s="4" t="s">
        <v>39</v>
      </c>
    </row>
    <row r="5" spans="1:79" ht="18.75" customHeight="1" thickBot="1" x14ac:dyDescent="0.4">
      <c r="A5" s="373">
        <v>5</v>
      </c>
      <c r="B5" s="19" t="str">
        <f>Mon!B5</f>
        <v>F+ECOM</v>
      </c>
      <c r="C5" s="90" t="s">
        <v>41</v>
      </c>
      <c r="D5" s="91"/>
      <c r="E5" s="33" t="str">
        <f>IF(F5=$A$100,$B$100,IF(F5=$A$101,$B$101,IF(F5=$A$102,$B$102,IF(F5=$A$103,$B$103,IF(F5=$A$104,$B$104,IF(F5=$A$105,$B$105,IF(F5=$A$106,$B$106,IF(F5=$A$107,$B$107,"Training"))))))))</f>
        <v>IT</v>
      </c>
      <c r="F5" s="92" t="s">
        <v>50</v>
      </c>
      <c r="G5" s="33" t="str">
        <f>IF(H5=$A$100,$B$100,IF(H5=$A$101,$B$101,IF(H5=$A$102,$B$102,IF(H5=$A$103,$B$103,IF(H5=$A$104,$B$104,IF(H5=$A$105,$B$105,IF(H5=$A$106,$B$106,IF(H5=$A$107,$B$107,"Training"))))))))</f>
        <v>MA</v>
      </c>
      <c r="H5" s="92" t="s">
        <v>42</v>
      </c>
      <c r="I5" s="375" t="s">
        <v>143</v>
      </c>
      <c r="J5" s="375"/>
      <c r="K5" s="33" t="str">
        <f>IF(L5=$A$100,$B$100,IF(L5=$A$101,$B$101,IF(L5=$A$102,$B$102,IF(L5=$A$103,$B$103,IF(L5=$A$104,$B$104,IF(L5=$A$105,$B$105,IF(L5=$A$106,$B$106,IF(L5=$A$107,$B$107,"Training"))))))))</f>
        <v>IF</v>
      </c>
      <c r="L5" s="93" t="s">
        <v>58</v>
      </c>
      <c r="M5" s="83"/>
      <c r="N5" s="84"/>
      <c r="O5" s="300" t="str">
        <f>IF(P5="",".",P5)</f>
        <v>.</v>
      </c>
      <c r="P5" s="12"/>
      <c r="Q5" s="331"/>
      <c r="R5" s="331"/>
      <c r="S5" s="331"/>
      <c r="U5" s="165" t="str">
        <f>Mon!U5</f>
        <v>(AD)</v>
      </c>
      <c r="V5" s="9">
        <f t="shared" si="0"/>
        <v>3</v>
      </c>
      <c r="W5" s="36">
        <f>SUM(Mon!V5,Tue!V5,Wed!V5,Thur!V5,Fri!V5,Sat!V5)</f>
        <v>18</v>
      </c>
      <c r="X5" s="165" t="str">
        <f>Mon!U5</f>
        <v>(AD)</v>
      </c>
      <c r="Y5" s="20">
        <f t="shared" si="1"/>
        <v>1</v>
      </c>
      <c r="Z5" s="21">
        <f t="shared" si="2"/>
        <v>1</v>
      </c>
      <c r="AA5" s="21">
        <f t="shared" si="3"/>
        <v>0</v>
      </c>
      <c r="AB5" s="22">
        <f t="shared" si="4"/>
        <v>0</v>
      </c>
      <c r="AC5" s="25" t="str">
        <f t="shared" ref="AC5:AC8" si="5">CONCATENATE(IF($U5=$F$5,$E$5,IF($U5=$F$6,$E$6,IF($U5=$F$7,$E$7,IF($U5=$F$8,$E$8,IF($U5=$F$9,$E$9,IF($U5=$F$10,$E$10,IF($U5=$F$11,$E$11,IF($U5=$F$12,$E$12,IF($U5=$F$13,$E$13,IF($U5=$F$14,$E$14,IF($U5=$F$15,$E$15,IF($U5=$F$16,$E$16,IF($U5=$F$17,$E$17,"")))))))))))))&amp;" "&amp;IF($U5=$F$5,"(A)",IF($U5=$F$6,"(B)",IF($U5=$F$7,"(C)",IF($U5=$F$8,"(D)",IF($U5=$F$9,"(E)",IF($U5=$F$10,"(F)",IF($U5=$F$11,"(G)",IF($U5=$F$12,"(H)",IF($U5=$F$13,"(I)",IF($U5=$F$14,"(J)",IF($U5=$F$15,"(K)",IF($U5=$F$16,"(L)",IF($U5=$F$17,"(L)",""))))))))))))))</f>
        <v>IT (L)</v>
      </c>
      <c r="AD5" s="26" t="str">
        <f t="shared" ref="AD5:AD8" si="6">CONCATENATE(IF($U5=$H$5,$G$5,IF($U5=$H$6,$G$6,IF($U5=$H$7,$G$7,IF($U5=$H$8,$G$8,IF($U5=$H$9,$G$9,IF($U5=$H$10,$G$10,IF($U5=$H$11,$G$11,IF($U5=$H$12,$G$12,IF($U5=$H$13,$G$13,IF($U5=$H$14,$G$14,IF($U5=$H$15,$G$15,IF($U5=$H$16,$G$16,IF($U5=$H$17,$G$17,"")))))))))))))&amp;" "&amp;IF($U5=$H$5,"(A)",IF($U5=$H$6,"(B)",IF($U5=$H$7,"(C)",IF($U5=$H$8,"(D)",IF($U5=$H$9,"(E)",IF($U5=$H$10,"(F)",IF($U5=$H$11,"(G)",IF($U5=$H$12,"(H)",IF($U5=$H$13,"(I)",IF($U5=$H$14,"(J)",IF($U5=$H$15,"(K)",IF($U5=$H$16,"(L)",IF($U5=$H$17,"(L)",""))))))))))))))</f>
        <v>IT (E)</v>
      </c>
      <c r="AE5" s="26" t="str">
        <f t="shared" ref="AE5:AE8" si="7">CONCATENATE(IF($U5=$L$5,$K$5,IF($U5=$L$6,$K$6,IF($U5=$L$7,$K$7,IF($U5=$L$8,$K$8,IF($U5=$L$9,$K$9,IF($U5=$L$10,$K$10,IF($U5=$L$11,$K$11,IF($U5=$L$12,$K$12,IF($U5=$L$13,$K$13,IF($U5=$L$14,$K$14,IF($U5=$L$15,$K$15,IF($U5=$L$16,$K$16,IF($U5=$L$17,$K$17,"")))))))))))))&amp;" "&amp;IF($U5=$L$5,"(A)",IF($U5=$L$6,"(B)",IF($U5=$L$7,"(C)",IF($U5=$L$8,"(D)",IF($U5=$L$9,"(E)",IF($U5=$L$10,"(F)",IF($U5=$L$11,"(G)",IF($U5=$L$12,"(H)",IF($U5=$L$13,"(I)",IF($U5=$L$14,"(J)",IF($U5=$L$15,"(K)",IF($U5=$L$16,"(L)",IF($U5=$L$17,"(L)",""))))))))))))))</f>
        <v>IT (J)</v>
      </c>
      <c r="AF5" s="27" t="str">
        <f t="shared" ref="AF5:AF8" si="8">CONCATENATE(IF($U5=$N$5,$M$5,IF($U5=$N$6,$M$6,IF($U5=$N$7,$M$7,IF($U5=$N$8,$M$8,IF($U5=$N$9,$M$9,IF($U5=$N$10,$M$10,IF($U5=$N$11,$M$11,IF($U5=$N$12,$M$12,IF($U5=$N$13,$M$13,IF($U5=$N$14,$M$14,IF($U5=$N$15,$M$15,IF($U5=$N$16,$M$16,IF($U5=$N$17,$M$17,"")))))))))))))&amp;" "&amp;(IF($U5=$N$5,"(A)",IF($U5=$N$6,"(B)",IF($U5=$N$7,"(C)",IF($U5=$N$8,"(D)",IF($U5=$N$9,"(E)",IF($U5=$N$10,"(F)",IF($U5=$N$11,"(G)",IF($U5=$N$12,"(H)",IF($U5=$N$13,"(I)",IF($U5=$N$14,"(J)",IF($U5=$N$15,"(K)",IF($U5=$N$16,"(L)",IF($U5=$N$17,"(L)","")))))))))))))))</f>
        <v xml:space="preserve"> </v>
      </c>
      <c r="AG5" s="178" t="str">
        <f t="shared" ref="AG5:AG59" si="9">CONCATENATE(IF($U5=$F$21,$E$21,IF($U5=$F$22,$E$22,IF($U5=$F$23,$E$23,IF($U5=$F$24,$E$24,IF($U5=$F$25,$E$25,IF($U5=$F$26,$E$26,IF($U5=$F$27,$E$27,IF($U5=$F$28,$E$28,IF($U5=$F$29,$E$29,IF($U5=$F$30,$E$30,IF($U5=$F$31,$E$31,IF($U5=$F$32,$E$32,IF($U5=$F$33,$E$33,IF($U5=$F$34,$E$34,"")))))))))))))&amp;" "&amp;(IF($U5=$F$21,"(A)",IF($U5=$F$22,"(B)",IF($U5=$F$23,"(C)",IF($U5=$F$24,"(D)",IF($U5=$F$25,"(E)",IF($U5=$F$26,"(F)",IF($U5=$F$27,"(G)",IF($U5=$F$28,"(H)",IF($U5=$F$29,"(I)",IF($U5=$F$30,"(J)",IF($U5=$D$63,"(K)",IF($U5=$F$32,"(L)",IF($U5=$F$33,"(M)",IF($U5=$F$34,"(N)","")))))))))))))))))</f>
        <v xml:space="preserve"> </v>
      </c>
      <c r="AH5" s="177" t="str">
        <f t="shared" ref="AH5:AH59" si="10">CONCATENATE(IF($U5=$H$21,$G$21,IF($U5=$H$22,$G$22,IF($U5=$H$23,$G$23,IF($U5=$H$24,$G$24,IF($U5=$H$25,$G$25,IF($U5=$H$26,$G$26,IF($U5=$H$27,$G$27,IF($U5=$H$28,$G$28,IF($U5=$H$29,$G$29,IF($U5=$H$30,$G$30,IF($U5=$H$31,$G$31,IF($U5=$H$32,$G$32,IF($U5=$H$33,$G$33,IF($U5=$H$34,$G$34,""))))))))))))))&amp;" "&amp;(IF($U5=$H$21,"(A)",IF($U5=$H$22,"(B)",IF($U5=$H$23,"(C)",IF($U5=$H$24,"(D)",IF($U5=$H$25,"(E)",IF($U5=$H$26,"(F)",IF($U5=$H$27,"(G)",IF($U5=$H$28,"(H)",IF($U5=$H$29,"(I)",IF($U5=$H$30,"(J)",IF($U5=$H$31,"(K)",IF($U5=$H$32,"(L)",IF($U5=$H$33,"(M)",IF($U5=$H$34,"(N)",""))))))))))))))))</f>
        <v xml:space="preserve"> </v>
      </c>
      <c r="AI5" s="177" t="str">
        <f t="shared" ref="AI5:AI59" si="11">CONCATENATE(IF($U5=$L$21,$K$21,IF($U5=$L$22,$K$22,IF($U5=$L$23,$K$23,IF($U5=$L$24,$K$24,IF($U5=$L$25,$K$25,IF($U5=$L$26,$K$26,IF($U5=$L$27,$K$27,IF($U5=$L$28,$K$28,IF($U5=$L$29,$K$29,IF($U5=$L$30,$K$30,IF($U5=$L$31,$K$31,IF($U5=$L$32,$K$32,IF($U5=$L$33,$K$33,IF($U5=$L$34,$K$34,""))))))))))))))&amp;" "&amp;IF($U5=$L$21,"(A)",IF($U5=$L$22,"(B)",IF($U5=$L$23,"(C)",IF($U5=$L$24,"(D)",IF($U5=$L$25,"(E)",IF($U5=$L$26,"(F)",IF($U5=$L$27,"(G)",IF($U5=$L$28,"(H)",IF($U5=$L$29,"(I)",IF($U5=$L$30,"(J)",IF($U5=$L$31,"(K)",IF($U5=$L$32,"(L)",IF($U5=$L$33,"(M)",IF($U5=$L$34,"(N)","")))))))))))))))</f>
        <v xml:space="preserve"> </v>
      </c>
      <c r="AJ5" s="180" t="str">
        <f t="shared" ref="AJ5:AJ59" si="12">CONCATENATE(IF($U5=$N$21,$M$21,IF($U5=$N$22,$M$22,IF($U5=$N$23,$M$23,IF($U5=$N$24,$M$24,IF($U5=$N$25,$M$25,IF($U5=$N$26,$M$26,IF($U5=$N$27,$M$27,IF($U5=$N$28,$M$28,IF($U5=$N$29,$M$29,IF($U5=$N$30,$M$30,IF($U5=$N$31,$M$31,IF($U5=$N$32,$M$32,IF($U5=$N$33,$M$33,IF($U5=$N$34,$M$34,""))))))))))))))&amp;" "&amp;(IF($U5=$N$21,"(A)",IF($U5=$N$22,"(B)",IF($U5=$N$23,"(C)",IF($U5=$N$24,"(D)",IF($U5=$N$25,"(E)",IF($U5=$N$26,"(F)",IF($U5=$N$27,"(G)",IF($U5=$N$28,"(H)",IF($U5=$N$29,"(I)",IF($U5=$N$30,"(J)",IF($U5=$N$31,"(K)",IF($U5=$N$32,"(L)",IF($U5=$N$33,"(M)",IF($U5=$N$34,"(N)",""))))))))))))))))</f>
        <v xml:space="preserve"> </v>
      </c>
      <c r="AK5" s="178" t="str">
        <f t="shared" ref="AK5:AK59" si="13">CONCATENATE(IF($U5=$F$37,$E$37,IF($U5=$F$38,$E$38,IF($U5=$F$39,$E$39,IF($U5=$F$40,$E$40,IF($U5=$F$41,$E$41,IF($U5=$F$42,$E$42,IF($U5=$F$43,$E$43,IF($U5=$F$44,$E$44,IF($U5=$F$45,$E$45,IF($U5=$F$46,$E$46,IF($U5=$F$47,$E$47,IF($U5=$F$48,$E$48,IF($U5=$F$49,$E$49,IF($U5=$F$50,$E$50,IF($U5=$F$51,$E$51,""))))))))))))))&amp;" "&amp;IF($U5=$F$38,"(A)",IF($U5=$F$39,"(B)",IF($U5=$F$40,"(C)",IF($U5=$F$41,"(D)",IF($U5=$F$42,"(E)",IF($U5=$F$43,"(F)",IF($U5=$F$44,"(G)",IF($U5=$F$45,"(H)",IF($U5=$F$46,"(I)",IF($U5=$F$47,"(J)",IF($U5=$F$48,"(K)",IF($U5=$F$49,"(L)",IF($U5=$F$50,"(M)",IF($U5=$F$51,"(N)",""))))))))))))))))</f>
        <v xml:space="preserve"> </v>
      </c>
      <c r="AL5" s="177" t="str">
        <f t="shared" ref="AL5:AL59" si="14">CONCATENATE(IF($U5=$H$37,$G$37,IF($U5=$H$38,$G$38,IF($U5=$H$39,$G$39,IF($U5=$H$40,$G$40,IF($U5=$H$41,$G$41,IF($U5=$H$42,$G$42,IF($U5=$H$43,$G$43,IF($U5=$H$44,$G$44,IF($U5=$H$45,$G$45,IF($U5=$H$46,$G$46,IF($U5=$H$47,$G$47,IF($U5=$H$48,$G$48,IF($U5=$H$49,$G$49,IF($U5=$H$50,$G$50,IF($U5=$H$51,$G$51,"")))))))))))))))&amp;" "&amp;IF($U5=$H$38,"(A)",IF($U5=$H$39,"(B)",IF($U5=$H$40,"(C)",IF($U5=$H$41,"(D)",IF($U5=$H$42,"(E)",IF($U5=$H$43,"(F)",IF($U5=$H$44,"(G)",IF($U5=$H$45,"(H)",IF($U5=$H$46,"(I)",IF($U5=$H$47,"(J)",IF($U5=$H$48,"(K)",IF($U5=$H$49,"(L)",IF($U5=$H$50,"(M)",IF($U5=$H$51,"(N)","")))))))))))))))</f>
        <v xml:space="preserve"> </v>
      </c>
      <c r="AM5" s="177" t="str">
        <f t="shared" ref="AM5:AM59" si="15">CONCATENATE(IF($U5=$L$37,$K$37,IF($U5=$L$38,$K$38,IF($U5=$L$39,$K$39,IF($U5=$L$40,$K$40,IF($U5=$L$41,$K$41,IF($U5=$L$42,$K$42,IF($U5=$L$43,$K$43,IF($U5=$L$44,$K$44,IF($U5=$L$45,$K$45,IF($U5=$L$46,$K$46,IF($U5=$L$47,$K$47,IF($U5=$L$48,$K$48,IF($U5=$L$49,$K$49,IF($U5=$L$50,$K$50,IF($U5=$L$51,$K$51,"")))))))))))))))&amp;" "&amp;IF($U5=$L$38,"(A)",IF($U5=$L$39,"(B)",IF($U5=$L$40,"(C)",IF($U5=$L$41,"(D)",IF($U5=$L$42,"(E)",IF($U5=$L$43,"(F)",IF($U5=$L$44,"(G)",IF($U5=$L$45,"(H)",IF($U5=$L$46,"(I)",IF($U5=$L$47,"(J)",IF($U5=$L$48,"(K)",IF($U5=$L$49,"(L)",IF($U5=$L$50,"(M)",IF($U5=$L$51,"(N)","")))))))))))))))</f>
        <v xml:space="preserve"> </v>
      </c>
      <c r="AN5" s="179" t="str">
        <f t="shared" ref="AN5:AN59" si="16">CONCATENATE(IF($U5=$N$37,$M$37,IF($U5=$N$38,$M$38,IF($U5=$N$39,$M$39,IF($U5=$N$40,$M$40,IF($U5=$N$41,$M$41,IF($U5=$N$42,$M$42,IF($U5=$N$43,$M$43,IF($U5=$N$44,$M$44,IF($U5=$N$45,$M$45,IF($U5=$N$46,$M$46,IF($U5=$N$47,$M$47,IF($U5=$N$48,$M$48,IF($U5=$N$49,$M$49,IF($U5=$N$50,$M$50,IF($U5=$N$51,$M$51,"")))))))))))))))&amp;" "&amp;IF($U5=$N$38,"(A)",IF($U5=$N$39,"(B)",IF($U5=$N$40,"(C)",IF($U5=$N$41,"(D)",IF($U5=$N$42,"(E)",IF($U5=$N$43,"(F)",IF($U5=$N$44,"(G)",IF($U5=$N$45,"(H)",IF($U5=$N$46,"(I)",IF($U5=$N$47,"(J)",IF($U5=$N$48,"(K)",IF($U5=$N$49,"(L)",IF($U5=$N$50,"(M)",IF($U5=$N$51,"(N)","")))))))))))))))</f>
        <v xml:space="preserve"> </v>
      </c>
      <c r="BV5" t="s">
        <v>48</v>
      </c>
    </row>
    <row r="6" spans="1:79" ht="18.75" customHeight="1" thickBot="1" x14ac:dyDescent="0.4">
      <c r="A6" s="374"/>
      <c r="B6" s="19" t="str">
        <f>Mon!B6</f>
        <v>F+ECOM</v>
      </c>
      <c r="C6" s="3" t="s">
        <v>49</v>
      </c>
      <c r="D6" s="76"/>
      <c r="E6" s="6" t="str">
        <f>IF(F6=$C$100,$D$100,IF(F6=$C$101,$D$101,IF(F6=$C$102,$D$102,IF(F6=$C$103,$D$103,IF(F6=$C$104,$D$104,IF(F6=$C$105,$D$105,IF(F6=$C$106,$D$106,IF(F6=$C$107,$D$107,"Training"))))))))</f>
        <v>IT</v>
      </c>
      <c r="F6" s="7" t="s">
        <v>52</v>
      </c>
      <c r="G6" s="6" t="str">
        <f>IF(H6=$C$100,$D$100,IF(H6=$C$101,$D$101,IF(H6=$C$102,$D$102,IF(H6=$C$103,$D$103,IF(H6=$C$104,$D$104,IF(H6=$C$105,$D$105,IF(H6=$C$106,$D$106,IF(H6=$C$107,$D$107,"Training"))))))))</f>
        <v>IF</v>
      </c>
      <c r="H6" s="7" t="s">
        <v>50</v>
      </c>
      <c r="I6" s="375"/>
      <c r="J6" s="375"/>
      <c r="K6" s="6" t="str">
        <f>IF(L6=$C$100,$D$100,IF(L6=$C$101,$D$101,IF(L6=$C$102,$D$102,IF(L6=$C$103,$D$103,IF(L6=$C$104,$D$104,IF(L6=$C$105,$D$105,IF(L6=$C$106,$D$106,IF(L6=$C$107,$D$107,"Training"))))))))</f>
        <v>MA</v>
      </c>
      <c r="L6" s="11" t="s">
        <v>106</v>
      </c>
      <c r="M6" s="304"/>
      <c r="N6" s="305"/>
      <c r="O6" s="301" t="str">
        <f t="shared" ref="O6:O9" si="17">IF(P6="",".",P6)</f>
        <v>.</v>
      </c>
      <c r="P6" s="13"/>
      <c r="Q6" s="331"/>
      <c r="R6" s="331"/>
      <c r="S6" s="331"/>
      <c r="U6" s="165" t="str">
        <f>Mon!U6</f>
        <v>(AG)</v>
      </c>
      <c r="V6" s="9">
        <f t="shared" si="0"/>
        <v>2</v>
      </c>
      <c r="W6" s="36">
        <f>SUM(Mon!V6,Tue!V6,Wed!V6,Thur!V6,Fri!V6,Sat!V6)</f>
        <v>18</v>
      </c>
      <c r="X6" s="165" t="str">
        <f>Mon!U6</f>
        <v>(AG)</v>
      </c>
      <c r="Y6" s="20">
        <f t="shared" si="1"/>
        <v>1</v>
      </c>
      <c r="Z6" s="21">
        <f t="shared" si="2"/>
        <v>0</v>
      </c>
      <c r="AA6" s="21">
        <f t="shared" si="3"/>
        <v>1</v>
      </c>
      <c r="AB6" s="22">
        <f t="shared" si="4"/>
        <v>0</v>
      </c>
      <c r="AC6" s="25" t="str">
        <f t="shared" si="5"/>
        <v xml:space="preserve"> </v>
      </c>
      <c r="AD6" s="26" t="str">
        <f t="shared" si="6"/>
        <v xml:space="preserve"> </v>
      </c>
      <c r="AE6" s="26" t="str">
        <f t="shared" si="7"/>
        <v xml:space="preserve"> </v>
      </c>
      <c r="AF6" s="27" t="str">
        <f t="shared" si="8"/>
        <v xml:space="preserve"> </v>
      </c>
      <c r="AG6" s="178" t="str">
        <f t="shared" si="9"/>
        <v>EVS (M)</v>
      </c>
      <c r="AH6" s="177" t="str">
        <f t="shared" si="10"/>
        <v xml:space="preserve"> </v>
      </c>
      <c r="AI6" s="177" t="str">
        <f t="shared" si="11"/>
        <v>EVS (J)</v>
      </c>
      <c r="AJ6" s="180" t="str">
        <f t="shared" si="12"/>
        <v xml:space="preserve"> </v>
      </c>
      <c r="AK6" s="178" t="str">
        <f t="shared" si="13"/>
        <v xml:space="preserve"> </v>
      </c>
      <c r="AL6" s="177" t="str">
        <f t="shared" si="14"/>
        <v xml:space="preserve"> </v>
      </c>
      <c r="AM6" s="177" t="str">
        <f t="shared" si="15"/>
        <v xml:space="preserve"> </v>
      </c>
      <c r="AN6" s="179" t="str">
        <f t="shared" si="16"/>
        <v xml:space="preserve"> </v>
      </c>
    </row>
    <row r="7" spans="1:79" ht="18.75" customHeight="1" thickBot="1" x14ac:dyDescent="0.4">
      <c r="A7" s="374"/>
      <c r="B7" s="19" t="str">
        <f>Mon!B7</f>
        <v>F+ECOM</v>
      </c>
      <c r="C7" s="3" t="s">
        <v>55</v>
      </c>
      <c r="D7" s="76"/>
      <c r="E7" s="6" t="str">
        <f>IF(F7=$E$100,$F$100,IF(F7=$E$101,$F$101,IF(F7=$E$102,$F$102,IF(F7=$E$103,$F$103,IF(F7=$E$104,$F$104,IF(F7=$E$105,$F$105,IF(F7=$E$106,$F$106,IF(F7=$E$107,$F$107,"Training"))))))))</f>
        <v>MA</v>
      </c>
      <c r="F7" s="7" t="s">
        <v>57</v>
      </c>
      <c r="G7" s="6" t="str">
        <f>IF(H7=$E$100,$F$100,IF(H7=$E$101,$F$101,IF(H7=$E$102,$F$102,IF(H7=$E$103,$F$103,IF(H7=$E$104,$F$104,IF(H7=$E$105,$F$105,IF(H7=$E$106,$F$106,IF(H7=$E$107,$F$107,"Training"))))))))</f>
        <v>IB</v>
      </c>
      <c r="H7" s="7" t="s">
        <v>43</v>
      </c>
      <c r="I7" s="375"/>
      <c r="J7" s="375"/>
      <c r="K7" s="6" t="str">
        <f>IF(L7=$E$100,$F$100,IF(L7=$E$101,$F$101,IF(L7=$E$102,$F$102,IF(L7=$E$103,$F$103,IF(L7=$E$104,$F$104,IF(L7=$E$105,$F$105,IF(L7=$E$106,$F$106,IF(L7=$E$107,$F$107,"Training"))))))))</f>
        <v>IT</v>
      </c>
      <c r="L7" s="11" t="s">
        <v>45</v>
      </c>
      <c r="M7" s="304"/>
      <c r="N7" s="306"/>
      <c r="O7" s="301" t="str">
        <f t="shared" si="17"/>
        <v>.</v>
      </c>
      <c r="P7" s="13"/>
      <c r="Q7" s="331"/>
      <c r="R7" s="331"/>
      <c r="S7" s="331"/>
      <c r="U7" s="165" t="str">
        <f>Mon!U7</f>
        <v>(ANU)</v>
      </c>
      <c r="V7" s="9">
        <f t="shared" si="0"/>
        <v>0</v>
      </c>
      <c r="W7" s="36">
        <f>SUM(Mon!V7,Tue!V7,Wed!V7,Thur!V7,Fri!V7,Sat!V7)</f>
        <v>0</v>
      </c>
      <c r="X7" s="165" t="str">
        <f>Mon!U7</f>
        <v>(ANU)</v>
      </c>
      <c r="Y7" s="20">
        <f t="shared" si="1"/>
        <v>0</v>
      </c>
      <c r="Z7" s="21">
        <f t="shared" si="2"/>
        <v>0</v>
      </c>
      <c r="AA7" s="21">
        <f t="shared" si="3"/>
        <v>0</v>
      </c>
      <c r="AB7" s="22">
        <f t="shared" si="4"/>
        <v>0</v>
      </c>
      <c r="AC7" s="25" t="str">
        <f t="shared" si="5"/>
        <v xml:space="preserve"> </v>
      </c>
      <c r="AD7" s="26" t="str">
        <f t="shared" si="6"/>
        <v xml:space="preserve"> </v>
      </c>
      <c r="AE7" s="26" t="str">
        <f t="shared" si="7"/>
        <v xml:space="preserve"> </v>
      </c>
      <c r="AF7" s="27" t="str">
        <f t="shared" si="8"/>
        <v xml:space="preserve"> </v>
      </c>
      <c r="AG7" s="178" t="str">
        <f t="shared" si="9"/>
        <v xml:space="preserve"> </v>
      </c>
      <c r="AH7" s="177" t="str">
        <f t="shared" si="10"/>
        <v xml:space="preserve"> </v>
      </c>
      <c r="AI7" s="177" t="str">
        <f t="shared" si="11"/>
        <v xml:space="preserve"> </v>
      </c>
      <c r="AJ7" s="180" t="str">
        <f t="shared" si="12"/>
        <v xml:space="preserve"> </v>
      </c>
      <c r="AK7" s="178" t="str">
        <f t="shared" si="13"/>
        <v xml:space="preserve"> </v>
      </c>
      <c r="AL7" s="177" t="str">
        <f t="shared" si="14"/>
        <v xml:space="preserve"> </v>
      </c>
      <c r="AM7" s="177" t="str">
        <f t="shared" si="15"/>
        <v xml:space="preserve"> </v>
      </c>
      <c r="AN7" s="179" t="str">
        <f t="shared" si="16"/>
        <v xml:space="preserve"> </v>
      </c>
    </row>
    <row r="8" spans="1:79" ht="18.75" customHeight="1" thickBot="1" x14ac:dyDescent="0.4">
      <c r="A8" s="374"/>
      <c r="B8" s="19" t="str">
        <f>Mon!B8</f>
        <v>F+ECOM</v>
      </c>
      <c r="C8" s="3" t="s">
        <v>37</v>
      </c>
      <c r="D8" s="76"/>
      <c r="E8" s="6" t="str">
        <f>IF(F8=$G$100,$H$100,IF(F8=$G$101,$H$101,IF(F8=$G$102,$H$102,IF(F8=$G$103,$H$103,IF(F8=$G$104,$H$104,IF(F8=$G$105,$H$105,IF(F8=$G$106,$H$106,IF(F8=$G$107,$H$107,"Training"))))))))</f>
        <v>ECOM</v>
      </c>
      <c r="F8" s="7" t="s">
        <v>51</v>
      </c>
      <c r="G8" s="6" t="str">
        <f>IF(H8=$G$100,$H$100,IF(H8=$G$101,$H$101,IF(H8=$G$102,$H$102,IF(H8=$G$103,$H$103,IF(H8=$G$104,$H$104,IF(H8=$G$105,$H$105,IF(H8=$G$106,$H$106,IF(H8=$G$107,$H$107,"Training"))))))))</f>
        <v>IB</v>
      </c>
      <c r="H8" s="7" t="s">
        <v>103</v>
      </c>
      <c r="I8" s="375"/>
      <c r="J8" s="375"/>
      <c r="K8" s="6" t="str">
        <f>IF(L8=$G$100,$H$100,IF(L8=$G$101,$H$101,IF(L8=$G$102,$H$102,IF(L8=$G$103,$H$103,IF(L8=$G$104,$H$104,IF(L8=$G$105,$H$105,IF(L8=$G$106,$H$106,IF(L8=$G$107,$H$107,"Training"))))))))</f>
        <v>MA</v>
      </c>
      <c r="L8" s="11" t="s">
        <v>60</v>
      </c>
      <c r="M8" s="304"/>
      <c r="N8" s="306"/>
      <c r="O8" s="301" t="str">
        <f t="shared" si="17"/>
        <v>.</v>
      </c>
      <c r="P8" s="13"/>
      <c r="Q8" s="331"/>
      <c r="R8" s="331"/>
      <c r="S8" s="331"/>
      <c r="U8" s="165" t="str">
        <f>Mon!U8</f>
        <v>(AS)</v>
      </c>
      <c r="V8" s="9">
        <f t="shared" si="0"/>
        <v>3</v>
      </c>
      <c r="W8" s="36">
        <f>SUM(Mon!V8,Tue!V8,Wed!V8,Thur!V8,Fri!V8,Sat!V8)</f>
        <v>17</v>
      </c>
      <c r="X8" s="165" t="str">
        <f>Mon!U8</f>
        <v>(AS)</v>
      </c>
      <c r="Y8" s="20">
        <f t="shared" si="1"/>
        <v>1</v>
      </c>
      <c r="Z8" s="21">
        <f t="shared" si="2"/>
        <v>2</v>
      </c>
      <c r="AA8" s="21">
        <f t="shared" si="3"/>
        <v>0</v>
      </c>
      <c r="AB8" s="22">
        <f t="shared" si="4"/>
        <v>0</v>
      </c>
      <c r="AC8" s="25" t="str">
        <f t="shared" si="5"/>
        <v xml:space="preserve"> </v>
      </c>
      <c r="AD8" s="26" t="str">
        <f t="shared" si="6"/>
        <v xml:space="preserve"> </v>
      </c>
      <c r="AE8" s="26" t="str">
        <f t="shared" si="7"/>
        <v xml:space="preserve"> </v>
      </c>
      <c r="AF8" s="27" t="str">
        <f t="shared" si="8"/>
        <v xml:space="preserve"> </v>
      </c>
      <c r="AG8" s="178" t="str">
        <f t="shared" si="9"/>
        <v>HR (C)</v>
      </c>
      <c r="AH8" s="177" t="str">
        <f t="shared" si="10"/>
        <v>HR (G)</v>
      </c>
      <c r="AI8" s="177" t="str">
        <f t="shared" si="11"/>
        <v xml:space="preserve"> </v>
      </c>
      <c r="AJ8" s="180" t="str">
        <f t="shared" si="12"/>
        <v xml:space="preserve"> </v>
      </c>
      <c r="AK8" s="178" t="str">
        <f t="shared" si="13"/>
        <v xml:space="preserve"> </v>
      </c>
      <c r="AL8" s="177" t="str">
        <f t="shared" si="14"/>
        <v>BM (A)</v>
      </c>
      <c r="AM8" s="177" t="str">
        <f t="shared" si="15"/>
        <v xml:space="preserve"> </v>
      </c>
      <c r="AN8" s="179" t="str">
        <f t="shared" si="16"/>
        <v xml:space="preserve"> </v>
      </c>
    </row>
    <row r="9" spans="1:79" ht="18.75" customHeight="1" thickBot="1" x14ac:dyDescent="0.4">
      <c r="A9" s="374"/>
      <c r="B9" s="19" t="str">
        <f>Mon!B9</f>
        <v>F+ECOM</v>
      </c>
      <c r="C9" s="3" t="s">
        <v>38</v>
      </c>
      <c r="D9" s="76"/>
      <c r="E9" s="6" t="str">
        <f>IF(F9=$I$100,$J$100,IF(F9=$I$101,$J$101,IF(F9=$I$102,$J$102,IF(F9=$I$103,$J$103,IF(F9=$I$104,$J$104,IF(F9=$I$105,$J$105,IF(F9=$I$106,$J$106,IF(F9=$I$107,$J$107,"Training"))))))))</f>
        <v>FMS</v>
      </c>
      <c r="F9" s="7" t="s">
        <v>53</v>
      </c>
      <c r="G9" s="6" t="str">
        <f>IF(H9=$I$100,$J$100,IF(H9=$I$101,$J$101,IF(H9=$I$102,$J$102,IF(H9=$I$103,$J$103,IF(H9=$I$104,$J$104,IF(H9=$I$105,$J$105,IF(H9=$I$106,$J$106,IF(H9=$I$107,$J$107,"Training"))))))))</f>
        <v>IT</v>
      </c>
      <c r="H9" s="7" t="s">
        <v>47</v>
      </c>
      <c r="I9" s="375"/>
      <c r="J9" s="375"/>
      <c r="K9" s="6" t="str">
        <f>IF(L9=$I$100,$J$100,IF(L9=$I$101,$J$101,IF(L9=$I$102,$J$102,IF(L9=$I$103,$J$103,IF(L9=$I$104,$J$104,IF(L9=$I$105,$J$105,IF(L9=$I$106,$J$106,IF(L9=$I$107,$J$107,"Training"))))))))</f>
        <v>IF</v>
      </c>
      <c r="L9" s="11" t="s">
        <v>50</v>
      </c>
      <c r="M9" s="304"/>
      <c r="N9" s="306"/>
      <c r="O9" s="302" t="str">
        <f t="shared" si="17"/>
        <v>.</v>
      </c>
      <c r="P9" s="14"/>
      <c r="Q9" s="331"/>
      <c r="R9" s="331"/>
      <c r="S9" s="331"/>
      <c r="T9" s="87"/>
      <c r="U9" s="165" t="str">
        <f>Mon!U9</f>
        <v>(AV)</v>
      </c>
      <c r="V9" s="9">
        <f t="shared" si="0"/>
        <v>2</v>
      </c>
      <c r="W9" s="36">
        <f>SUM(Mon!V9,Tue!V9,Wed!V9,Thur!V9,Fri!V9,Sat!V9)</f>
        <v>17</v>
      </c>
      <c r="X9" s="165" t="str">
        <f>Mon!U9</f>
        <v>(AV)</v>
      </c>
      <c r="Y9" s="20">
        <f t="shared" si="1"/>
        <v>0</v>
      </c>
      <c r="Z9" s="21">
        <f t="shared" si="2"/>
        <v>1</v>
      </c>
      <c r="AA9" s="21">
        <f t="shared" si="3"/>
        <v>1</v>
      </c>
      <c r="AB9" s="22">
        <f t="shared" si="4"/>
        <v>0</v>
      </c>
      <c r="AC9" s="116" t="str">
        <f>CONCATENATE(IF($U9=$F$5,$E$5,IF($U9=$F$6,$E$6,IF($U9=$F$7,$E$7,IF($U9=$F$8,$E$8,IF($U9=$F$9,$E$9,IF($U9=$F$10,$E$10,IF($U9=$F$11,$E$11,IF($U9=$F$12,$E$12,IF($U9=$F$13,$E$13,IF($U9=$F$14,$E$14,IF($U9=$F$15,$E$15,IF($U9=$F$16,$E$16,IF($T$9=$F$10,$E$10,""))))))))))))))&amp;" "&amp;IF($U9=$F$5,"(A)",IF($U9=$F$6,"(B)",IF($U9=$F$7,"(C)",IF($U9=$F$8,"(D)",IF($U9=$F$9,"(E)",IF($U9=$F$10,"(F)",IF($U9=$F$11,"(G)",IF($U9=$F$12,"(H)",IF($U9=$F$13,"(I)",IF($U9=$F$14,"(J)",IF($U9=$F$15,"(K)",IF($U9=$F$16,"(L)",IF($T$9=$F$10,"(F)","")))))))))))))</f>
        <v xml:space="preserve"> </v>
      </c>
      <c r="AD9" s="117" t="str">
        <f>CONCATENATE(IF($U9=$H$5,$G$5,IF($U9=$H$6,$G$6,IF($U9=$H$7,$G$7,IF($U9=$H$8,$G$8,IF($U9=$H$9,$G$9,IF($U9=$H$10,$G$10,IF($U9=$H$11,$G$11,IF($U9=$H$12,$G$12,IF($U9=$H$13,$G$13,IF($U9=$H$14,$G$14,IF($U9=$H$15,$G$15,IF($U9=$H$16,$G$16,IF($T$9=$H$10,$G$10,"")))))))))))))&amp;" "&amp;IF($U9=$H$5,"(A)",IF($U9=$H$6,"(B)",IF($U9=$H$7,"(C)",IF($U9=$H$8,"(D)",IF($U9=$H$9,"(E)",IF($U9=$H$10,"(F)",IF($U9=$H$11,"(G)",IF($U9=$H$12,"(H)",IF($U9=$H$13,"(I)",IF($U9=$H$14,"(J)",IF($U9=$H$15,"(K)",IF($U9=$H$16,"(L)",IF($T$9=$H$10,"(F)",""))))))))))))))</f>
        <v xml:space="preserve"> </v>
      </c>
      <c r="AE9" s="117" t="str">
        <f>CONCATENATE(IF($U9=$L$5,$K$5,IF($U9=$L$6,$K$6,IF($U9=$L$7,$K$7,IF($U9=$L$8,$K$8,IF($U9=$L$9,$K$9,IF($U9=$L$10,$K$10,IF($U9=$L$11,$K$11,IF($U9=$L$12,$K$12,IF($U9=$L$13,$K$13,IF($U9=$L$14,$K$14,IF($U9=$L$15,$K$15,IF($U9=$L$16,$K$16,IF($T$9=$L$10,$K$10,""))))))))))))&amp;" "&amp;IF($U9=$L$5,"(A)",IF($U9=$L$6,"(B)",IF($U9=$L$7,"(C)",IF($U9=$L$8,"(D)",IF($U9=$L$9,"(E)",IF($U9=$L$10,"(F)",IF($U9=$L$11,"(G)",IF($U9=$L$12,"(H)",IF($U9=$L$13,"(I)",IF($U9=$L$14,"(J)",IF($U9=$L$15,"(K)",IF($U9=$L$16,"(L)",IF($T$9=$L$10,"(F)","")))))))))))))))</f>
        <v xml:space="preserve"> </v>
      </c>
      <c r="AF9" s="118" t="str">
        <f>CONCATENATE(IF($U9=$N$5,$M$5,IF($U9=$N$6,$M$6,IF($U9=$N$7,$M$7,IF($U9=$N$8,$M$8,IF($U9=$N$9,$M$9,IF($U9=$N$10,$M$10,IF($U9=$N$11,$M$11,IF($U9=$N$12,$M$12,IF($U9=$N$13,$M$13,IF($U9=$N$14,$M$14,IF($U9=$N$15,$M$15,IF($U9=$N$16,$M$16,IF($T$9=$N$10,$M$10,"")))))))))))))&amp;" "&amp;(IF($U9=$N$5,"(A)",IF($U9=$N$6,"(B)",IF($U9=$N$7,"(C)",IF($U9=$N$8,"(D)",IF($U9=$N$9,"(E)",IF($U9=$N$10,"(F)",IF($U9=$N$11,"(G)",IF($U9=$N$12,"(H)",IF($U9=$N$13,"(I)",IF($U9=$N$14,"(J)",IF($U9=$N$15,"(K)",IF($U9=$N$16,"(L)",IF($T$9=$N$10,"(F)","")))))))))))))))</f>
        <v xml:space="preserve"> (F)</v>
      </c>
      <c r="AG9" s="178" t="str">
        <f t="shared" si="9"/>
        <v xml:space="preserve"> </v>
      </c>
      <c r="AH9" s="177" t="str">
        <f t="shared" si="10"/>
        <v>CM (A)</v>
      </c>
      <c r="AI9" s="177" t="str">
        <f t="shared" si="11"/>
        <v>CM (K)</v>
      </c>
      <c r="AJ9" s="180" t="str">
        <f t="shared" si="12"/>
        <v xml:space="preserve"> </v>
      </c>
      <c r="AK9" s="178" t="str">
        <f t="shared" si="13"/>
        <v xml:space="preserve"> </v>
      </c>
      <c r="AL9" s="177" t="str">
        <f t="shared" si="14"/>
        <v xml:space="preserve"> </v>
      </c>
      <c r="AM9" s="177" t="str">
        <f t="shared" si="15"/>
        <v xml:space="preserve"> </v>
      </c>
      <c r="AN9" s="179" t="str">
        <f t="shared" si="16"/>
        <v xml:space="preserve"> </v>
      </c>
    </row>
    <row r="10" spans="1:79" ht="18.75" customHeight="1" thickBot="1" x14ac:dyDescent="0.4">
      <c r="A10" s="374"/>
      <c r="B10" s="19" t="str">
        <f>Mon!B10</f>
        <v>F+PR</v>
      </c>
      <c r="C10" s="3" t="s">
        <v>65</v>
      </c>
      <c r="D10" s="76"/>
      <c r="E10" s="6" t="str">
        <f>IF(F10=$K$100,$L$100,IF(F10=$K$101,$L$101,IF(F10=$K$102,$L$102,IF(F10=$K$103,$L$103,IF(F10=$K$104,$L$104,IF(F10=$K$105,$L$105,IF(F10=$K$106,$L$106,IF(F10=$K$107,$L$107,"Training"))))))))</f>
        <v>PR</v>
      </c>
      <c r="F10" s="7" t="s">
        <v>82</v>
      </c>
      <c r="G10" s="6" t="str">
        <f>IF(H10=$K$100,$L$100,IF(H10=$K$101,$L$101,IF(H10=$K$102,$L$102,IF(H10=$K$103,$L$103,IF(H10=$K$104,$L$104,IF(H10=$K$105,$L$105,IF(H10=$K$106,$L$106,IF(H10=$K$107,$L$107,"Training"))))))))</f>
        <v>IF</v>
      </c>
      <c r="H10" s="7" t="s">
        <v>58</v>
      </c>
      <c r="I10" s="375"/>
      <c r="J10" s="375"/>
      <c r="K10" s="6" t="str">
        <f>IF(L10=$K$100,$L$100,IF(L10=$K$101,$L$101,IF(L10=$K$102,$L$102,IF(L10=$K$103,$L$103,IF(L10=$K$104,$L$104,IF(L10=$K$105,$L$105,IF(L10=$K$106,$L$106,IF(L10=$K$107,$L$107,"Training"))))))))</f>
        <v>MA</v>
      </c>
      <c r="L10" s="11" t="s">
        <v>120</v>
      </c>
      <c r="M10" s="304"/>
      <c r="N10" s="306"/>
      <c r="O10" s="303" t="s">
        <v>67</v>
      </c>
      <c r="P10" s="32" t="s">
        <v>67</v>
      </c>
      <c r="Q10" s="331"/>
      <c r="R10" s="331"/>
      <c r="S10" s="331"/>
      <c r="U10" s="165" t="str">
        <f>Mon!U10</f>
        <v>(AW)</v>
      </c>
      <c r="V10" s="9">
        <f t="shared" si="0"/>
        <v>2</v>
      </c>
      <c r="W10" s="36">
        <f>SUM(Mon!V10,Tue!V10,Wed!V10,Thur!V10,Fri!V10,Sat!V10)</f>
        <v>18</v>
      </c>
      <c r="X10" s="165" t="str">
        <f>Mon!U10</f>
        <v>(AW)</v>
      </c>
      <c r="Y10" s="20">
        <f t="shared" si="1"/>
        <v>0</v>
      </c>
      <c r="Z10" s="21">
        <f t="shared" si="2"/>
        <v>2</v>
      </c>
      <c r="AA10" s="21">
        <f t="shared" si="3"/>
        <v>0</v>
      </c>
      <c r="AB10" s="22">
        <f t="shared" si="4"/>
        <v>0</v>
      </c>
      <c r="AC10" s="25" t="str">
        <f>CONCATENATE(IF($U10=$F$5,$E$5,IF($U10=$F$6,$E$6,IF($U10=$F$7,$E$7,IF($U10=$F$8,$E$8,IF($U10=$F$9,$E$9,IF($U10=$F$10,$E$10,IF($U10=$F$11,$E$11,IF($U10=$F$12,$E$12,IF($U10=$F$13,$E$13,IF($U10=$F$14,$E$14,IF($U10=$F$15,$E$15,IF($U10=$F$16,$E$16,IF($U10=$F$17,$E$17,"")))))))))))))&amp;" "&amp;IF($U10=$F$5,"(A)",IF($U10=$F$6,"(B)",IF($U10=$F$7,"(C)",IF($U10=$F$8,"(D)",IF($U10=$F$9,"(E)",IF($U10=$F$10,"(F)",IF($U10=$F$11,"(G)",IF($U10=$F$12,"(H)",IF($U10=$F$13,"(I)",IF($U10=$F$14,"(J)",IF($U10=$F$15,"(K)",IF($U10=$F$16,"(L)",IF($U10=$F$17,"(L)",""))))))))))))))</f>
        <v xml:space="preserve"> </v>
      </c>
      <c r="AD10" s="26" t="str">
        <f>CONCATENATE(IF($U10=$H$5,$G$5,IF($U10=$H$6,$G$6,IF($U10=$H$7,$G$7,IF($U10=$H$8,$G$8,IF($U10=$H$9,$G$9,IF($U10=$H$10,$G$10,IF($U10=$H$11,$G$11,IF($U10=$H$12,$G$12,IF($U10=$H$13,$G$13,IF($U10=$H$14,$G$14,IF($U10=$H$15,$G$15,IF($U10=$H$16,$G$16,IF($U10=$H$17,$G$17,"")))))))))))))&amp;" "&amp;IF($U10=$H$5,"(A)",IF($U10=$H$6,"(B)",IF($U10=$H$7,"(C)",IF($U10=$H$8,"(D)",IF($U10=$H$9,"(E)",IF($U10=$H$10,"(F)",IF($U10=$H$11,"(G)",IF($U10=$H$12,"(H)",IF($U10=$H$13,"(I)",IF($U10=$H$14,"(J)",IF($U10=$H$15,"(K)",IF($U10=$H$16,"(L)",IF($U10=$H$17,"(L)",""))))))))))))))</f>
        <v xml:space="preserve"> </v>
      </c>
      <c r="AE10" s="26" t="str">
        <f>CONCATENATE(IF($U10=$L$5,$K$5,IF($U10=$L$6,$K$6,IF($U10=$L$7,$K$7,IF($U10=$L$8,$K$8,IF($U10=$L$9,$K$9,IF($U10=$L$10,$K$10,IF($U10=$L$11,$K$11,IF($U10=$L$12,$K$12,IF($U10=$L$13,$K$13,IF($U10=$L$14,$K$14,IF($U10=$L$15,$K$15,IF($U10=$L$16,$K$16,IF($U10=$L$17,$K$17,"")))))))))))))&amp;" "&amp;IF($U10=$L$5,"(A)",IF($U10=$L$6,"(B)",IF($U10=$L$7,"(C)",IF($U10=$L$8,"(D)",IF($U10=$L$9,"(E)",IF($U10=$L$10,"(F)",IF($U10=$L$11,"(G)",IF($U10=$L$12,"(H)",IF($U10=$L$13,"(I)",IF($U10=$L$14,"(J)",IF($U10=$L$15,"(K)",IF($U10=$L$16,"(L)",IF($U10=$L$17,"(L)",""))))))))))))))</f>
        <v xml:space="preserve"> </v>
      </c>
      <c r="AF10" s="27" t="str">
        <f>CONCATENATE(IF($U10=$N$5,$M$5,IF($U10=$N$6,$M$6,IF($U10=$N$7,$M$7,IF($U10=$N$8,$M$8,IF($U10=$N$9,$M$9,IF($U10=$N$10,$M$10,IF($U10=$N$11,$M$11,IF($U10=$N$12,$M$12,IF($U10=$N$13,$M$13,IF($U10=$N$14,$M$14,IF($U10=$N$15,$M$15,IF($U10=$N$16,$M$16,IF($U10=$N$17,$M$17,"")))))))))))))&amp;" "&amp;(IF($U10=$N$5,"(A)",IF($U10=$N$6,"(B)",IF($U10=$N$7,"(C)",IF($U10=$N$8,"(D)",IF($U10=$N$9,"(E)",IF($U10=$N$10,"(F)",IF($U10=$N$11,"(G)",IF($U10=$N$12,"(H)",IF($U10=$N$13,"(I)",IF($U10=$N$14,"(J)",IF($U10=$N$15,"(K)",IF($U10=$N$16,"(L)",IF($U10=$N$17,"(L)","")))))))))))))))</f>
        <v xml:space="preserve"> </v>
      </c>
      <c r="AG10" s="178" t="str">
        <f t="shared" si="9"/>
        <v xml:space="preserve"> </v>
      </c>
      <c r="AH10" s="177" t="str">
        <f t="shared" si="10"/>
        <v xml:space="preserve"> </v>
      </c>
      <c r="AI10" s="177" t="str">
        <f t="shared" si="11"/>
        <v xml:space="preserve"> </v>
      </c>
      <c r="AJ10" s="180" t="str">
        <f t="shared" si="12"/>
        <v xml:space="preserve"> </v>
      </c>
      <c r="AK10" s="178" t="str">
        <f t="shared" si="13"/>
        <v xml:space="preserve"> </v>
      </c>
      <c r="AL10" s="177" t="str">
        <f t="shared" si="14"/>
        <v>BT (H)</v>
      </c>
      <c r="AM10" s="177" t="str">
        <f t="shared" si="15"/>
        <v xml:space="preserve"> </v>
      </c>
      <c r="AN10" s="179" t="str">
        <f t="shared" si="16"/>
        <v xml:space="preserve"> </v>
      </c>
    </row>
    <row r="11" spans="1:79" ht="18.75" customHeight="1" thickBot="1" x14ac:dyDescent="0.4">
      <c r="A11" s="374"/>
      <c r="B11" s="19" t="str">
        <f>Mon!B11</f>
        <v>MKG+ECOM</v>
      </c>
      <c r="C11" s="98" t="s">
        <v>69</v>
      </c>
      <c r="D11" s="76"/>
      <c r="E11" s="6" t="str">
        <f>IF(F11=$M$100,$N$100,IF(F11=$M$101,$N$101,IF(F11=$M$102,$N$102,IF(F11=$M$103,$N$103,IF(F11=$M$104,$N$104,IF(F11=$M$105,$N$105,IF(F11=$M$106,$N$106,IF(F11=$M$107,$N$107,"Training"))))))))</f>
        <v>MA</v>
      </c>
      <c r="F11" s="7" t="s">
        <v>66</v>
      </c>
      <c r="G11" s="6" t="str">
        <f>IF(H11=$M$100,$N$100,IF(H11=$M$101,$N$101,IF(H11=$M$102,$N$102,IF(H11=$M$103,$N$103,IF(H11=$M$104,$N$104,IF(H11=$M$105,$N$105,IF(H11=$M$106,$N$106,IF(H11=$M$107,$N$107,"Training"))))))))</f>
        <v>CB</v>
      </c>
      <c r="H11" s="7" t="s">
        <v>70</v>
      </c>
      <c r="I11" s="375"/>
      <c r="J11" s="375"/>
      <c r="K11" s="6" t="str">
        <f>IF(L11=$M$100,$N$100,IF(L11=$M$101,$N$101,IF(L11=$M$102,$N$102,IF(L11=$M$103,$N$103,IF(L11=$M$104,$N$104,IF(L11=$M$105,$N$105,IF(L11=$M$106,$N$106,IF(L11=$M$107,$N$107,"Training"))))))))</f>
        <v>IT</v>
      </c>
      <c r="L11" s="11" t="s">
        <v>52</v>
      </c>
      <c r="M11" s="304"/>
      <c r="N11" s="306"/>
      <c r="O11" s="300" t="e">
        <f>IF(#REF!="",".",#REF!)</f>
        <v>#REF!</v>
      </c>
      <c r="P11" s="13"/>
      <c r="Q11" s="331"/>
      <c r="R11" s="331"/>
      <c r="S11" s="331"/>
      <c r="U11" s="165" t="str">
        <f>Mon!U11</f>
        <v>(BB)</v>
      </c>
      <c r="V11" s="9">
        <f t="shared" si="0"/>
        <v>1</v>
      </c>
      <c r="W11" s="36">
        <f>SUM(Mon!V11,Tue!V11,Wed!V11,Thur!V11,Fri!V11,Sat!V11)</f>
        <v>17</v>
      </c>
      <c r="X11" s="165" t="str">
        <f>Mon!U11</f>
        <v>(BB)</v>
      </c>
      <c r="Y11" s="20">
        <f t="shared" si="1"/>
        <v>0</v>
      </c>
      <c r="Z11" s="21">
        <f t="shared" si="2"/>
        <v>1</v>
      </c>
      <c r="AA11" s="21">
        <f t="shared" si="3"/>
        <v>0</v>
      </c>
      <c r="AB11" s="22">
        <f t="shared" si="4"/>
        <v>0</v>
      </c>
      <c r="AC11" s="25" t="str">
        <f t="shared" ref="AC11:AC59" si="18">CONCATENATE(IF($U11=$F$5,$E$5,IF($U11=$F$6,$E$6,IF($U11=$F$7,$E$7,IF($U11=$F$8,$E$8,IF($U11=$F$9,$E$9,IF($U11=$F$10,$E$10,IF($U11=$F$11,$E$11,IF($U11=$F$12,$E$12,IF($U11=$F$13,$E$13,IF($U11=$F$14,$E$14,IF($U11=$F$15,$E$15,IF($U11=$F$16,$E$16,IF($U11=$F$17,$E$17,"")))))))))))))&amp;" "&amp;IF($U11=$F$5,"(A)",IF($U11=$F$6,"(B)",IF($U11=$F$7,"(C)",IF($U11=$F$8,"(D)",IF($U11=$F$9,"(E)",IF($U11=$F$10,"(F)",IF($U11=$F$11,"(G)",IF($U11=$F$12,"(H)",IF($U11=$F$13,"(I)",IF($U11=$F$14,"(J)",IF($U11=$F$15,"(K)",IF($U11=$F$16,"(L)",IF($U11=$F$17,"(L)",""))))))))))))))</f>
        <v xml:space="preserve"> </v>
      </c>
      <c r="AD11" s="26" t="str">
        <f t="shared" ref="AD11:AD59" si="19">CONCATENATE(IF($U11=$H$5,$G$5,IF($U11=$H$6,$G$6,IF($U11=$H$7,$G$7,IF($U11=$H$8,$G$8,IF($U11=$H$9,$G$9,IF($U11=$H$10,$G$10,IF($U11=$H$11,$G$11,IF($U11=$H$12,$G$12,IF($U11=$H$13,$G$13,IF($U11=$H$14,$G$14,IF($U11=$H$15,$G$15,IF($U11=$H$16,$G$16,IF($U11=$H$17,$G$17,"")))))))))))))&amp;" "&amp;IF($U11=$H$5,"(A)",IF($U11=$H$6,"(B)",IF($U11=$H$7,"(C)",IF($U11=$H$8,"(D)",IF($U11=$H$9,"(E)",IF($U11=$H$10,"(F)",IF($U11=$H$11,"(G)",IF($U11=$H$12,"(H)",IF($U11=$H$13,"(I)",IF($U11=$H$14,"(J)",IF($U11=$H$15,"(K)",IF($U11=$H$16,"(L)",IF($U11=$H$17,"(L)",""))))))))))))))</f>
        <v xml:space="preserve"> </v>
      </c>
      <c r="AE11" s="26" t="str">
        <f t="shared" ref="AE11:AE59" si="20">CONCATENATE(IF($U11=$L$5,$K$5,IF($U11=$L$6,$K$6,IF($U11=$L$7,$K$7,IF($U11=$L$8,$K$8,IF($U11=$L$9,$K$9,IF($U11=$L$10,$K$10,IF($U11=$L$11,$K$11,IF($U11=$L$12,$K$12,IF($U11=$L$13,$K$13,IF($U11=$L$14,$K$14,IF($U11=$L$15,$K$15,IF($U11=$L$16,$K$16,IF($U11=$L$17,$K$17,"")))))))))))))&amp;" "&amp;IF($U11=$L$5,"(A)",IF($U11=$L$6,"(B)",IF($U11=$L$7,"(C)",IF($U11=$L$8,"(D)",IF($U11=$L$9,"(E)",IF($U11=$L$10,"(F)",IF($U11=$L$11,"(G)",IF($U11=$L$12,"(H)",IF($U11=$L$13,"(I)",IF($U11=$L$14,"(J)",IF($U11=$L$15,"(K)",IF($U11=$L$16,"(L)",IF($U11=$L$17,"(L)",""))))))))))))))</f>
        <v xml:space="preserve"> </v>
      </c>
      <c r="AF11" s="27" t="str">
        <f t="shared" ref="AF11:AF59" si="21">CONCATENATE(IF($U11=$N$5,$M$5,IF($U11=$N$6,$M$6,IF($U11=$N$7,$M$7,IF($U11=$N$8,$M$8,IF($U11=$N$9,$M$9,IF($U11=$N$10,$M$10,IF($U11=$N$11,$M$11,IF($U11=$N$12,$M$12,IF($U11=$N$13,$M$13,IF($U11=$N$14,$M$14,IF($U11=$N$15,$M$15,IF($U11=$N$16,$M$16,IF($U11=$N$17,$M$17,"")))))))))))))&amp;" "&amp;(IF($U11=$N$5,"(A)",IF($U11=$N$6,"(B)",IF($U11=$N$7,"(C)",IF($U11=$N$8,"(D)",IF($U11=$N$9,"(E)",IF($U11=$N$10,"(F)",IF($U11=$N$11,"(G)",IF($U11=$N$12,"(H)",IF($U11=$N$13,"(I)",IF($U11=$N$14,"(J)",IF($U11=$N$15,"(K)",IF($U11=$N$16,"(L)",IF($U11=$N$17,"(L)","")))))))))))))))</f>
        <v xml:space="preserve"> </v>
      </c>
      <c r="AG11" s="178" t="str">
        <f t="shared" si="9"/>
        <v xml:space="preserve"> </v>
      </c>
      <c r="AH11" s="177" t="str">
        <f t="shared" si="10"/>
        <v xml:space="preserve"> </v>
      </c>
      <c r="AI11" s="177" t="str">
        <f t="shared" si="11"/>
        <v xml:space="preserve"> </v>
      </c>
      <c r="AJ11" s="180" t="str">
        <f t="shared" si="12"/>
        <v xml:space="preserve"> </v>
      </c>
      <c r="AK11" s="178" t="str">
        <f t="shared" si="13"/>
        <v xml:space="preserve"> </v>
      </c>
      <c r="AL11" s="177" t="str">
        <f t="shared" si="14"/>
        <v>QT (B)</v>
      </c>
      <c r="AM11" s="177" t="str">
        <f t="shared" si="15"/>
        <v xml:space="preserve"> </v>
      </c>
      <c r="AN11" s="179" t="str">
        <f t="shared" si="16"/>
        <v xml:space="preserve"> </v>
      </c>
    </row>
    <row r="12" spans="1:79" ht="18.75" customHeight="1" thickBot="1" x14ac:dyDescent="0.4">
      <c r="A12" s="374"/>
      <c r="B12" s="19" t="str">
        <f>Mon!B12</f>
        <v>MKG+ECOM</v>
      </c>
      <c r="C12" s="98" t="s">
        <v>72</v>
      </c>
      <c r="D12" s="76"/>
      <c r="E12" s="6" t="str">
        <f>IF(F12=$O$100,$P$100,IF(F12=$O$101,$P$101,IF(F12=$O$102,$P$102,IF(F12=$O$103,$P$103,IF(F12=$O$104,$P$104,IF(F12=$O$105,$P$105,IF(F12=$O$106,$P$106,IF(F12=$O$107,$P$107,"Training"))))))))</f>
        <v>MIP</v>
      </c>
      <c r="F12" s="7" t="s">
        <v>73</v>
      </c>
      <c r="G12" s="6" t="str">
        <f>IF(H12=$O$100,$P$100,IF(H12=$O$101,$P$101,IF(H12=$O$102,$P$102,IF(H12=$O$103,$P$103,IF(H12=$O$104,$P$104,IF(H12=$O$105,$P$105,IF(H12=$O$106,$P$106,IF(H12=$O$107,$P$107,"Training"))))))))</f>
        <v>MA</v>
      </c>
      <c r="H12" s="7" t="s">
        <v>57</v>
      </c>
      <c r="I12" s="375"/>
      <c r="J12" s="375"/>
      <c r="K12" s="6" t="str">
        <f>IF(L12=$O$100,$P$100,IF(L12=$O$101,$P$101,IF(L12=$O$102,$P$102,IF(L12=$O$103,$P$103,IF(L12=$O$104,$P$104,IF(L12=$O$105,$P$105,IF(L12=$O$106,$P$106,IF(L12=$O$107,$P$107,"Training"))))))))</f>
        <v>RM</v>
      </c>
      <c r="L12" s="11" t="s">
        <v>148</v>
      </c>
      <c r="M12" s="304"/>
      <c r="N12" s="306"/>
      <c r="O12" s="301" t="str">
        <f>IF(P11="",".",P11)</f>
        <v>.</v>
      </c>
      <c r="P12" s="13"/>
      <c r="Q12" s="331"/>
      <c r="R12" s="331"/>
      <c r="S12" s="331"/>
      <c r="U12" s="165" t="str">
        <f>Mon!U12</f>
        <v>(BD)</v>
      </c>
      <c r="V12" s="9">
        <f t="shared" si="0"/>
        <v>2</v>
      </c>
      <c r="W12" s="36">
        <f>SUM(Mon!V12,Tue!V12,Wed!V12,Thur!V12,Fri!V12,Sat!V12)</f>
        <v>17</v>
      </c>
      <c r="X12" s="165" t="str">
        <f>Mon!U12</f>
        <v>(BD)</v>
      </c>
      <c r="Y12" s="20">
        <f t="shared" si="1"/>
        <v>0</v>
      </c>
      <c r="Z12" s="21">
        <f t="shared" si="2"/>
        <v>2</v>
      </c>
      <c r="AA12" s="21">
        <f t="shared" si="3"/>
        <v>0</v>
      </c>
      <c r="AB12" s="22">
        <f t="shared" si="4"/>
        <v>0</v>
      </c>
      <c r="AC12" s="25" t="str">
        <f t="shared" si="18"/>
        <v xml:space="preserve"> </v>
      </c>
      <c r="AD12" s="26" t="str">
        <f t="shared" si="19"/>
        <v xml:space="preserve"> </v>
      </c>
      <c r="AE12" s="26" t="str">
        <f t="shared" si="20"/>
        <v xml:space="preserve"> </v>
      </c>
      <c r="AF12" s="27" t="str">
        <f t="shared" si="21"/>
        <v xml:space="preserve"> </v>
      </c>
      <c r="AG12" s="178" t="str">
        <f t="shared" si="9"/>
        <v xml:space="preserve"> </v>
      </c>
      <c r="AH12" s="177" t="str">
        <f t="shared" si="10"/>
        <v xml:space="preserve"> </v>
      </c>
      <c r="AI12" s="177" t="str">
        <f t="shared" si="11"/>
        <v xml:space="preserve"> </v>
      </c>
      <c r="AJ12" s="180" t="str">
        <f t="shared" si="12"/>
        <v xml:space="preserve"> </v>
      </c>
      <c r="AK12" s="178" t="str">
        <f t="shared" si="13"/>
        <v xml:space="preserve"> </v>
      </c>
      <c r="AL12" s="177" t="str">
        <f t="shared" si="14"/>
        <v>QT (J)</v>
      </c>
      <c r="AM12" s="177" t="str">
        <f t="shared" si="15"/>
        <v xml:space="preserve"> </v>
      </c>
      <c r="AN12" s="179" t="str">
        <f t="shared" si="16"/>
        <v xml:space="preserve"> </v>
      </c>
    </row>
    <row r="13" spans="1:79" ht="18.75" customHeight="1" thickBot="1" x14ac:dyDescent="0.4">
      <c r="A13" s="374"/>
      <c r="B13" s="19" t="str">
        <f>Mon!B13</f>
        <v>MKG+ECOM</v>
      </c>
      <c r="C13" s="98" t="s">
        <v>76</v>
      </c>
      <c r="D13" s="76"/>
      <c r="E13" s="6" t="str">
        <f>IF(F13=$Q$100,$R$100,IF(F13=$Q$101,$R$101,IF(F13=$Q$102,$R$102,IF(F13=$Q$103,$R$103,IF(F13=$Q$104,$R$104,IF(F13=$Q$105,$R$105,IF(F13=$Q$106,$R$106,IF(F13=$Q$107,$R$107,"Training"))))))))</f>
        <v>CB</v>
      </c>
      <c r="F13" s="7" t="s">
        <v>70</v>
      </c>
      <c r="G13" s="6" t="str">
        <f>IF(H13=$Q$100,$R$100,IF(H13=$Q$101,$R$101,IF(H13=$Q$102,$R$102,IF(H13=$Q$103,$R$103,IF(H13=$Q$104,$R$104,IF(H13=$Q$105,$R$105,IF(H13=$Q$106,$R$106,IF(H13=$Q$107,$R$107,"Training"))))))))</f>
        <v>IT</v>
      </c>
      <c r="H13" s="7" t="s">
        <v>45</v>
      </c>
      <c r="I13" s="375"/>
      <c r="J13" s="375"/>
      <c r="K13" s="6" t="str">
        <f>IF(L13=$Q$100,$R$100,IF(L13=$Q$101,$R$101,IF(L13=$Q$102,$R$102,IF(L13=$Q$103,$R$103,IF(L13=$Q$104,$R$104,IF(L13=$Q$105,$R$105,IF(L13=$Q$106,$R$106,IF(L13=$Q$107,$R$107,"Training"))))))))</f>
        <v>MIP</v>
      </c>
      <c r="L13" s="11" t="s">
        <v>73</v>
      </c>
      <c r="M13" s="304"/>
      <c r="N13" s="306"/>
      <c r="O13" s="301" t="str">
        <f>IF(P12="",".",P12)</f>
        <v>.</v>
      </c>
      <c r="P13" s="13"/>
      <c r="Q13" s="331"/>
      <c r="R13" s="331"/>
      <c r="S13" s="331"/>
      <c r="U13" s="165" t="str">
        <f>Mon!U13</f>
        <v>(CG)</v>
      </c>
      <c r="V13" s="9">
        <f t="shared" si="0"/>
        <v>1</v>
      </c>
      <c r="W13" s="36">
        <f>SUM(Mon!V13,Tue!V13,Wed!V13,Thur!V13,Fri!V13,Sat!V13)</f>
        <v>14</v>
      </c>
      <c r="X13" s="165" t="str">
        <f>Mon!U13</f>
        <v>(CG)</v>
      </c>
      <c r="Y13" s="20">
        <f t="shared" si="1"/>
        <v>0</v>
      </c>
      <c r="Z13" s="21">
        <f t="shared" si="2"/>
        <v>1</v>
      </c>
      <c r="AA13" s="21">
        <f t="shared" si="3"/>
        <v>0</v>
      </c>
      <c r="AB13" s="22">
        <f t="shared" si="4"/>
        <v>0</v>
      </c>
      <c r="AC13" s="25" t="str">
        <f t="shared" si="18"/>
        <v xml:space="preserve"> </v>
      </c>
      <c r="AD13" s="26" t="str">
        <f t="shared" si="19"/>
        <v xml:space="preserve"> </v>
      </c>
      <c r="AE13" s="26" t="str">
        <f t="shared" si="20"/>
        <v xml:space="preserve"> </v>
      </c>
      <c r="AF13" s="27" t="str">
        <f t="shared" si="21"/>
        <v xml:space="preserve"> </v>
      </c>
      <c r="AG13" s="178" t="str">
        <f t="shared" si="9"/>
        <v xml:space="preserve"> </v>
      </c>
      <c r="AH13" s="177" t="str">
        <f t="shared" si="10"/>
        <v xml:space="preserve"> </v>
      </c>
      <c r="AI13" s="177" t="str">
        <f t="shared" si="11"/>
        <v xml:space="preserve"> </v>
      </c>
      <c r="AJ13" s="180" t="str">
        <f t="shared" si="12"/>
        <v xml:space="preserve"> </v>
      </c>
      <c r="AK13" s="178" t="str">
        <f t="shared" si="13"/>
        <v xml:space="preserve"> </v>
      </c>
      <c r="AL13" s="177" t="str">
        <f t="shared" si="14"/>
        <v xml:space="preserve"> </v>
      </c>
      <c r="AM13" s="177" t="str">
        <f t="shared" si="15"/>
        <v xml:space="preserve"> </v>
      </c>
      <c r="AN13" s="179" t="str">
        <f t="shared" si="16"/>
        <v xml:space="preserve"> </v>
      </c>
    </row>
    <row r="14" spans="1:79" ht="18.75" customHeight="1" thickBot="1" x14ac:dyDescent="0.4">
      <c r="A14" s="374"/>
      <c r="B14" s="19" t="str">
        <f>Mon!B14</f>
        <v>MKG+PR</v>
      </c>
      <c r="C14" s="98" t="s">
        <v>79</v>
      </c>
      <c r="D14" s="76"/>
      <c r="E14" s="6" t="str">
        <f>IF(F14=$S$100,$T$100,IF(F14=$S$101,$T$101,IF(F14=$S$102,$T$102,IF(F14=$S$103,$T$103,IF(F14=$S$104,$T$104,IF(F14=$S$105,$T$105,IF(F14=$S$106,$T$106,IF(F14=$S$107,$T$107,"Training"))))))))</f>
        <v>IB</v>
      </c>
      <c r="F14" s="7" t="s">
        <v>63</v>
      </c>
      <c r="G14" s="6" t="str">
        <f>IF(H14=$S$100,$T$100,IF(H14=$S$101,$T$101,IF(H14=$S$102,$T$102,IF(H14=$S$103,$T$103,IF(H14=$S$104,$T$104,IF(H14=$S$105,$T$105,IF(H14=$S$106,$T$106,IF(H14=$S$107,$T$107,"Training"))))))))</f>
        <v>PR</v>
      </c>
      <c r="H14" s="7" t="s">
        <v>51</v>
      </c>
      <c r="I14" s="375"/>
      <c r="J14" s="375"/>
      <c r="K14" s="6" t="str">
        <f>IF(L14=$S$100,$T$100,IF(L14=$S$101,$T$101,IF(L14=$S$102,$T$102,IF(L14=$S$103,$T$103,IF(L14=$S$104,$T$104,IF(L14=$S$105,$T$105,IF(L14=$S$106,$T$106,IF(L14=$S$107,$T$107,"Training"))))))))</f>
        <v>IT</v>
      </c>
      <c r="L14" s="11" t="s">
        <v>47</v>
      </c>
      <c r="M14" s="304"/>
      <c r="N14" s="306"/>
      <c r="O14" s="301" t="str">
        <f>IF(P13="",".",P13)</f>
        <v>.</v>
      </c>
      <c r="P14" s="206"/>
      <c r="Q14" s="331"/>
      <c r="R14" s="331"/>
      <c r="S14" s="331"/>
      <c r="U14" s="165" t="str">
        <f>Mon!U14</f>
        <v>(DT)</v>
      </c>
      <c r="V14" s="9">
        <f t="shared" si="0"/>
        <v>1</v>
      </c>
      <c r="W14" s="36">
        <f>SUM(Mon!V14,Tue!V14,Wed!V14,Thur!V14,Fri!V14,Sat!V14)</f>
        <v>15</v>
      </c>
      <c r="X14" s="165" t="str">
        <f>Mon!U14</f>
        <v>(DT)</v>
      </c>
      <c r="Y14" s="20">
        <f t="shared" si="1"/>
        <v>1</v>
      </c>
      <c r="Z14" s="21">
        <f t="shared" si="2"/>
        <v>0</v>
      </c>
      <c r="AA14" s="21">
        <f t="shared" si="3"/>
        <v>0</v>
      </c>
      <c r="AB14" s="22">
        <f t="shared" si="4"/>
        <v>0</v>
      </c>
      <c r="AC14" s="25" t="str">
        <f t="shared" si="18"/>
        <v>MIP (K)</v>
      </c>
      <c r="AD14" s="26" t="str">
        <f t="shared" si="19"/>
        <v xml:space="preserve"> </v>
      </c>
      <c r="AE14" s="26" t="str">
        <f t="shared" si="20"/>
        <v xml:space="preserve"> </v>
      </c>
      <c r="AF14" s="27" t="str">
        <f t="shared" si="21"/>
        <v xml:space="preserve"> </v>
      </c>
      <c r="AG14" s="178" t="str">
        <f t="shared" si="9"/>
        <v xml:space="preserve"> </v>
      </c>
      <c r="AH14" s="177" t="str">
        <f t="shared" si="10"/>
        <v xml:space="preserve"> </v>
      </c>
      <c r="AI14" s="177" t="str">
        <f t="shared" si="11"/>
        <v xml:space="preserve"> </v>
      </c>
      <c r="AJ14" s="180" t="str">
        <f t="shared" si="12"/>
        <v xml:space="preserve"> </v>
      </c>
      <c r="AK14" s="178" t="str">
        <f t="shared" si="13"/>
        <v xml:space="preserve"> </v>
      </c>
      <c r="AL14" s="177" t="str">
        <f t="shared" si="14"/>
        <v xml:space="preserve"> </v>
      </c>
      <c r="AM14" s="177" t="str">
        <f t="shared" si="15"/>
        <v xml:space="preserve"> </v>
      </c>
      <c r="AN14" s="179" t="str">
        <f t="shared" si="16"/>
        <v xml:space="preserve"> </v>
      </c>
    </row>
    <row r="15" spans="1:79" ht="18.75" customHeight="1" thickBot="1" x14ac:dyDescent="0.4">
      <c r="A15" s="374"/>
      <c r="B15" s="19" t="str">
        <f>Mon!B15</f>
        <v>MKG+ECOM+PR</v>
      </c>
      <c r="C15" s="98" t="s">
        <v>81</v>
      </c>
      <c r="D15" s="76"/>
      <c r="E15" s="81" t="str">
        <f>IF(F15=$U$100,$V$100,IF(F15=$U$101,$V$101,IF(F15=$U$102,$V$102,IF(F15=$U$103,$V$103,IF(F15=$U$104,$V$104,IF(F15=$U$105,$V$105,IF(F15=$U$106,$V$106,IF(F15=$U$107,$V$107,"Training"))))))))</f>
        <v>MIP</v>
      </c>
      <c r="F15" s="80" t="s">
        <v>62</v>
      </c>
      <c r="G15" s="81" t="str">
        <f>IF(H15=$U$100,$V$100,IF(H15=$U$101,$V$101,IF(H15=$U$102,$V$102,IF(H15=$U$103,$V$103,IF(H15=$U$104,$V$104,IF(H15=$U$105,$V$105,IF(H15=$U$106,$V$106,IF(H15=$U$107,$V$107,"Training"))))))))</f>
        <v>MA</v>
      </c>
      <c r="H15" s="80" t="s">
        <v>66</v>
      </c>
      <c r="I15" s="375"/>
      <c r="J15" s="375"/>
      <c r="K15" s="81" t="str">
        <f>IF(L15=$U$100,$V$100,IF(L15=$U$101,$V$101,IF(L15=$U$102,$V$102,IF(L15=$U$103,$V$103,IF(L15=$U$104,$V$104,IF(L15=$U$105,$V$105,IF(L15=$U$106,$V$106,IF(L15=$U$107,$V$107,"Training"))))))))</f>
        <v>IB</v>
      </c>
      <c r="L15" s="86" t="s">
        <v>63</v>
      </c>
      <c r="M15" s="304"/>
      <c r="N15" s="306"/>
      <c r="O15" s="302" t="str">
        <f t="shared" ref="O15:O17" si="22">IF(P15="",".",P15)</f>
        <v>.</v>
      </c>
      <c r="P15" s="147"/>
      <c r="Q15" s="331"/>
      <c r="U15" s="165" t="str">
        <f>Mon!U15</f>
        <v>(EC)</v>
      </c>
      <c r="V15" s="9">
        <f t="shared" si="0"/>
        <v>3</v>
      </c>
      <c r="W15" s="36">
        <f>SUM(Mon!V15,Tue!V15,Wed!V15,Thur!V15,Fri!V15,Sat!V15)</f>
        <v>18</v>
      </c>
      <c r="X15" s="165" t="str">
        <f>Mon!U15</f>
        <v>(EC)</v>
      </c>
      <c r="Y15" s="20">
        <f t="shared" si="1"/>
        <v>1</v>
      </c>
      <c r="Z15" s="21">
        <f t="shared" si="2"/>
        <v>1</v>
      </c>
      <c r="AA15" s="21">
        <f t="shared" si="3"/>
        <v>0</v>
      </c>
      <c r="AB15" s="22">
        <f t="shared" si="4"/>
        <v>0</v>
      </c>
      <c r="AC15" s="25" t="str">
        <f t="shared" si="18"/>
        <v>IB (J)</v>
      </c>
      <c r="AD15" s="26" t="str">
        <f t="shared" si="19"/>
        <v xml:space="preserve"> </v>
      </c>
      <c r="AE15" s="26" t="str">
        <f t="shared" si="20"/>
        <v>IB (K)</v>
      </c>
      <c r="AF15" s="27" t="str">
        <f t="shared" si="21"/>
        <v xml:space="preserve"> </v>
      </c>
      <c r="AG15" s="178" t="str">
        <f t="shared" si="9"/>
        <v xml:space="preserve"> </v>
      </c>
      <c r="AH15" s="177" t="str">
        <f t="shared" si="10"/>
        <v>ED (E)</v>
      </c>
      <c r="AI15" s="177" t="str">
        <f t="shared" si="11"/>
        <v xml:space="preserve"> </v>
      </c>
      <c r="AJ15" s="180" t="str">
        <f t="shared" si="12"/>
        <v xml:space="preserve"> </v>
      </c>
      <c r="AK15" s="178" t="str">
        <f t="shared" si="13"/>
        <v xml:space="preserve"> </v>
      </c>
      <c r="AL15" s="177" t="str">
        <f t="shared" si="14"/>
        <v xml:space="preserve"> </v>
      </c>
      <c r="AM15" s="177" t="str">
        <f t="shared" si="15"/>
        <v xml:space="preserve"> </v>
      </c>
      <c r="AN15" s="179" t="str">
        <f t="shared" si="16"/>
        <v xml:space="preserve"> </v>
      </c>
    </row>
    <row r="16" spans="1:79" ht="18.75" customHeight="1" thickBot="1" x14ac:dyDescent="0.4">
      <c r="A16" s="374"/>
      <c r="B16" s="367" t="str">
        <f>Mon!B16</f>
        <v>HR+ED+PR+ECOM</v>
      </c>
      <c r="C16" s="368" t="s">
        <v>84</v>
      </c>
      <c r="D16" s="82"/>
      <c r="E16" s="83" t="str">
        <f>IF(F16=$W$100,$X$100,IF(F16=$W$101,$X$101,IF(F16=$W$102,$X$102,IF(F16=$W$103,$X$103,IF(F16=$W$104,$X$104,IF(F16=$W$105,$X$105,IF(F16=$W$106,$X$106,IF(F16=$W$107,$X$107,"Training"))))))))</f>
        <v>IT</v>
      </c>
      <c r="F16" s="85" t="s">
        <v>47</v>
      </c>
      <c r="G16" s="83" t="str">
        <f>IF(H16=$W$100,$X$100,IF(H16=$W$101,$X$101,IF(H16=$W$102,$X$102,IF(H16=$W$103,$X$103,IF(H16=$W$104,$X$104,IF(H16=$W$105,$X$105,IF(H16=$W$106,$X$106,IF(H16=$W$107,$X$107,"Training"))))))))</f>
        <v>CHRM</v>
      </c>
      <c r="H16" s="84" t="s">
        <v>118</v>
      </c>
      <c r="I16" s="375"/>
      <c r="J16" s="375"/>
      <c r="K16" s="83" t="str">
        <f>IF(L16=$W$100,$X$100,IF(L16=$W$101,$X$101,IF(L16=$W$102,$X$102,IF(L16=$W$103,$X$103,IF(L16=$W$104,$X$104,IF(L16=$W$105,$X$105,IF(L16=$W$106,$X$106,IF(L16=$W$107,$X$107,"Training"))))))))</f>
        <v>IHRM</v>
      </c>
      <c r="L16" s="85" t="s">
        <v>51</v>
      </c>
      <c r="M16" s="304"/>
      <c r="N16" s="306"/>
      <c r="O16" s="302" t="str">
        <f t="shared" si="22"/>
        <v>.</v>
      </c>
      <c r="P16" s="151"/>
      <c r="Q16" s="331"/>
      <c r="U16" s="165" t="str">
        <f>Mon!U16</f>
        <v>(HEM)</v>
      </c>
      <c r="V16" s="9">
        <f t="shared" si="0"/>
        <v>0</v>
      </c>
      <c r="W16" s="36">
        <f>SUM(Mon!V16,Tue!V16,Wed!V16,Thur!V16,Fri!V16,Sat!V16)</f>
        <v>3</v>
      </c>
      <c r="X16" s="165" t="str">
        <f>Mon!U16</f>
        <v>(HEM)</v>
      </c>
      <c r="Y16" s="20">
        <f t="shared" si="1"/>
        <v>0</v>
      </c>
      <c r="Z16" s="21">
        <f t="shared" si="2"/>
        <v>0</v>
      </c>
      <c r="AA16" s="21">
        <f t="shared" si="3"/>
        <v>0</v>
      </c>
      <c r="AB16" s="22">
        <f t="shared" si="4"/>
        <v>0</v>
      </c>
      <c r="AC16" s="25" t="str">
        <f t="shared" si="18"/>
        <v xml:space="preserve"> </v>
      </c>
      <c r="AD16" s="26" t="str">
        <f t="shared" si="19"/>
        <v xml:space="preserve"> </v>
      </c>
      <c r="AE16" s="26" t="str">
        <f t="shared" si="20"/>
        <v xml:space="preserve"> </v>
      </c>
      <c r="AF16" s="27" t="str">
        <f t="shared" si="21"/>
        <v xml:space="preserve"> </v>
      </c>
      <c r="AG16" s="178" t="str">
        <f t="shared" si="9"/>
        <v xml:space="preserve"> </v>
      </c>
      <c r="AH16" s="177" t="str">
        <f t="shared" si="10"/>
        <v xml:space="preserve"> </v>
      </c>
      <c r="AI16" s="177" t="str">
        <f t="shared" si="11"/>
        <v xml:space="preserve"> </v>
      </c>
      <c r="AJ16" s="180" t="str">
        <f t="shared" si="12"/>
        <v xml:space="preserve"> </v>
      </c>
      <c r="AK16" s="178" t="str">
        <f t="shared" si="13"/>
        <v xml:space="preserve"> </v>
      </c>
      <c r="AL16" s="177" t="str">
        <f t="shared" si="14"/>
        <v xml:space="preserve"> </v>
      </c>
      <c r="AM16" s="177" t="str">
        <f t="shared" si="15"/>
        <v xml:space="preserve"> </v>
      </c>
      <c r="AN16" s="179" t="str">
        <f t="shared" si="16"/>
        <v xml:space="preserve"> </v>
      </c>
    </row>
    <row r="17" spans="1:40" ht="18.75" customHeight="1" thickBot="1" x14ac:dyDescent="0.4">
      <c r="A17" s="374"/>
      <c r="B17" s="367"/>
      <c r="C17" s="368"/>
      <c r="D17" s="82"/>
      <c r="E17" s="298" t="str">
        <f>IF(F17="(LK)","LE",IF(F17="(ND)","ES",IF(F17="(DT)","EBO",IF(F17="(SP)","PR",""))))</f>
        <v/>
      </c>
      <c r="F17" s="34" t="str">
        <f>IF(F16="(RT)","(LK)",IF(F16="(SR)","(ND)",IF(F16="(EC)","(DT)",IF(F16="(BB)","(SP)",""))))</f>
        <v/>
      </c>
      <c r="G17" s="298" t="str">
        <f>IF(H17="(LK)","LE",IF(H17="(ND)","ES",IF(H17="(DT)","EBO",IF(H17="(SP)","PR",""))))</f>
        <v>LE</v>
      </c>
      <c r="H17" s="34" t="str">
        <f>IF(H16="(RT)","(LK)",IF(H16="(SR)","(ND)",IF(H16="(EC)","(DT)",IF(H16="(BB)","(SP)",""))))</f>
        <v>(LK)</v>
      </c>
      <c r="I17" s="375"/>
      <c r="J17" s="375"/>
      <c r="K17" s="298" t="str">
        <f>IF(L17="(LK)","LE",IF(L17="(ND)","ES",IF(L17="(DT)","EBO",IF(L17="(SP)","PR",""))))</f>
        <v>ES</v>
      </c>
      <c r="L17" s="79" t="str">
        <f>IF(L16="(RT)","(LK)",IF(L16="(SR)","(ND)",IF(L16="(EC)","(DT)",IF(L16="(BB)","(SP)",""))))</f>
        <v>(ND)</v>
      </c>
      <c r="M17" s="307"/>
      <c r="N17" s="308"/>
      <c r="O17" s="302" t="str">
        <f t="shared" si="22"/>
        <v>.</v>
      </c>
      <c r="P17" s="151"/>
      <c r="Q17" s="331"/>
      <c r="U17" s="165" t="str">
        <f>Mon!U17</f>
        <v>(HK)</v>
      </c>
      <c r="V17" s="9">
        <f t="shared" si="0"/>
        <v>0</v>
      </c>
      <c r="W17" s="36">
        <f>SUM(Mon!V17,Tue!V17,Wed!V17,Thur!V17,Fri!V17,Sat!V17)</f>
        <v>0</v>
      </c>
      <c r="X17" s="165" t="str">
        <f>Mon!U17</f>
        <v>(HK)</v>
      </c>
      <c r="Y17" s="20">
        <f t="shared" si="1"/>
        <v>0</v>
      </c>
      <c r="Z17" s="21">
        <f t="shared" si="2"/>
        <v>0</v>
      </c>
      <c r="AA17" s="21">
        <f t="shared" si="3"/>
        <v>0</v>
      </c>
      <c r="AB17" s="22">
        <f t="shared" si="4"/>
        <v>0</v>
      </c>
      <c r="AC17" s="25" t="str">
        <f t="shared" si="18"/>
        <v xml:space="preserve"> </v>
      </c>
      <c r="AD17" s="26" t="str">
        <f t="shared" si="19"/>
        <v xml:space="preserve"> </v>
      </c>
      <c r="AE17" s="26" t="str">
        <f t="shared" si="20"/>
        <v xml:space="preserve"> </v>
      </c>
      <c r="AF17" s="27" t="str">
        <f t="shared" si="21"/>
        <v xml:space="preserve"> </v>
      </c>
      <c r="AG17" s="178" t="str">
        <f t="shared" si="9"/>
        <v xml:space="preserve"> </v>
      </c>
      <c r="AH17" s="177" t="str">
        <f t="shared" si="10"/>
        <v xml:space="preserve"> </v>
      </c>
      <c r="AI17" s="177" t="str">
        <f t="shared" si="11"/>
        <v xml:space="preserve"> </v>
      </c>
      <c r="AJ17" s="180" t="str">
        <f t="shared" si="12"/>
        <v xml:space="preserve"> </v>
      </c>
      <c r="AK17" s="178" t="str">
        <f t="shared" si="13"/>
        <v xml:space="preserve"> </v>
      </c>
      <c r="AL17" s="177" t="str">
        <f t="shared" si="14"/>
        <v xml:space="preserve"> </v>
      </c>
      <c r="AM17" s="177" t="str">
        <f t="shared" si="15"/>
        <v xml:space="preserve"> </v>
      </c>
      <c r="AN17" s="179" t="str">
        <f t="shared" si="16"/>
        <v xml:space="preserve"> </v>
      </c>
    </row>
    <row r="18" spans="1:40" ht="18.75" customHeight="1" thickBot="1" x14ac:dyDescent="0.4">
      <c r="A18" s="374"/>
      <c r="B18" s="19" t="s">
        <v>87</v>
      </c>
      <c r="C18" s="98" t="s">
        <v>41</v>
      </c>
      <c r="D18" s="82"/>
      <c r="E18" s="81" t="s">
        <v>88</v>
      </c>
      <c r="F18" s="80" t="s">
        <v>89</v>
      </c>
      <c r="G18" s="81" t="s">
        <v>232</v>
      </c>
      <c r="H18" s="80" t="s">
        <v>233</v>
      </c>
      <c r="I18" s="375"/>
      <c r="J18" s="375"/>
      <c r="K18" s="81" t="s">
        <v>203</v>
      </c>
      <c r="L18" s="80" t="s">
        <v>100</v>
      </c>
      <c r="M18" s="309"/>
      <c r="N18" s="51"/>
      <c r="O18" s="302" t="str">
        <f t="shared" ref="O18" si="23">IF(P18="",".",P18)</f>
        <v>.</v>
      </c>
      <c r="P18" s="152"/>
      <c r="U18" s="165" t="str">
        <f>Mon!U18</f>
        <v>(JAY)</v>
      </c>
      <c r="V18" s="9">
        <f t="shared" si="0"/>
        <v>2</v>
      </c>
      <c r="W18" s="36">
        <f>SUM(Mon!V18,Tue!V18,Wed!V18,Thur!V18,Fri!V18,Sat!V18)</f>
        <v>18</v>
      </c>
      <c r="X18" s="165" t="str">
        <f>Mon!U18</f>
        <v>(JAY)</v>
      </c>
      <c r="Y18" s="20">
        <f t="shared" si="1"/>
        <v>0</v>
      </c>
      <c r="Z18" s="21">
        <f t="shared" si="2"/>
        <v>2</v>
      </c>
      <c r="AA18" s="21">
        <f t="shared" si="3"/>
        <v>0</v>
      </c>
      <c r="AB18" s="22">
        <f t="shared" si="4"/>
        <v>0</v>
      </c>
      <c r="AC18" s="25" t="str">
        <f t="shared" si="18"/>
        <v xml:space="preserve"> </v>
      </c>
      <c r="AD18" s="26" t="str">
        <f t="shared" si="19"/>
        <v xml:space="preserve"> </v>
      </c>
      <c r="AE18" s="26" t="str">
        <f t="shared" si="20"/>
        <v xml:space="preserve"> </v>
      </c>
      <c r="AF18" s="27" t="str">
        <f t="shared" si="21"/>
        <v xml:space="preserve"> </v>
      </c>
      <c r="AG18" s="178" t="str">
        <f t="shared" si="9"/>
        <v xml:space="preserve"> </v>
      </c>
      <c r="AH18" s="177" t="str">
        <f t="shared" si="10"/>
        <v xml:space="preserve"> </v>
      </c>
      <c r="AI18" s="177" t="str">
        <f t="shared" si="11"/>
        <v xml:space="preserve"> </v>
      </c>
      <c r="AJ18" s="180" t="str">
        <f t="shared" si="12"/>
        <v xml:space="preserve"> </v>
      </c>
      <c r="AK18" s="178" t="str">
        <f t="shared" si="13"/>
        <v xml:space="preserve"> </v>
      </c>
      <c r="AL18" s="177" t="str">
        <f t="shared" si="14"/>
        <v>BT (I)</v>
      </c>
      <c r="AM18" s="177" t="str">
        <f t="shared" si="15"/>
        <v xml:space="preserve"> </v>
      </c>
      <c r="AN18" s="179" t="str">
        <f t="shared" si="16"/>
        <v xml:space="preserve"> </v>
      </c>
    </row>
    <row r="19" spans="1:40" ht="18.75" customHeight="1" thickBot="1" x14ac:dyDescent="0.4">
      <c r="A19" s="374"/>
      <c r="B19" s="99" t="s">
        <v>87</v>
      </c>
      <c r="C19" s="18" t="s">
        <v>49</v>
      </c>
      <c r="D19" s="82"/>
      <c r="E19" s="83" t="s">
        <v>203</v>
      </c>
      <c r="F19" s="85" t="s">
        <v>100</v>
      </c>
      <c r="G19" s="83" t="s">
        <v>232</v>
      </c>
      <c r="H19" s="85" t="s">
        <v>233</v>
      </c>
      <c r="I19" s="375"/>
      <c r="J19" s="375"/>
      <c r="K19" s="83" t="s">
        <v>96</v>
      </c>
      <c r="L19" s="85"/>
      <c r="M19" s="309"/>
      <c r="N19" s="51"/>
      <c r="O19" s="124"/>
      <c r="U19" s="165" t="str">
        <f>Mon!U19</f>
        <v>(KM)</v>
      </c>
      <c r="V19" s="9">
        <f t="shared" si="0"/>
        <v>2</v>
      </c>
      <c r="W19" s="36">
        <f>SUM(Mon!V19,Tue!V19,Wed!V19,Thur!V19,Fri!V19,Sat!V19)</f>
        <v>18</v>
      </c>
      <c r="X19" s="165" t="str">
        <f>Mon!U19</f>
        <v>(KM)</v>
      </c>
      <c r="Y19" s="20">
        <f t="shared" si="1"/>
        <v>1</v>
      </c>
      <c r="Z19" s="21">
        <f t="shared" si="2"/>
        <v>1</v>
      </c>
      <c r="AA19" s="21">
        <f t="shared" si="3"/>
        <v>0</v>
      </c>
      <c r="AB19" s="22">
        <f t="shared" si="4"/>
        <v>0</v>
      </c>
      <c r="AC19" s="25" t="str">
        <f t="shared" si="18"/>
        <v>CB (I)</v>
      </c>
      <c r="AD19" s="26" t="str">
        <f t="shared" si="19"/>
        <v>CB (G)</v>
      </c>
      <c r="AE19" s="26" t="str">
        <f t="shared" si="20"/>
        <v xml:space="preserve"> </v>
      </c>
      <c r="AF19" s="27" t="str">
        <f t="shared" si="21"/>
        <v xml:space="preserve"> </v>
      </c>
      <c r="AG19" s="178" t="str">
        <f t="shared" si="9"/>
        <v xml:space="preserve"> </v>
      </c>
      <c r="AH19" s="177" t="str">
        <f t="shared" si="10"/>
        <v xml:space="preserve"> </v>
      </c>
      <c r="AI19" s="177" t="str">
        <f t="shared" si="11"/>
        <v xml:space="preserve"> </v>
      </c>
      <c r="AJ19" s="180" t="str">
        <f t="shared" si="12"/>
        <v xml:space="preserve"> </v>
      </c>
      <c r="AK19" s="178" t="str">
        <f t="shared" si="13"/>
        <v xml:space="preserve"> </v>
      </c>
      <c r="AL19" s="177" t="str">
        <f t="shared" si="14"/>
        <v xml:space="preserve"> </v>
      </c>
      <c r="AM19" s="177" t="str">
        <f t="shared" si="15"/>
        <v xml:space="preserve"> </v>
      </c>
      <c r="AN19" s="179" t="str">
        <f t="shared" si="16"/>
        <v xml:space="preserve"> </v>
      </c>
    </row>
    <row r="20" spans="1:40" ht="18.75" customHeight="1" thickBot="1" x14ac:dyDescent="0.4">
      <c r="A20" s="173" t="s">
        <v>26</v>
      </c>
      <c r="B20" s="299"/>
      <c r="C20" s="94" t="s">
        <v>27</v>
      </c>
      <c r="D20" s="95"/>
      <c r="E20" s="352" t="s">
        <v>28</v>
      </c>
      <c r="F20" s="353"/>
      <c r="G20" s="354" t="s">
        <v>29</v>
      </c>
      <c r="H20" s="353"/>
      <c r="I20" s="354" t="s">
        <v>30</v>
      </c>
      <c r="J20" s="353"/>
      <c r="K20" s="354" t="s">
        <v>31</v>
      </c>
      <c r="L20" s="353"/>
      <c r="M20" s="354"/>
      <c r="N20" s="358"/>
      <c r="O20" s="124"/>
      <c r="P20" t="s">
        <v>239</v>
      </c>
      <c r="U20" s="165" t="str">
        <f>Mon!U20</f>
        <v>(KR)</v>
      </c>
      <c r="V20" s="9">
        <f t="shared" si="0"/>
        <v>2</v>
      </c>
      <c r="W20" s="36">
        <f>SUM(Mon!V20,Tue!V20,Wed!V20,Thur!V20,Fri!V20,Sat!V20)</f>
        <v>14</v>
      </c>
      <c r="X20" s="165" t="str">
        <f>Mon!U20</f>
        <v>(KR)</v>
      </c>
      <c r="Y20" s="20">
        <f t="shared" si="1"/>
        <v>0</v>
      </c>
      <c r="Z20" s="21">
        <f t="shared" si="2"/>
        <v>1</v>
      </c>
      <c r="AA20" s="21">
        <f t="shared" si="3"/>
        <v>1</v>
      </c>
      <c r="AB20" s="22">
        <f t="shared" si="4"/>
        <v>0</v>
      </c>
      <c r="AC20" s="25" t="str">
        <f t="shared" si="18"/>
        <v xml:space="preserve"> </v>
      </c>
      <c r="AD20" s="26" t="str">
        <f t="shared" si="19"/>
        <v>MA (A)</v>
      </c>
      <c r="AE20" s="26" t="str">
        <f t="shared" si="20"/>
        <v xml:space="preserve"> </v>
      </c>
      <c r="AF20" s="27" t="str">
        <f t="shared" si="21"/>
        <v xml:space="preserve"> </v>
      </c>
      <c r="AG20" s="178" t="str">
        <f t="shared" si="9"/>
        <v xml:space="preserve"> </v>
      </c>
      <c r="AH20" s="177" t="str">
        <f t="shared" si="10"/>
        <v xml:space="preserve"> </v>
      </c>
      <c r="AI20" s="177" t="str">
        <f t="shared" si="11"/>
        <v>CA (G)</v>
      </c>
      <c r="AJ20" s="180" t="str">
        <f t="shared" si="12"/>
        <v xml:space="preserve"> </v>
      </c>
      <c r="AK20" s="178" t="str">
        <f t="shared" si="13"/>
        <v xml:space="preserve"> </v>
      </c>
      <c r="AL20" s="177" t="str">
        <f t="shared" si="14"/>
        <v xml:space="preserve"> </v>
      </c>
      <c r="AM20" s="177" t="str">
        <f t="shared" si="15"/>
        <v xml:space="preserve"> </v>
      </c>
      <c r="AN20" s="179" t="str">
        <f t="shared" si="16"/>
        <v xml:space="preserve"> </v>
      </c>
    </row>
    <row r="21" spans="1:40" ht="18.75" customHeight="1" thickBot="1" x14ac:dyDescent="0.4">
      <c r="A21" s="343">
        <v>3</v>
      </c>
      <c r="B21" s="100" t="str">
        <f>Mon!B21</f>
        <v>CM+OP</v>
      </c>
      <c r="C21" s="330" t="s">
        <v>41</v>
      </c>
      <c r="D21" s="98"/>
      <c r="E21" s="33" t="str">
        <f>IF(F21=$A$88,$B$88,IF(F21=$A$89,$B$89,IF(F21=$A$90,$B$90,IF(F21=$A$91,$B$91,IF(F21=$A$92,$B$92,IF(F21=$A$93,$B$93,IF(F21=$A$94,$B$94,IF(F21=$A$95,$B$95,"Training"))))))))</f>
        <v>EVS</v>
      </c>
      <c r="F21" s="34" t="s">
        <v>104</v>
      </c>
      <c r="G21" s="33" t="str">
        <f>IF(H21=$A$88,$B$88,IF(H21=$A$89,$B$89,IF(H21=$A$90,$B$90,IF(H21=$A$91,$B$91,IF(H21=$A$92,$B$92,IF(H21=$A$93,$B$93,IF(H21=$A$94,$B$94,IF(H21=$A$95,$B$95,"Training"))))))))</f>
        <v>CM</v>
      </c>
      <c r="H21" s="34" t="s">
        <v>46</v>
      </c>
      <c r="I21" s="346" t="s">
        <v>143</v>
      </c>
      <c r="J21" s="347"/>
      <c r="K21" s="33" t="str">
        <f>IF(L21=$A$88,$B$88,IF(L21=$A$89,$B$89,IF(L21=$A$90,$B$90,IF(L21=$A$91,$B$91,IF(L21=$A$92,$B$92,IF(L21=$A$93,$B$93,IF(L21=$A$94,$B$94,IF(L21=$A$95,$B$95,"Training"))))))))</f>
        <v>CA</v>
      </c>
      <c r="L21" s="34" t="s">
        <v>57</v>
      </c>
      <c r="M21" s="312"/>
      <c r="N21" s="313"/>
      <c r="O21" s="124"/>
      <c r="P21" t="s">
        <v>240</v>
      </c>
      <c r="U21" s="165" t="str">
        <f>Mon!U21</f>
        <v>(LK)</v>
      </c>
      <c r="V21" s="9">
        <f t="shared" si="0"/>
        <v>3</v>
      </c>
      <c r="W21" s="36">
        <f>SUM(Mon!V21,Tue!V21,Wed!V21,Thur!V21,Fri!V21,Sat!V21)</f>
        <v>18</v>
      </c>
      <c r="X21" s="165" t="str">
        <f>Mon!U21</f>
        <v>(LK)</v>
      </c>
      <c r="Y21" s="20">
        <f t="shared" si="1"/>
        <v>1</v>
      </c>
      <c r="Z21" s="21">
        <f t="shared" si="2"/>
        <v>1</v>
      </c>
      <c r="AA21" s="21">
        <f t="shared" si="3"/>
        <v>0</v>
      </c>
      <c r="AB21" s="22">
        <f t="shared" si="4"/>
        <v>0</v>
      </c>
      <c r="AC21" s="25" t="str">
        <f t="shared" si="18"/>
        <v>MIP (H)</v>
      </c>
      <c r="AD21" s="26" t="str">
        <f t="shared" si="19"/>
        <v>LE (L)</v>
      </c>
      <c r="AE21" s="26" t="str">
        <f t="shared" si="20"/>
        <v>MIP (I)</v>
      </c>
      <c r="AF21" s="27" t="str">
        <f t="shared" si="21"/>
        <v xml:space="preserve"> </v>
      </c>
      <c r="AG21" s="178" t="str">
        <f t="shared" si="9"/>
        <v xml:space="preserve"> </v>
      </c>
      <c r="AH21" s="177" t="str">
        <f t="shared" si="10"/>
        <v xml:space="preserve"> </v>
      </c>
      <c r="AI21" s="177" t="str">
        <f t="shared" si="11"/>
        <v xml:space="preserve"> </v>
      </c>
      <c r="AJ21" s="180" t="str">
        <f t="shared" si="12"/>
        <v xml:space="preserve"> </v>
      </c>
      <c r="AK21" s="178" t="str">
        <f t="shared" si="13"/>
        <v xml:space="preserve"> </v>
      </c>
      <c r="AL21" s="177" t="str">
        <f t="shared" si="14"/>
        <v xml:space="preserve"> </v>
      </c>
      <c r="AM21" s="177" t="str">
        <f t="shared" si="15"/>
        <v xml:space="preserve"> </v>
      </c>
      <c r="AN21" s="179" t="str">
        <f t="shared" si="16"/>
        <v xml:space="preserve"> </v>
      </c>
    </row>
    <row r="22" spans="1:40" ht="18.75" customHeight="1" thickBot="1" x14ac:dyDescent="0.4">
      <c r="A22" s="344"/>
      <c r="B22" s="100" t="str">
        <f>Mon!B22</f>
        <v>CM+OP</v>
      </c>
      <c r="C22" s="98" t="s">
        <v>49</v>
      </c>
      <c r="D22" s="98"/>
      <c r="E22" s="6" t="str">
        <f>IF(F22=$C$88,$D$88,IF(F22=$C$89,$D$89,IF(F22=$C$90,$D$90,IF(F22=$C$91,$D$91,IF(F22=$C$92,$D$92,IF(F22=$C$93,$D$93,IF(F22=$C$94,$D$94,IF(F22=$C$95,$D$95,"Training"))))))))</f>
        <v>CM</v>
      </c>
      <c r="F22" s="7" t="s">
        <v>107</v>
      </c>
      <c r="G22" s="6" t="str">
        <f>IF(H22=$C$88,$D$88,IF(H22=$C$89,$D$89,IF(H22=$C$90,$D$90,IF(H22=$C$91,$D$91,IF(H22=$C$92,$D$92,IF(H22=$C$93,$D$93,IF(H22=$C$94,$D$94,IF(H22=$C$95,$D$95,"Training"))))))))</f>
        <v>MM</v>
      </c>
      <c r="H22" s="7" t="s">
        <v>74</v>
      </c>
      <c r="I22" s="348"/>
      <c r="J22" s="349"/>
      <c r="K22" s="6" t="str">
        <f>IF(L22=$C$88,$D$88,IF(L22=$C$89,$D$89,IF(L22=$C$90,$D$90,IF(L22=$C$91,$D$91,IF(L22=$C$92,$D$92,IF(L22=$C$93,$D$93,IF(L22=$C$94,$D$94,IF(L22=$C$95,$D$95,"Training"))))))))</f>
        <v>OP</v>
      </c>
      <c r="L22" s="11" t="s">
        <v>109</v>
      </c>
      <c r="M22" s="304"/>
      <c r="N22" s="29"/>
      <c r="O22" s="311"/>
      <c r="U22" s="165" t="str">
        <f>Mon!U22</f>
        <v>(LV)</v>
      </c>
      <c r="V22" s="9">
        <f t="shared" si="0"/>
        <v>2</v>
      </c>
      <c r="W22" s="36">
        <f>SUM(Mon!V22,Tue!V22,Wed!V22,Thur!V22,Fri!V22,Sat!V22)</f>
        <v>17</v>
      </c>
      <c r="X22" s="165" t="str">
        <f>Mon!U22</f>
        <v>(LV)</v>
      </c>
      <c r="Y22" s="20">
        <f t="shared" si="1"/>
        <v>1</v>
      </c>
      <c r="Z22" s="21">
        <f t="shared" si="2"/>
        <v>1</v>
      </c>
      <c r="AA22" s="21">
        <f t="shared" si="3"/>
        <v>0</v>
      </c>
      <c r="AB22" s="22">
        <f t="shared" si="4"/>
        <v>0</v>
      </c>
      <c r="AC22" s="25" t="str">
        <f t="shared" si="18"/>
        <v xml:space="preserve"> </v>
      </c>
      <c r="AD22" s="26" t="str">
        <f t="shared" si="19"/>
        <v xml:space="preserve"> </v>
      </c>
      <c r="AE22" s="26" t="str">
        <f t="shared" si="20"/>
        <v xml:space="preserve"> </v>
      </c>
      <c r="AF22" s="27" t="str">
        <f t="shared" si="21"/>
        <v xml:space="preserve"> </v>
      </c>
      <c r="AG22" s="178" t="str">
        <f t="shared" si="9"/>
        <v>ED (L)</v>
      </c>
      <c r="AH22" s="177" t="str">
        <f t="shared" si="10"/>
        <v>ED (H)</v>
      </c>
      <c r="AI22" s="177" t="str">
        <f t="shared" si="11"/>
        <v xml:space="preserve"> </v>
      </c>
      <c r="AJ22" s="180" t="str">
        <f t="shared" si="12"/>
        <v xml:space="preserve"> </v>
      </c>
      <c r="AK22" s="178" t="str">
        <f t="shared" si="13"/>
        <v xml:space="preserve"> </v>
      </c>
      <c r="AL22" s="177" t="str">
        <f t="shared" si="14"/>
        <v xml:space="preserve"> </v>
      </c>
      <c r="AM22" s="177" t="str">
        <f t="shared" si="15"/>
        <v xml:space="preserve"> </v>
      </c>
      <c r="AN22" s="179" t="str">
        <f t="shared" si="16"/>
        <v xml:space="preserve"> </v>
      </c>
    </row>
    <row r="23" spans="1:40" ht="18.75" customHeight="1" thickBot="1" x14ac:dyDescent="0.4">
      <c r="A23" s="344"/>
      <c r="B23" s="100" t="str">
        <f>Mon!B23</f>
        <v>CM+OP</v>
      </c>
      <c r="C23" s="98" t="s">
        <v>55</v>
      </c>
      <c r="D23" s="98"/>
      <c r="E23" s="6" t="str">
        <f>IF(F23=$E$88,$F$88,IF(F23=$E$89,$F$89,IF(F23=$E$90,$F$90,IF(F23=$E$91,$F$91,IF(F23=$E$92,$F$92,IF(F23=$E$93,$F$93,IF(F23=$E$94,$F$94,IF(F23=$E$95,$F$95,"Training"))))))))</f>
        <v>HR</v>
      </c>
      <c r="F23" s="7" t="s">
        <v>61</v>
      </c>
      <c r="G23" s="6" t="str">
        <f>IF(H23=$E$88,$F$88,IF(H23=$E$89,$F$89,IF(H23=$E$90,$F$90,IF(H23=$E$91,$F$91,IF(H23=$E$92,$F$92,IF(H23=$E$93,$F$93,IF(H23=$E$94,$F$94,IF(H23=$E$95,$F$95,"Training"))))))))</f>
        <v>OP</v>
      </c>
      <c r="H23" s="7" t="s">
        <v>119</v>
      </c>
      <c r="I23" s="348"/>
      <c r="J23" s="349"/>
      <c r="K23" s="6" t="str">
        <f>IF(L23=$E$88,$F$88,IF(L23=$E$89,$F$89,IF(L23=$E$90,$F$90,IF(L23=$E$91,$F$91,IF(L23=$E$92,$F$92,IF(L23=$E$93,$F$93,IF(L23=$E$94,$F$94,IF(L23=$E$95,$F$95,"Training"))))))))</f>
        <v>ED</v>
      </c>
      <c r="L23" s="11" t="s">
        <v>53</v>
      </c>
      <c r="M23" s="304"/>
      <c r="N23" s="306"/>
      <c r="O23" s="311"/>
      <c r="U23" s="165" t="str">
        <f>Mon!U23</f>
        <v>(MB)</v>
      </c>
      <c r="V23" s="9">
        <f t="shared" si="0"/>
        <v>2</v>
      </c>
      <c r="W23" s="36">
        <f>SUM(Mon!V23,Tue!V23,Wed!V23,Thur!V23,Fri!V23,Sat!V23)</f>
        <v>17</v>
      </c>
      <c r="X23" s="165" t="str">
        <f>Mon!U23</f>
        <v>(MB)</v>
      </c>
      <c r="Y23" s="20">
        <f t="shared" si="1"/>
        <v>0</v>
      </c>
      <c r="Z23" s="21">
        <f t="shared" si="2"/>
        <v>1</v>
      </c>
      <c r="AA23" s="21">
        <f t="shared" si="3"/>
        <v>1</v>
      </c>
      <c r="AB23" s="22">
        <f t="shared" si="4"/>
        <v>0</v>
      </c>
      <c r="AC23" s="25" t="str">
        <f t="shared" si="18"/>
        <v xml:space="preserve"> </v>
      </c>
      <c r="AD23" s="26" t="str">
        <f t="shared" si="19"/>
        <v xml:space="preserve"> </v>
      </c>
      <c r="AE23" s="26" t="str">
        <f t="shared" si="20"/>
        <v xml:space="preserve"> </v>
      </c>
      <c r="AF23" s="27" t="str">
        <f t="shared" si="21"/>
        <v xml:space="preserve"> </v>
      </c>
      <c r="AG23" s="178" t="str">
        <f t="shared" si="9"/>
        <v xml:space="preserve"> </v>
      </c>
      <c r="AH23" s="177" t="str">
        <f t="shared" si="10"/>
        <v>EVS (D)</v>
      </c>
      <c r="AI23" s="177" t="str">
        <f t="shared" si="11"/>
        <v>CP (H)</v>
      </c>
      <c r="AJ23" s="180" t="str">
        <f t="shared" si="12"/>
        <v xml:space="preserve"> </v>
      </c>
      <c r="AK23" s="178" t="str">
        <f t="shared" si="13"/>
        <v xml:space="preserve"> </v>
      </c>
      <c r="AL23" s="177" t="str">
        <f t="shared" si="14"/>
        <v xml:space="preserve"> </v>
      </c>
      <c r="AM23" s="177" t="str">
        <f t="shared" si="15"/>
        <v xml:space="preserve"> </v>
      </c>
      <c r="AN23" s="179" t="str">
        <f t="shared" si="16"/>
        <v xml:space="preserve"> </v>
      </c>
    </row>
    <row r="24" spans="1:40" ht="18.75" customHeight="1" thickBot="1" x14ac:dyDescent="0.4">
      <c r="A24" s="344"/>
      <c r="B24" s="100" t="str">
        <f>Mon!B24</f>
        <v>CM+OP</v>
      </c>
      <c r="C24" s="98" t="s">
        <v>37</v>
      </c>
      <c r="D24" s="98"/>
      <c r="E24" s="6" t="str">
        <f>IF(F24=$G$88,$H$88,IF(F24=$G$89,$H$89,IF(F24=$G$90,$H$90,IF(F24=$G$91,$H$91,IF(F24=$G$92,$H$92,IF(F24=$G$93,$H$93,IF(F24=$G$94,$H$94,IF(F24=$G$95,$H$95,"Training"))))))))</f>
        <v>CA</v>
      </c>
      <c r="F24" s="5" t="s">
        <v>60</v>
      </c>
      <c r="G24" s="6" t="str">
        <f>IF(H24=$G$88,$H$88,IF(H24=$G$89,$H$89,IF(H24=$G$90,$H$90,IF(H24=$G$91,$H$91,IF(H24=$G$92,$H$92,IF(H24=$G$93,$H$93,IF(H24=$G$94,$H$94,IF(H24=$G$95,$H$95,"Training"))))))))</f>
        <v>EVS</v>
      </c>
      <c r="H24" s="5" t="s">
        <v>105</v>
      </c>
      <c r="I24" s="348"/>
      <c r="J24" s="349"/>
      <c r="K24" s="6" t="str">
        <f>IF(L24=$G$88,$H$88,IF(L24=$G$89,$H$89,IF(L24=$G$90,$H$90,IF(L24=$G$91,$H$91,IF(L24=$G$92,$H$92,IF(L24=$G$93,$H$93,IF(L24=$G$94,$H$94,IF(L24=$G$95,$H$95,"Training"))))))))</f>
        <v>OP</v>
      </c>
      <c r="L24" s="310" t="s">
        <v>114</v>
      </c>
      <c r="M24" s="304"/>
      <c r="N24" s="308"/>
      <c r="O24" s="311"/>
      <c r="U24" s="165" t="str">
        <f>Mon!U24</f>
        <v>(MEG)</v>
      </c>
      <c r="V24" s="9">
        <f t="shared" si="0"/>
        <v>3</v>
      </c>
      <c r="W24" s="36">
        <f>SUM(Mon!V24,Tue!V24,Wed!V24,Thur!V24,Fri!V24,Sat!V24)</f>
        <v>16</v>
      </c>
      <c r="X24" s="165" t="str">
        <f>Mon!U24</f>
        <v>(MEG)</v>
      </c>
      <c r="Y24" s="20">
        <f t="shared" si="1"/>
        <v>1</v>
      </c>
      <c r="Z24" s="21">
        <f t="shared" si="2"/>
        <v>1</v>
      </c>
      <c r="AA24" s="21">
        <f t="shared" si="3"/>
        <v>0</v>
      </c>
      <c r="AB24" s="22">
        <f t="shared" si="4"/>
        <v>0</v>
      </c>
      <c r="AC24" s="25" t="str">
        <f t="shared" si="18"/>
        <v xml:space="preserve"> </v>
      </c>
      <c r="AD24" s="26" t="str">
        <f t="shared" si="19"/>
        <v xml:space="preserve"> </v>
      </c>
      <c r="AE24" s="26" t="str">
        <f t="shared" si="20"/>
        <v>MA (D)</v>
      </c>
      <c r="AF24" s="27" t="str">
        <f t="shared" si="21"/>
        <v xml:space="preserve"> </v>
      </c>
      <c r="AG24" s="178" t="str">
        <f t="shared" si="9"/>
        <v>CA (D)</v>
      </c>
      <c r="AH24" s="177" t="str">
        <f t="shared" si="10"/>
        <v>CA (L)</v>
      </c>
      <c r="AI24" s="177" t="str">
        <f t="shared" si="11"/>
        <v xml:space="preserve"> </v>
      </c>
      <c r="AJ24" s="180" t="str">
        <f t="shared" si="12"/>
        <v xml:space="preserve"> </v>
      </c>
      <c r="AK24" s="178" t="str">
        <f t="shared" si="13"/>
        <v xml:space="preserve"> </v>
      </c>
      <c r="AL24" s="177" t="str">
        <f t="shared" si="14"/>
        <v xml:space="preserve"> </v>
      </c>
      <c r="AM24" s="177" t="str">
        <f t="shared" si="15"/>
        <v xml:space="preserve"> </v>
      </c>
      <c r="AN24" s="179" t="str">
        <f t="shared" si="16"/>
        <v xml:space="preserve"> </v>
      </c>
    </row>
    <row r="25" spans="1:40" ht="18.75" customHeight="1" thickBot="1" x14ac:dyDescent="0.4">
      <c r="A25" s="344"/>
      <c r="B25" s="100" t="str">
        <f>Mon!B25</f>
        <v>CM+OP</v>
      </c>
      <c r="C25" s="98" t="s">
        <v>38</v>
      </c>
      <c r="D25" s="98"/>
      <c r="E25" s="6" t="str">
        <f>IF(F25=$I$88,$J$88,IF(F25=$I$89,$J$89,IF(F25=$I$90,$J$90,IF(F25=$I$91,$J$91,IF(F25=$I$92,$J$92,IF(F25=$I$93,$J$93,IF(F25=$I$94,$J$94,IF(F25=$I$95,$J$95,"Training"))))))))</f>
        <v>CA</v>
      </c>
      <c r="F25" s="5" t="s">
        <v>112</v>
      </c>
      <c r="G25" s="6" t="str">
        <f>IF(H25=$I$88,$J$88,IF(H25=$I$89,$J$89,IF(H25=$I$90,$J$90,IF(H25=$I$91,$J$91,IF(H25=$I$92,$J$92,IF(H25=$I$93,$J$93,IF(H25=$I$94,$J$94,IF(H25=$I$95,$J$95,"Training"))))))))</f>
        <v>ED</v>
      </c>
      <c r="H25" s="5" t="s">
        <v>63</v>
      </c>
      <c r="I25" s="348"/>
      <c r="J25" s="349"/>
      <c r="K25" s="6" t="str">
        <f>IF(L25=$I$88,$J$88,IF(L25=$I$89,$J$89,IF(L25=$I$90,$J$90,IF(L25=$I$91,$J$91,IF(L25=$I$92,$J$92,IF(L25=$I$93,$J$93,IF(L25=$I$94,$J$94,IF(L25=$I$95,$J$95,"Training"))))))))</f>
        <v>HR</v>
      </c>
      <c r="L25" s="310" t="s">
        <v>104</v>
      </c>
      <c r="M25" s="304"/>
      <c r="N25" s="308"/>
      <c r="O25" s="311"/>
      <c r="U25" s="165" t="str">
        <f>Mon!U25</f>
        <v>(MH)</v>
      </c>
      <c r="V25" s="9">
        <f t="shared" si="0"/>
        <v>1</v>
      </c>
      <c r="W25" s="36">
        <f>SUM(Mon!V25,Tue!V25,Wed!V25,Thur!V25,Fri!V25,Sat!V25)</f>
        <v>15</v>
      </c>
      <c r="X25" s="165" t="str">
        <f>Mon!U25</f>
        <v>(MH)</v>
      </c>
      <c r="Y25" s="20">
        <f t="shared" si="1"/>
        <v>1</v>
      </c>
      <c r="Z25" s="21">
        <f t="shared" si="2"/>
        <v>0</v>
      </c>
      <c r="AA25" s="21">
        <f t="shared" si="3"/>
        <v>0</v>
      </c>
      <c r="AB25" s="22">
        <f t="shared" si="4"/>
        <v>0</v>
      </c>
      <c r="AC25" s="25" t="str">
        <f t="shared" si="18"/>
        <v xml:space="preserve"> </v>
      </c>
      <c r="AD25" s="26" t="str">
        <f t="shared" si="19"/>
        <v xml:space="preserve"> </v>
      </c>
      <c r="AE25" s="26" t="str">
        <f t="shared" si="20"/>
        <v xml:space="preserve"> </v>
      </c>
      <c r="AF25" s="27" t="str">
        <f t="shared" si="21"/>
        <v xml:space="preserve"> </v>
      </c>
      <c r="AG25" s="178" t="str">
        <f t="shared" si="9"/>
        <v>SP (N)</v>
      </c>
      <c r="AH25" s="177" t="str">
        <f t="shared" si="10"/>
        <v xml:space="preserve"> </v>
      </c>
      <c r="AI25" s="177" t="str">
        <f t="shared" si="11"/>
        <v xml:space="preserve"> </v>
      </c>
      <c r="AJ25" s="180" t="str">
        <f t="shared" si="12"/>
        <v xml:space="preserve"> </v>
      </c>
      <c r="AK25" s="178" t="str">
        <f t="shared" si="13"/>
        <v xml:space="preserve"> </v>
      </c>
      <c r="AL25" s="177" t="str">
        <f t="shared" si="14"/>
        <v xml:space="preserve"> </v>
      </c>
      <c r="AM25" s="177" t="str">
        <f t="shared" si="15"/>
        <v xml:space="preserve"> </v>
      </c>
      <c r="AN25" s="179" t="str">
        <f t="shared" si="16"/>
        <v xml:space="preserve"> </v>
      </c>
    </row>
    <row r="26" spans="1:40" ht="18.75" customHeight="1" thickBot="1" x14ac:dyDescent="0.4">
      <c r="A26" s="344"/>
      <c r="B26" s="100" t="str">
        <f>Mon!B26</f>
        <v>CM+OP</v>
      </c>
      <c r="C26" s="98" t="s">
        <v>65</v>
      </c>
      <c r="D26" s="98"/>
      <c r="E26" s="6" t="str">
        <f>IF(F26=$K$88,$L$88,IF(F26=$K$89,$L$89,IF(F26=$K$90,$L$90,IF(F26=$K$91,$L$91,IF(F26=$K$92,$L$92,IF(F26=$K$93,$L$93,IF(F26=$K$94,$L$94,IF(F26=$K$95,$L$95,"Training"))))))))</f>
        <v>EVS</v>
      </c>
      <c r="F26" s="5" t="s">
        <v>111</v>
      </c>
      <c r="G26" s="6" t="str">
        <f>IF(H26=$K$88,$L$88,IF(H26=$K$89,$L$89,IF(H26=$K$90,$L$90,IF(H26=$K$91,$L$91,IF(H26=$K$92,$L$92,IF(H26=$K$93,$L$93,IF(H26=$K$94,$L$94,IF(H26=$K$95,$L$95,"Training"))))))))</f>
        <v>CM</v>
      </c>
      <c r="H26" s="5" t="s">
        <v>107</v>
      </c>
      <c r="I26" s="348"/>
      <c r="J26" s="349"/>
      <c r="K26" s="6" t="str">
        <f>IF(L26=$K$88,$L$88,IF(L26=$K$89,$L$89,IF(L26=$K$90,$L$90,IF(L26=$K$91,$L$91,IF(L26=$K$92,$L$92,IF(L26=$K$93,$L$93,IF(L26=$K$94,$L$94,IF(L26=$K$95,$L$95,"Training"))))))))</f>
        <v>CA</v>
      </c>
      <c r="L26" s="310" t="s">
        <v>110</v>
      </c>
      <c r="M26" s="304"/>
      <c r="N26" s="308"/>
      <c r="O26" s="311"/>
      <c r="Q26" s="29"/>
      <c r="R26" s="29"/>
      <c r="U26" s="165" t="str">
        <f>Mon!U26</f>
        <v>(MK)</v>
      </c>
      <c r="V26" s="9">
        <f t="shared" si="0"/>
        <v>2</v>
      </c>
      <c r="W26" s="36">
        <f>SUM(Mon!V26,Tue!V26,Wed!V26,Thur!V26,Fri!V26,Sat!V26)</f>
        <v>18</v>
      </c>
      <c r="X26" s="165" t="str">
        <f>Mon!U26</f>
        <v>(MK)</v>
      </c>
      <c r="Y26" s="20">
        <f t="shared" si="1"/>
        <v>0</v>
      </c>
      <c r="Z26" s="21">
        <f t="shared" si="2"/>
        <v>2</v>
      </c>
      <c r="AA26" s="21">
        <f t="shared" si="3"/>
        <v>0</v>
      </c>
      <c r="AB26" s="22">
        <f t="shared" si="4"/>
        <v>0</v>
      </c>
      <c r="AC26" s="25" t="str">
        <f t="shared" si="18"/>
        <v xml:space="preserve"> </v>
      </c>
      <c r="AD26" s="26" t="str">
        <f t="shared" si="19"/>
        <v xml:space="preserve"> </v>
      </c>
      <c r="AE26" s="26" t="str">
        <f t="shared" si="20"/>
        <v xml:space="preserve"> </v>
      </c>
      <c r="AF26" s="27" t="str">
        <f t="shared" si="21"/>
        <v xml:space="preserve"> </v>
      </c>
      <c r="AG26" s="178" t="str">
        <f t="shared" si="9"/>
        <v xml:space="preserve"> </v>
      </c>
      <c r="AH26" s="177" t="str">
        <f t="shared" si="10"/>
        <v xml:space="preserve"> </v>
      </c>
      <c r="AI26" s="177" t="str">
        <f t="shared" si="11"/>
        <v xml:space="preserve"> </v>
      </c>
      <c r="AJ26" s="180" t="str">
        <f t="shared" si="12"/>
        <v xml:space="preserve"> </v>
      </c>
      <c r="AK26" s="178" t="str">
        <f t="shared" si="13"/>
        <v xml:space="preserve"> </v>
      </c>
      <c r="AL26" s="177" t="str">
        <f t="shared" si="14"/>
        <v>FA (C)</v>
      </c>
      <c r="AM26" s="177" t="str">
        <f t="shared" si="15"/>
        <v xml:space="preserve"> </v>
      </c>
      <c r="AN26" s="179" t="str">
        <f t="shared" si="16"/>
        <v xml:space="preserve"> </v>
      </c>
    </row>
    <row r="27" spans="1:40" ht="18.75" customHeight="1" thickBot="1" x14ac:dyDescent="0.4">
      <c r="A27" s="344"/>
      <c r="B27" s="100" t="str">
        <f>Mon!B27</f>
        <v>OP/CM/CP</v>
      </c>
      <c r="C27" s="98" t="s">
        <v>69</v>
      </c>
      <c r="D27" s="98"/>
      <c r="E27" s="6" t="str">
        <f>IF(F27=$M$88,$N$88,IF(F27=$M$89,$N$89,IF(F27=$M$90,$N$90,IF(F27=$M$91,$N$91,IF(F27=$M$92,$N$92,IF(F27=$M$93,$N$93,IF(F27=$M$94,$N$94,IF(F27=$M$95,$N$95,"Training"))))))))</f>
        <v>OP</v>
      </c>
      <c r="F27" s="5" t="s">
        <v>109</v>
      </c>
      <c r="G27" s="6" t="str">
        <f>IF(H27=$M$88,$N$88,IF(H27=$M$89,$N$89,IF(H27=$M$90,$N$90,IF(H27=$M$91,$N$91,IF(H27=$M$92,$N$92,IF(H27=$M$93,$N$93,IF(H27=$M$94,$N$94,IF(H27=$M$95,$N$95,"Training"))))))))</f>
        <v>HR</v>
      </c>
      <c r="H27" s="5" t="s">
        <v>61</v>
      </c>
      <c r="I27" s="348"/>
      <c r="J27" s="349"/>
      <c r="K27" s="6" t="str">
        <f>IF(L27=$M$88,$N$88,IF(L27=$M$89,$N$89,IF(L27=$M$90,$N$90,IF(L27=$M$91,$N$91,IF(L27=$M$92,$N$92,IF(L27=$M$93,$N$93,IF(L27=$M$94,$N$94,IF(L27=$M$95,$N$95,"Training"))))))))</f>
        <v>CA</v>
      </c>
      <c r="L27" s="310" t="s">
        <v>42</v>
      </c>
      <c r="M27" s="304"/>
      <c r="N27" s="308"/>
      <c r="O27" s="311"/>
      <c r="U27" s="165" t="str">
        <f>Mon!U27</f>
        <v>(MS)</v>
      </c>
      <c r="V27" s="9">
        <f t="shared" si="0"/>
        <v>2</v>
      </c>
      <c r="W27" s="36">
        <f>SUM(Mon!V27,Tue!V27,Wed!V27,Thur!V27,Fri!V27,Sat!V27)</f>
        <v>17</v>
      </c>
      <c r="X27" s="165" t="str">
        <f>Mon!U27</f>
        <v>(MS)</v>
      </c>
      <c r="Y27" s="20">
        <f t="shared" si="1"/>
        <v>1</v>
      </c>
      <c r="Z27" s="21">
        <f t="shared" si="2"/>
        <v>0</v>
      </c>
      <c r="AA27" s="21">
        <f t="shared" si="3"/>
        <v>1</v>
      </c>
      <c r="AB27" s="22">
        <f t="shared" si="4"/>
        <v>0</v>
      </c>
      <c r="AC27" s="25" t="str">
        <f t="shared" si="18"/>
        <v>FMS (E)</v>
      </c>
      <c r="AD27" s="26" t="str">
        <f t="shared" si="19"/>
        <v xml:space="preserve"> </v>
      </c>
      <c r="AE27" s="26" t="str">
        <f t="shared" si="20"/>
        <v xml:space="preserve"> </v>
      </c>
      <c r="AF27" s="27" t="str">
        <f t="shared" si="21"/>
        <v xml:space="preserve"> </v>
      </c>
      <c r="AG27" s="178" t="str">
        <f t="shared" si="9"/>
        <v xml:space="preserve"> </v>
      </c>
      <c r="AH27" s="177" t="str">
        <f t="shared" si="10"/>
        <v xml:space="preserve"> </v>
      </c>
      <c r="AI27" s="177" t="str">
        <f t="shared" si="11"/>
        <v>ED (C)</v>
      </c>
      <c r="AJ27" s="180" t="str">
        <f t="shared" si="12"/>
        <v xml:space="preserve"> </v>
      </c>
      <c r="AK27" s="178" t="str">
        <f t="shared" si="13"/>
        <v xml:space="preserve"> </v>
      </c>
      <c r="AL27" s="177" t="str">
        <f t="shared" si="14"/>
        <v xml:space="preserve"> </v>
      </c>
      <c r="AM27" s="177" t="str">
        <f t="shared" si="15"/>
        <v xml:space="preserve"> </v>
      </c>
      <c r="AN27" s="179" t="str">
        <f t="shared" si="16"/>
        <v xml:space="preserve"> </v>
      </c>
    </row>
    <row r="28" spans="1:40" ht="18.75" customHeight="1" thickBot="1" x14ac:dyDescent="0.4">
      <c r="A28" s="344"/>
      <c r="B28" s="100" t="str">
        <f>Mon!B28</f>
        <v>CP+OP</v>
      </c>
      <c r="C28" s="98" t="s">
        <v>72</v>
      </c>
      <c r="D28" s="98"/>
      <c r="E28" s="6" t="str">
        <f>IF(F28=$O$88,$P$88,IF(F28=$O$89,$P$89,IF(F28=$O$90,$P$90,IF(F28=$O$91,$P$91,IF(F28=$O$92,$P$92,IF(F28=$O$93,$P$93,IF(F28=$O$94,$P$94,IF(F28=$O$95,$P$95,"Training"))))))))</f>
        <v>MM</v>
      </c>
      <c r="F28" s="5" t="s">
        <v>74</v>
      </c>
      <c r="G28" s="6" t="str">
        <f>IF(H28=$O$88,$P$88,IF(H28=$O$89,$P$89,IF(H28=$O$90,$P$90,IF(H28=$O$91,$P$91,IF(H28=$O$92,$P$92,IF(H28=$O$93,$P$93,IF(H28=$O$94,$P$94,IF(H28=$O$95,$P$95,"Training"))))))))</f>
        <v>ED</v>
      </c>
      <c r="H28" s="5" t="s">
        <v>108</v>
      </c>
      <c r="I28" s="348"/>
      <c r="J28" s="349"/>
      <c r="K28" s="6" t="s">
        <v>194</v>
      </c>
      <c r="L28" s="310" t="s">
        <v>105</v>
      </c>
      <c r="M28" s="304"/>
      <c r="N28" s="308"/>
      <c r="O28" s="311"/>
      <c r="U28" s="165" t="str">
        <f>Mon!U28</f>
        <v>(ND)</v>
      </c>
      <c r="V28" s="9">
        <f t="shared" si="0"/>
        <v>2</v>
      </c>
      <c r="W28" s="36">
        <f>SUM(Mon!V28,Tue!V28,Wed!V28,Thur!V28,Fri!V28,Sat!V28)</f>
        <v>18</v>
      </c>
      <c r="X28" s="165" t="str">
        <f>Mon!U28</f>
        <v>(ND)</v>
      </c>
      <c r="Y28" s="20">
        <f t="shared" si="1"/>
        <v>0</v>
      </c>
      <c r="Z28" s="21">
        <f t="shared" si="2"/>
        <v>1</v>
      </c>
      <c r="AA28" s="21">
        <f t="shared" si="3"/>
        <v>0</v>
      </c>
      <c r="AB28" s="22">
        <f t="shared" si="4"/>
        <v>0</v>
      </c>
      <c r="AC28" s="25" t="str">
        <f t="shared" si="18"/>
        <v xml:space="preserve"> </v>
      </c>
      <c r="AD28" s="26" t="str">
        <f t="shared" si="19"/>
        <v xml:space="preserve"> </v>
      </c>
      <c r="AE28" s="26" t="str">
        <f t="shared" si="20"/>
        <v>ES (L)</v>
      </c>
      <c r="AF28" s="27" t="str">
        <f t="shared" si="21"/>
        <v xml:space="preserve"> </v>
      </c>
      <c r="AG28" s="178" t="str">
        <f t="shared" si="9"/>
        <v xml:space="preserve"> </v>
      </c>
      <c r="AH28" s="177" t="str">
        <f t="shared" si="10"/>
        <v>OP (C)</v>
      </c>
      <c r="AI28" s="177" t="str">
        <f t="shared" si="11"/>
        <v xml:space="preserve"> </v>
      </c>
      <c r="AJ28" s="180" t="str">
        <f t="shared" si="12"/>
        <v xml:space="preserve"> </v>
      </c>
      <c r="AK28" s="178" t="str">
        <f t="shared" si="13"/>
        <v xml:space="preserve"> </v>
      </c>
      <c r="AL28" s="177" t="str">
        <f t="shared" si="14"/>
        <v xml:space="preserve"> </v>
      </c>
      <c r="AM28" s="177" t="str">
        <f t="shared" si="15"/>
        <v xml:space="preserve"> </v>
      </c>
      <c r="AN28" s="179" t="str">
        <f t="shared" si="16"/>
        <v xml:space="preserve"> </v>
      </c>
    </row>
    <row r="29" spans="1:40" ht="18.75" customHeight="1" thickBot="1" x14ac:dyDescent="0.4">
      <c r="A29" s="344"/>
      <c r="B29" s="100" t="str">
        <f>Mon!B29</f>
        <v>CP+OP</v>
      </c>
      <c r="C29" s="98" t="s">
        <v>76</v>
      </c>
      <c r="D29" s="98"/>
      <c r="E29" s="6" t="str">
        <f>IF(F29=$Q$88,$R$88,IF(F29=$Q$89,$R$89,IF(F29=$Q$90,$R$90,IF(F29=$Q$91,$R$91,IF(F29=$Q$92,$R$92,IF(F29=$Q$93,$R$93,IF(F29=$Q$94,$R$94,IF(F29=$Q$95,$R$95,"Training"))))))))</f>
        <v>CA</v>
      </c>
      <c r="F29" s="5" t="s">
        <v>110</v>
      </c>
      <c r="G29" s="6" t="str">
        <f>IF(H29=$Q$88,$R$88,IF(H29=$Q$89,$R$89,IF(H29=$Q$90,$R$90,IF(H29=$Q$91,$R$91,IF(H29=$Q$92,$R$92,IF(H29=$Q$93,$R$93,IF(H29=$Q$94,$R$94,IF(H29=$Q$95,$R$95,"Training"))))))))</f>
        <v>OP</v>
      </c>
      <c r="H29" s="5" t="s">
        <v>109</v>
      </c>
      <c r="I29" s="348"/>
      <c r="J29" s="349"/>
      <c r="K29" s="6" t="str">
        <f>IF(L29=$Q$88,$R$88,IF(L29=$Q$89,$R$89,IF(L29=$Q$90,$R$90,IF(L29=$Q$91,$R$91,IF(L29=$Q$92,$R$92,IF(L29=$Q$93,$R$93,IF(L29=$Q$94,$R$94,IF(L29=$Q$95,$R$95,"Training"))))))))</f>
        <v>MM</v>
      </c>
      <c r="L29" s="310" t="s">
        <v>107</v>
      </c>
      <c r="M29" s="304"/>
      <c r="N29" s="308"/>
      <c r="O29" s="311"/>
      <c r="U29" s="165" t="str">
        <f>Mon!U29</f>
        <v>(NG)</v>
      </c>
      <c r="V29" s="9">
        <f t="shared" si="0"/>
        <v>2</v>
      </c>
      <c r="W29" s="36">
        <f>SUM(Mon!V29,Tue!V29,Wed!V29,Thur!V29,Fri!V29,Sat!V29)</f>
        <v>18</v>
      </c>
      <c r="X29" s="165" t="str">
        <f>Mon!U29</f>
        <v>(NG)</v>
      </c>
      <c r="Y29" s="20">
        <f t="shared" si="1"/>
        <v>1</v>
      </c>
      <c r="Z29" s="21">
        <f t="shared" si="2"/>
        <v>1</v>
      </c>
      <c r="AA29" s="21">
        <f t="shared" si="3"/>
        <v>0</v>
      </c>
      <c r="AB29" s="22">
        <f t="shared" si="4"/>
        <v>0</v>
      </c>
      <c r="AC29" s="25" t="str">
        <f t="shared" si="18"/>
        <v>MA (G)</v>
      </c>
      <c r="AD29" s="26" t="str">
        <f t="shared" si="19"/>
        <v>MA (K)</v>
      </c>
      <c r="AE29" s="26" t="str">
        <f t="shared" si="20"/>
        <v xml:space="preserve"> </v>
      </c>
      <c r="AF29" s="27" t="str">
        <f t="shared" si="21"/>
        <v xml:space="preserve"> </v>
      </c>
      <c r="AG29" s="178" t="str">
        <f t="shared" si="9"/>
        <v xml:space="preserve"> </v>
      </c>
      <c r="AH29" s="177" t="str">
        <f t="shared" si="10"/>
        <v xml:space="preserve"> </v>
      </c>
      <c r="AI29" s="177" t="str">
        <f t="shared" si="11"/>
        <v xml:space="preserve"> </v>
      </c>
      <c r="AJ29" s="180" t="str">
        <f t="shared" si="12"/>
        <v xml:space="preserve"> </v>
      </c>
      <c r="AK29" s="178" t="str">
        <f t="shared" si="13"/>
        <v xml:space="preserve"> </v>
      </c>
      <c r="AL29" s="177" t="str">
        <f t="shared" si="14"/>
        <v xml:space="preserve"> </v>
      </c>
      <c r="AM29" s="177" t="str">
        <f t="shared" si="15"/>
        <v xml:space="preserve"> </v>
      </c>
      <c r="AN29" s="179" t="str">
        <f t="shared" si="16"/>
        <v xml:space="preserve"> </v>
      </c>
    </row>
    <row r="30" spans="1:40" ht="18.75" customHeight="1" thickBot="1" x14ac:dyDescent="0.4">
      <c r="A30" s="344"/>
      <c r="B30" s="100" t="str">
        <f>Mon!B30</f>
        <v>CP+OP</v>
      </c>
      <c r="C30" s="98" t="s">
        <v>79</v>
      </c>
      <c r="D30" s="98"/>
      <c r="E30" s="6" t="str">
        <f>IF(F30=$S$88,$T$88,IF(F30=$S$89,$T$89,IF(F30=$S$90,$T$90,IF(F30=$S$91,$T$91,IF(F30=$S$92,$T$92,IF(F30=$S$93,$T$93,IF(F30=$S$94,$T$94,IF(F30=$S$95,$T$95,"Training"))))))))</f>
        <v>HR</v>
      </c>
      <c r="F30" s="5" t="s">
        <v>118</v>
      </c>
      <c r="G30" s="6" t="str">
        <f>IF(H30=$S$88,$T$88,IF(H30=$S$89,$T$89,IF(H30=$S$90,$T$90,IF(H30=$S$91,$T$91,IF(H30=$S$92,$T$92,IF(H30=$S$93,$T$93,IF(H30=$S$94,$T$94,IF(H30=$S$95,$T$95,"Training"))))))))</f>
        <v>CA</v>
      </c>
      <c r="H30" s="5" t="s">
        <v>112</v>
      </c>
      <c r="I30" s="348"/>
      <c r="J30" s="349"/>
      <c r="K30" s="6" t="str">
        <f>IF(L30=$S$88,$T$88,IF(L30=$S$89,$T$89,IF(L30=$S$90,$T$90,IF(L30=$S$91,$T$91,IF(L30=$S$92,$T$92,IF(L30=$S$93,$T$93,IF(L30=$S$94,$T$94,IF(L30=$S$95,$T$95,"Training"))))))))</f>
        <v>EVS</v>
      </c>
      <c r="L30" s="310" t="s">
        <v>54</v>
      </c>
      <c r="M30" s="304"/>
      <c r="N30" s="308"/>
      <c r="O30" s="311"/>
      <c r="U30" s="165" t="str">
        <f>Mon!U30</f>
        <v>(PM)</v>
      </c>
      <c r="V30" s="9">
        <f t="shared" si="0"/>
        <v>3</v>
      </c>
      <c r="W30" s="36">
        <f>SUM(Mon!V30,Tue!V30,Wed!V30,Thur!V30,Fri!V30,Sat!V30)</f>
        <v>18</v>
      </c>
      <c r="X30" s="165" t="str">
        <f>Mon!U30</f>
        <v>(PM)</v>
      </c>
      <c r="Y30" s="20">
        <f t="shared" si="1"/>
        <v>0</v>
      </c>
      <c r="Z30" s="21">
        <f t="shared" si="2"/>
        <v>2</v>
      </c>
      <c r="AA30" s="21">
        <f t="shared" si="3"/>
        <v>0</v>
      </c>
      <c r="AB30" s="22">
        <f t="shared" si="4"/>
        <v>0</v>
      </c>
      <c r="AC30" s="25" t="str">
        <f t="shared" si="18"/>
        <v xml:space="preserve"> </v>
      </c>
      <c r="AD30" s="26" t="str">
        <f t="shared" si="19"/>
        <v xml:space="preserve"> </v>
      </c>
      <c r="AE30" s="26" t="str">
        <f t="shared" si="20"/>
        <v>MA (F)</v>
      </c>
      <c r="AF30" s="27" t="str">
        <f t="shared" si="21"/>
        <v xml:space="preserve"> </v>
      </c>
      <c r="AG30" s="178" t="str">
        <f t="shared" si="9"/>
        <v xml:space="preserve"> </v>
      </c>
      <c r="AH30" s="177" t="str">
        <f t="shared" si="10"/>
        <v xml:space="preserve"> </v>
      </c>
      <c r="AI30" s="177" t="str">
        <f t="shared" si="11"/>
        <v xml:space="preserve"> </v>
      </c>
      <c r="AJ30" s="180" t="str">
        <f t="shared" si="12"/>
        <v xml:space="preserve"> </v>
      </c>
      <c r="AK30" s="178" t="str">
        <f t="shared" si="13"/>
        <v xml:space="preserve"> </v>
      </c>
      <c r="AL30" s="177" t="str">
        <f t="shared" si="14"/>
        <v>QT (F)</v>
      </c>
      <c r="AM30" s="177" t="str">
        <f t="shared" si="15"/>
        <v xml:space="preserve"> </v>
      </c>
      <c r="AN30" s="179" t="str">
        <f t="shared" si="16"/>
        <v xml:space="preserve"> </v>
      </c>
    </row>
    <row r="31" spans="1:40" ht="18.75" customHeight="1" thickBot="1" x14ac:dyDescent="0.4">
      <c r="A31" s="344"/>
      <c r="B31" s="100" t="str">
        <f>Mon!B31</f>
        <v>CM+SP</v>
      </c>
      <c r="C31" s="98" t="s">
        <v>81</v>
      </c>
      <c r="D31" s="98"/>
      <c r="E31" s="6" t="str">
        <f>IF(F31=$U$88,$V$88,IF(F31=$U$89,$V$89,IF(F31=$U$90,$V$90,IF(F31=$U$91,$V$91,IF(F31=$U$92,$V$92,IF(F31=$U$93,$V$93,IF(F31=$U$94,$V$94,IF(F31=$U$95,$V$95,"Training"))))))))</f>
        <v>CA</v>
      </c>
      <c r="F31" s="5" t="s">
        <v>106</v>
      </c>
      <c r="G31" s="6" t="str">
        <f>IF(H31=$U$88,$V$88,IF(H31=$U$89,$V$89,IF(H31=$U$90,$V$90,IF(H31=$U$91,$V$91,IF(H31=$U$92,$V$92,IF(H31=$U$93,$V$93,IF(H31=$U$94,$V$94,IF(H31=$U$95,$V$95,"Training"))))))))</f>
        <v>ED</v>
      </c>
      <c r="H31" s="5" t="s">
        <v>111</v>
      </c>
      <c r="I31" s="348"/>
      <c r="J31" s="349"/>
      <c r="K31" s="6" t="str">
        <f>IF(L31=$U$88,$V$88,IF(L31=$U$89,$V$89,IF(L31=$U$90,$V$90,IF(L31=$U$91,$V$91,IF(L31=$U$92,$V$92,IF(L31=$U$93,$V$93,IF(L31=$U$94,$V$94,IF(L31=$U$95,$V$95,"Training"))))))))</f>
        <v>CM</v>
      </c>
      <c r="L31" s="310" t="s">
        <v>46</v>
      </c>
      <c r="M31" s="304"/>
      <c r="N31" s="308"/>
      <c r="O31" s="311"/>
      <c r="U31" s="165" t="str">
        <f>Mon!U31</f>
        <v>(PR)</v>
      </c>
      <c r="V31" s="9">
        <f t="shared" si="0"/>
        <v>2</v>
      </c>
      <c r="W31" s="36">
        <f>SUM(Mon!V31,Tue!V31,Wed!V31,Thur!V31,Fri!V31,Sat!V31)</f>
        <v>17</v>
      </c>
      <c r="X31" s="165" t="str">
        <f>Mon!U31</f>
        <v>(PR)</v>
      </c>
      <c r="Y31" s="20">
        <f t="shared" si="1"/>
        <v>0</v>
      </c>
      <c r="Z31" s="21">
        <f t="shared" si="2"/>
        <v>2</v>
      </c>
      <c r="AA31" s="21">
        <f t="shared" si="3"/>
        <v>0</v>
      </c>
      <c r="AB31" s="22">
        <f t="shared" si="4"/>
        <v>0</v>
      </c>
      <c r="AC31" s="25" t="str">
        <f t="shared" si="18"/>
        <v xml:space="preserve"> </v>
      </c>
      <c r="AD31" s="26" t="str">
        <f t="shared" si="19"/>
        <v xml:space="preserve"> </v>
      </c>
      <c r="AE31" s="26" t="str">
        <f t="shared" si="20"/>
        <v xml:space="preserve"> </v>
      </c>
      <c r="AF31" s="27" t="str">
        <f t="shared" si="21"/>
        <v xml:space="preserve"> </v>
      </c>
      <c r="AG31" s="178" t="str">
        <f t="shared" si="9"/>
        <v xml:space="preserve"> </v>
      </c>
      <c r="AH31" s="177" t="str">
        <f t="shared" si="10"/>
        <v xml:space="preserve"> </v>
      </c>
      <c r="AI31" s="177" t="str">
        <f t="shared" si="11"/>
        <v xml:space="preserve"> </v>
      </c>
      <c r="AJ31" s="180" t="str">
        <f t="shared" si="12"/>
        <v xml:space="preserve"> </v>
      </c>
      <c r="AK31" s="178" t="str">
        <f t="shared" si="13"/>
        <v xml:space="preserve"> </v>
      </c>
      <c r="AL31" s="177" t="str">
        <f t="shared" si="14"/>
        <v>AE (D)</v>
      </c>
      <c r="AM31" s="177" t="str">
        <f t="shared" si="15"/>
        <v xml:space="preserve"> </v>
      </c>
      <c r="AN31" s="179" t="str">
        <f t="shared" si="16"/>
        <v xml:space="preserve"> </v>
      </c>
    </row>
    <row r="32" spans="1:40" ht="18.75" customHeight="1" thickBot="1" x14ac:dyDescent="0.4">
      <c r="A32" s="344"/>
      <c r="B32" s="100" t="str">
        <f>Mon!B32</f>
        <v>CM+SP+CP</v>
      </c>
      <c r="C32" s="98" t="s">
        <v>84</v>
      </c>
      <c r="D32" s="98"/>
      <c r="E32" s="6" t="str">
        <f>IF(F32=$W$88,$X$88,IF(F32=$W$89,$X$89,IF(F32=$W$90,$X$90,IF(F32=$W$91,$X$91,IF(F32=$W$92,$X$92,IF(F32=$W$93,$X$93,IF(F32=$W$94,$X$94,IF(F32=$W$95,$X$95,"Training"))))))))</f>
        <v>ED</v>
      </c>
      <c r="F32" s="5" t="s">
        <v>108</v>
      </c>
      <c r="G32" s="6" t="str">
        <f>IF(H32=$W$88,$X$88,IF(H32=$W$89,$X$89,IF(H32=$W$90,$X$90,IF(H32=$W$91,$X$91,IF(H32=$W$92,$X$92,IF(H32=$W$93,$X$93,IF(H32=$W$94,$X$94,IF(H32=$W$95,$X$95,"Training"))))))))</f>
        <v>CA</v>
      </c>
      <c r="H32" s="5" t="s">
        <v>60</v>
      </c>
      <c r="I32" s="348"/>
      <c r="J32" s="349"/>
      <c r="K32" s="6" t="str">
        <f>IF(L32=$W$88,$X$88,IF(L32=$W$89,$X$89,IF(L32=$W$90,$X$90,IF(L32=$W$91,$X$91,IF(L32=$W$92,$X$92,IF(L32=$W$93,$X$93,IF(L32=$W$94,$X$94,IF(L32=$W$95,$X$95,"Training"))))))))</f>
        <v>EVS</v>
      </c>
      <c r="L32" s="310" t="s">
        <v>111</v>
      </c>
      <c r="M32" s="304"/>
      <c r="N32" s="308"/>
      <c r="O32" s="311"/>
      <c r="U32" s="165" t="str">
        <f>Mon!U32</f>
        <v>(RG)</v>
      </c>
      <c r="V32" s="9">
        <f t="shared" si="0"/>
        <v>3</v>
      </c>
      <c r="W32" s="36">
        <f>SUM(Mon!V32,Tue!V32,Wed!V32,Thur!V32,Fri!V32,Sat!V32)</f>
        <v>14</v>
      </c>
      <c r="X32" s="165" t="str">
        <f>Mon!U32</f>
        <v>(RG)</v>
      </c>
      <c r="Y32" s="20">
        <f t="shared" si="1"/>
        <v>1</v>
      </c>
      <c r="Z32" s="21">
        <f t="shared" si="2"/>
        <v>1</v>
      </c>
      <c r="AA32" s="21">
        <f t="shared" si="3"/>
        <v>1</v>
      </c>
      <c r="AB32" s="22">
        <f t="shared" si="4"/>
        <v>0</v>
      </c>
      <c r="AC32" s="25" t="str">
        <f t="shared" si="18"/>
        <v>MA (C)</v>
      </c>
      <c r="AD32" s="26" t="str">
        <f t="shared" si="19"/>
        <v>MA (H)</v>
      </c>
      <c r="AE32" s="26" t="str">
        <f t="shared" si="20"/>
        <v xml:space="preserve"> </v>
      </c>
      <c r="AF32" s="27" t="str">
        <f t="shared" si="21"/>
        <v xml:space="preserve"> </v>
      </c>
      <c r="AG32" s="178" t="str">
        <f t="shared" si="9"/>
        <v xml:space="preserve"> </v>
      </c>
      <c r="AH32" s="177" t="str">
        <f t="shared" si="10"/>
        <v xml:space="preserve"> </v>
      </c>
      <c r="AI32" s="177" t="str">
        <f t="shared" si="11"/>
        <v>CA (A)</v>
      </c>
      <c r="AJ32" s="180" t="str">
        <f t="shared" si="12"/>
        <v xml:space="preserve"> </v>
      </c>
      <c r="AK32" s="178" t="str">
        <f t="shared" si="13"/>
        <v xml:space="preserve"> </v>
      </c>
      <c r="AL32" s="177" t="str">
        <f t="shared" si="14"/>
        <v xml:space="preserve"> </v>
      </c>
      <c r="AM32" s="177" t="str">
        <f t="shared" si="15"/>
        <v xml:space="preserve"> </v>
      </c>
      <c r="AN32" s="179" t="str">
        <f t="shared" si="16"/>
        <v xml:space="preserve"> </v>
      </c>
    </row>
    <row r="33" spans="1:40" ht="18.75" customHeight="1" thickBot="1" x14ac:dyDescent="0.4">
      <c r="A33" s="344"/>
      <c r="B33" s="100" t="str">
        <f>Mon!B33</f>
        <v>CP+SP</v>
      </c>
      <c r="C33" s="98" t="s">
        <v>126</v>
      </c>
      <c r="D33" s="98"/>
      <c r="E33" s="6" t="str">
        <f>IF(F33=$Y$88,$Z$88,IF(F33=$Y$89,$Z$89,IF(F33=$Y$90,$Z$90,IF(F33=$Y$91,$Z$91,IF(F33=$Y$92,$Z$92,IF(F33=$Y$93,$Z$93,IF(F33=$Y$94,$Z$94,IF(F33=$Y$95,$Z$95,"Training"))))))))</f>
        <v>EVS</v>
      </c>
      <c r="F33" s="5" t="s">
        <v>54</v>
      </c>
      <c r="G33" s="6" t="str">
        <f>IF(H33=$Y$88,$Z$88,IF(H33=$Y$89,$Z$89,IF(H33=$Y$90,$Z$90,IF(H33=$Y$91,$Z$91,IF(H33=$Y$92,$Z$92,IF(H33=$Y$93,$Z$93,IF(H33=$Y$94,$Z$94,IF(H33=$Y$95,$Z$95,"Training"))))))))</f>
        <v>CM</v>
      </c>
      <c r="H33" s="5" t="s">
        <v>104</v>
      </c>
      <c r="I33" s="348"/>
      <c r="J33" s="349"/>
      <c r="K33" s="6" t="str">
        <f>IF(L33=$Y$88,$Z$88,IF(L33=$Y$89,$Z$89,IF(L33=$Y$90,$Z$90,IF(L33=$Y$91,$Z$91,IF(L33=$Y$92,$Z$92,IF(L33=$Y$93,$Z$93,IF(L33=$Y$94,$Z$94,IF(L33=$Y$95,$Z$95,"Training"))))))))</f>
        <v>CA</v>
      </c>
      <c r="L33" s="310" t="s">
        <v>112</v>
      </c>
      <c r="M33" s="304"/>
      <c r="N33" s="308"/>
      <c r="O33" s="311"/>
      <c r="U33" s="165" t="str">
        <f>Mon!U33</f>
        <v>(RP)</v>
      </c>
      <c r="V33" s="9">
        <f t="shared" si="0"/>
        <v>0</v>
      </c>
      <c r="W33" s="36">
        <f>SUM(Mon!V33,Tue!V33,Wed!V33,Thur!V33,Fri!V33,Sat!V33)</f>
        <v>3</v>
      </c>
      <c r="X33" s="165" t="str">
        <f>Mon!U33</f>
        <v>(RP)</v>
      </c>
      <c r="Y33" s="20">
        <f t="shared" si="1"/>
        <v>0</v>
      </c>
      <c r="Z33" s="21">
        <f t="shared" si="2"/>
        <v>0</v>
      </c>
      <c r="AA33" s="21">
        <f t="shared" si="3"/>
        <v>0</v>
      </c>
      <c r="AB33" s="22">
        <f t="shared" si="4"/>
        <v>0</v>
      </c>
      <c r="AC33" s="25" t="str">
        <f t="shared" si="18"/>
        <v xml:space="preserve"> </v>
      </c>
      <c r="AD33" s="26" t="str">
        <f t="shared" si="19"/>
        <v xml:space="preserve"> </v>
      </c>
      <c r="AE33" s="26" t="str">
        <f t="shared" si="20"/>
        <v xml:space="preserve"> </v>
      </c>
      <c r="AF33" s="27" t="str">
        <f t="shared" si="21"/>
        <v xml:space="preserve"> </v>
      </c>
      <c r="AG33" s="178" t="str">
        <f t="shared" si="9"/>
        <v xml:space="preserve"> </v>
      </c>
      <c r="AH33" s="177" t="str">
        <f t="shared" si="10"/>
        <v xml:space="preserve"> </v>
      </c>
      <c r="AI33" s="177" t="str">
        <f t="shared" si="11"/>
        <v xml:space="preserve"> </v>
      </c>
      <c r="AJ33" s="180" t="str">
        <f t="shared" si="12"/>
        <v xml:space="preserve"> </v>
      </c>
      <c r="AK33" s="178" t="str">
        <f t="shared" si="13"/>
        <v xml:space="preserve"> </v>
      </c>
      <c r="AL33" s="177" t="str">
        <f t="shared" si="14"/>
        <v xml:space="preserve"> </v>
      </c>
      <c r="AM33" s="177" t="str">
        <f t="shared" si="15"/>
        <v xml:space="preserve"> </v>
      </c>
      <c r="AN33" s="179" t="str">
        <f t="shared" si="16"/>
        <v xml:space="preserve"> </v>
      </c>
    </row>
    <row r="34" spans="1:40" ht="18.75" customHeight="1" thickBot="1" x14ac:dyDescent="0.4">
      <c r="A34" s="344"/>
      <c r="B34" s="100" t="str">
        <f>Mon!B34</f>
        <v>CP+SP</v>
      </c>
      <c r="C34" s="98" t="s">
        <v>128</v>
      </c>
      <c r="D34" s="98"/>
      <c r="E34" s="6" t="str">
        <f>IF(F34=$AA$88,$AB$88,IF(F34=$AA$89,$AB$89,IF(F34=$AA$90,$AB$90,IF(F34=$AA$91,$AB$91,IF(F34=$AA$92,$AB$92,IF(F34=$AA$93,$AB$93,IF(F34=$AA$94,$AB$94,IF(F34=$AA$95,$AB$95,"Training"))))))))</f>
        <v>SP</v>
      </c>
      <c r="F34" s="5" t="s">
        <v>113</v>
      </c>
      <c r="G34" s="6" t="str">
        <f>IF(H34=$AA$88,$AB$88,IF(H34=$AA$89,$AB$89,IF(H34=$AA$90,$AB$90,IF(H34=$AA$91,$AB$91,IF(H34=$AA$92,$AB$92,IF(H34=$AA$93,$AB$93,IF(H34=$AA$94,$AB$94,IF(H34=$AA$95,$AB$95,"Training"))))))))</f>
        <v>CP</v>
      </c>
      <c r="H34" s="5" t="s">
        <v>82</v>
      </c>
      <c r="I34" s="348"/>
      <c r="J34" s="349"/>
      <c r="K34" s="6" t="str">
        <f>IF(L34=$AA$88,$AB$88,IF(L34=$AA$89,$AB$89,IF(L34=$AA$90,$AB$90,IF(L34=$AA$91,$AB$91,IF(L34=$AA$92,$AB$92,IF(L34=$AA$93,$AB$93,IF(L34=$AA$94,$AB$94,IF(L34=$AA$95,$AB$95,"Training"))))))))</f>
        <v>ED</v>
      </c>
      <c r="L34" s="310" t="s">
        <v>103</v>
      </c>
      <c r="M34" s="304"/>
      <c r="N34" s="308"/>
      <c r="O34" s="311"/>
      <c r="U34" s="165" t="str">
        <f>Mon!U34</f>
        <v>(RT)</v>
      </c>
      <c r="V34" s="9">
        <f t="shared" si="0"/>
        <v>2</v>
      </c>
      <c r="W34" s="36">
        <f>SUM(Mon!V34,Tue!V34,Wed!V34,Thur!V34,Fri!V34,Sat!V34)</f>
        <v>13</v>
      </c>
      <c r="X34" s="165" t="str">
        <f>Mon!U34</f>
        <v>(RT)</v>
      </c>
      <c r="Y34" s="20">
        <f t="shared" si="1"/>
        <v>1</v>
      </c>
      <c r="Z34" s="21">
        <f t="shared" si="2"/>
        <v>1</v>
      </c>
      <c r="AA34" s="21">
        <f t="shared" si="3"/>
        <v>0</v>
      </c>
      <c r="AB34" s="22">
        <f t="shared" si="4"/>
        <v>0</v>
      </c>
      <c r="AC34" s="25" t="str">
        <f t="shared" si="18"/>
        <v xml:space="preserve"> </v>
      </c>
      <c r="AD34" s="26" t="str">
        <f t="shared" si="19"/>
        <v>CHRM (L)</v>
      </c>
      <c r="AE34" s="26" t="str">
        <f t="shared" si="20"/>
        <v xml:space="preserve"> </v>
      </c>
      <c r="AF34" s="27" t="str">
        <f t="shared" si="21"/>
        <v xml:space="preserve"> </v>
      </c>
      <c r="AG34" s="178" t="str">
        <f t="shared" si="9"/>
        <v>HR (J)</v>
      </c>
      <c r="AH34" s="177" t="str">
        <f t="shared" si="10"/>
        <v xml:space="preserve"> </v>
      </c>
      <c r="AI34" s="177" t="str">
        <f t="shared" si="11"/>
        <v xml:space="preserve"> </v>
      </c>
      <c r="AJ34" s="180" t="str">
        <f t="shared" si="12"/>
        <v xml:space="preserve"> </v>
      </c>
      <c r="AK34" s="178" t="str">
        <f t="shared" si="13"/>
        <v xml:space="preserve"> </v>
      </c>
      <c r="AL34" s="177" t="str">
        <f t="shared" si="14"/>
        <v xml:space="preserve"> </v>
      </c>
      <c r="AM34" s="177" t="str">
        <f t="shared" si="15"/>
        <v xml:space="preserve"> </v>
      </c>
      <c r="AN34" s="179" t="str">
        <f t="shared" si="16"/>
        <v xml:space="preserve"> </v>
      </c>
    </row>
    <row r="35" spans="1:40" ht="18.75" customHeight="1" thickBot="1" x14ac:dyDescent="0.4">
      <c r="A35" s="344"/>
      <c r="B35" s="100" t="str">
        <f>Mon!B35</f>
        <v>BAJ</v>
      </c>
      <c r="C35" s="162" t="s">
        <v>41</v>
      </c>
      <c r="D35" s="162"/>
      <c r="E35" s="6" t="s">
        <v>234</v>
      </c>
      <c r="F35" s="5" t="s">
        <v>229</v>
      </c>
      <c r="G35" s="6" t="s">
        <v>135</v>
      </c>
      <c r="H35" s="5" t="s">
        <v>98</v>
      </c>
      <c r="I35" s="348"/>
      <c r="J35" s="349"/>
      <c r="K35" s="6" t="s">
        <v>235</v>
      </c>
      <c r="L35" s="5" t="s">
        <v>236</v>
      </c>
      <c r="M35" s="314"/>
      <c r="N35" s="308"/>
      <c r="O35" s="311"/>
      <c r="U35" s="165" t="str">
        <f>Mon!U35</f>
        <v>(SA)</v>
      </c>
      <c r="V35" s="9">
        <f t="shared" si="0"/>
        <v>1</v>
      </c>
      <c r="W35" s="36">
        <f>SUM(Mon!V35,Tue!V35,Wed!V35,Thur!V35,Fri!V35,Sat!V35)</f>
        <v>17</v>
      </c>
      <c r="X35" s="165" t="str">
        <f>Mon!U35</f>
        <v>(SA)</v>
      </c>
      <c r="Y35" s="20">
        <f t="shared" si="1"/>
        <v>0</v>
      </c>
      <c r="Z35" s="21">
        <f t="shared" si="2"/>
        <v>1</v>
      </c>
      <c r="AA35" s="21">
        <f t="shared" si="3"/>
        <v>0</v>
      </c>
      <c r="AB35" s="22">
        <f t="shared" si="4"/>
        <v>0</v>
      </c>
      <c r="AC35" s="25" t="str">
        <f t="shared" si="18"/>
        <v xml:space="preserve"> </v>
      </c>
      <c r="AD35" s="26" t="str">
        <f t="shared" si="19"/>
        <v xml:space="preserve"> </v>
      </c>
      <c r="AE35" s="26" t="str">
        <f t="shared" si="20"/>
        <v xml:space="preserve"> </v>
      </c>
      <c r="AF35" s="27" t="str">
        <f t="shared" si="21"/>
        <v xml:space="preserve"> </v>
      </c>
      <c r="AG35" s="178" t="str">
        <f t="shared" si="9"/>
        <v xml:space="preserve"> </v>
      </c>
      <c r="AH35" s="177" t="str">
        <f t="shared" si="10"/>
        <v xml:space="preserve"> </v>
      </c>
      <c r="AI35" s="177" t="str">
        <f t="shared" si="11"/>
        <v xml:space="preserve"> </v>
      </c>
      <c r="AJ35" s="180" t="str">
        <f t="shared" si="12"/>
        <v xml:space="preserve"> </v>
      </c>
      <c r="AK35" s="178" t="str">
        <f t="shared" si="13"/>
        <v xml:space="preserve"> </v>
      </c>
      <c r="AL35" s="177" t="str">
        <f t="shared" si="14"/>
        <v>GE (N)</v>
      </c>
      <c r="AM35" s="177" t="str">
        <f t="shared" si="15"/>
        <v xml:space="preserve"> </v>
      </c>
      <c r="AN35" s="179" t="str">
        <f t="shared" si="16"/>
        <v xml:space="preserve"> </v>
      </c>
    </row>
    <row r="36" spans="1:40" ht="18.75" customHeight="1" thickBot="1" x14ac:dyDescent="0.4">
      <c r="A36" s="345"/>
      <c r="B36" s="100" t="str">
        <f>Mon!B36</f>
        <v>BAJ</v>
      </c>
      <c r="C36" s="162" t="s">
        <v>49</v>
      </c>
      <c r="D36" s="162"/>
      <c r="E36" s="6" t="s">
        <v>234</v>
      </c>
      <c r="F36" s="5" t="s">
        <v>229</v>
      </c>
      <c r="G36" s="6" t="s">
        <v>135</v>
      </c>
      <c r="H36" s="5" t="s">
        <v>89</v>
      </c>
      <c r="I36" s="350"/>
      <c r="J36" s="351"/>
      <c r="K36" s="6" t="s">
        <v>235</v>
      </c>
      <c r="L36" s="5" t="s">
        <v>236</v>
      </c>
      <c r="M36" s="309"/>
      <c r="N36" s="51"/>
      <c r="O36" s="311"/>
      <c r="U36" s="165" t="str">
        <f>Mon!U36</f>
        <v>(SAK)</v>
      </c>
      <c r="V36" s="9">
        <f t="shared" si="0"/>
        <v>3</v>
      </c>
      <c r="W36" s="36">
        <f>SUM(Mon!V36,Tue!V36,Wed!V36,Thur!V36,Fri!V36,Sat!V36)</f>
        <v>18</v>
      </c>
      <c r="X36" s="165" t="str">
        <f>Mon!U36</f>
        <v>(SAK)</v>
      </c>
      <c r="Y36" s="20">
        <f t="shared" si="1"/>
        <v>1</v>
      </c>
      <c r="Z36" s="21">
        <f t="shared" si="2"/>
        <v>1</v>
      </c>
      <c r="AA36" s="21">
        <f t="shared" ref="AA36:AA59" si="24">SUM(COUNTIF($K$20:$L$55,$U36),IF($T36&lt;&gt;0,(COUNTIF($K$20:$L$55,$T36))),IF($S36&lt;&gt;0,(COUNTIF($K$20:$L$55,$S36))))</f>
        <v>1</v>
      </c>
      <c r="AB36" s="22">
        <f t="shared" si="4"/>
        <v>0</v>
      </c>
      <c r="AC36" s="25" t="str">
        <f t="shared" si="18"/>
        <v xml:space="preserve"> </v>
      </c>
      <c r="AD36" s="26" t="str">
        <f t="shared" si="19"/>
        <v xml:space="preserve"> </v>
      </c>
      <c r="AE36" s="26" t="str">
        <f t="shared" si="20"/>
        <v xml:space="preserve"> </v>
      </c>
      <c r="AF36" s="27" t="str">
        <f t="shared" si="21"/>
        <v xml:space="preserve"> </v>
      </c>
      <c r="AG36" s="178" t="str">
        <f t="shared" si="9"/>
        <v>CM (B)</v>
      </c>
      <c r="AH36" s="177" t="str">
        <f t="shared" si="10"/>
        <v>CM (F)</v>
      </c>
      <c r="AI36" s="177" t="str">
        <f t="shared" si="11"/>
        <v>MM (I)</v>
      </c>
      <c r="AJ36" s="180" t="str">
        <f t="shared" si="12"/>
        <v xml:space="preserve"> </v>
      </c>
      <c r="AK36" s="178" t="str">
        <f t="shared" si="13"/>
        <v xml:space="preserve"> </v>
      </c>
      <c r="AL36" s="177" t="str">
        <f t="shared" si="14"/>
        <v xml:space="preserve"> </v>
      </c>
      <c r="AM36" s="177" t="str">
        <f t="shared" si="15"/>
        <v xml:space="preserve"> </v>
      </c>
      <c r="AN36" s="179" t="str">
        <f t="shared" si="16"/>
        <v xml:space="preserve"> </v>
      </c>
    </row>
    <row r="37" spans="1:40" ht="18.75" customHeight="1" thickBot="1" x14ac:dyDescent="0.4">
      <c r="A37" s="192" t="s">
        <v>26</v>
      </c>
      <c r="B37" s="299"/>
      <c r="C37" s="94" t="s">
        <v>27</v>
      </c>
      <c r="D37" s="95" t="s">
        <v>136</v>
      </c>
      <c r="E37" s="352" t="s">
        <v>241</v>
      </c>
      <c r="F37" s="353"/>
      <c r="G37" s="354" t="s">
        <v>32</v>
      </c>
      <c r="H37" s="353"/>
      <c r="I37" s="354" t="s">
        <v>242</v>
      </c>
      <c r="J37" s="358"/>
      <c r="O37" s="124"/>
      <c r="U37" s="165" t="str">
        <f>Mon!U37</f>
        <v>(SB)</v>
      </c>
      <c r="V37" s="9">
        <f t="shared" si="0"/>
        <v>3</v>
      </c>
      <c r="W37" s="36">
        <f>SUM(Mon!V37,Tue!V37,Wed!V37,Thur!V37,Fri!V37,Sat!V37)</f>
        <v>18</v>
      </c>
      <c r="X37" s="165" t="str">
        <f>Mon!U37</f>
        <v>(SB)</v>
      </c>
      <c r="Y37" s="20">
        <f t="shared" si="1"/>
        <v>1</v>
      </c>
      <c r="Z37" s="21">
        <f t="shared" si="2"/>
        <v>1</v>
      </c>
      <c r="AA37" s="21">
        <f t="shared" si="24"/>
        <v>1</v>
      </c>
      <c r="AB37" s="22">
        <f t="shared" si="4"/>
        <v>0</v>
      </c>
      <c r="AC37" s="25" t="str">
        <f t="shared" si="18"/>
        <v xml:space="preserve"> </v>
      </c>
      <c r="AD37" s="26" t="str">
        <f t="shared" si="19"/>
        <v xml:space="preserve"> </v>
      </c>
      <c r="AE37" s="26" t="str">
        <f t="shared" si="20"/>
        <v xml:space="preserve"> </v>
      </c>
      <c r="AF37" s="27" t="str">
        <f t="shared" si="21"/>
        <v xml:space="preserve"> </v>
      </c>
      <c r="AG37" s="178" t="str">
        <f t="shared" si="9"/>
        <v>OP (G)</v>
      </c>
      <c r="AH37" s="177" t="str">
        <f t="shared" si="10"/>
        <v>OP (I)</v>
      </c>
      <c r="AI37" s="177" t="str">
        <f t="shared" si="11"/>
        <v>OP (B)</v>
      </c>
      <c r="AJ37" s="180" t="str">
        <f t="shared" si="12"/>
        <v xml:space="preserve"> </v>
      </c>
      <c r="AK37" s="178" t="str">
        <f t="shared" si="13"/>
        <v xml:space="preserve"> </v>
      </c>
      <c r="AL37" s="177" t="str">
        <f t="shared" si="14"/>
        <v xml:space="preserve"> </v>
      </c>
      <c r="AM37" s="177" t="str">
        <f t="shared" si="15"/>
        <v xml:space="preserve"> </v>
      </c>
      <c r="AN37" s="179" t="str">
        <f t="shared" si="16"/>
        <v xml:space="preserve"> </v>
      </c>
    </row>
    <row r="38" spans="1:40" ht="18" customHeight="1" thickBot="1" x14ac:dyDescent="0.4">
      <c r="A38" s="332">
        <v>1</v>
      </c>
      <c r="B38" s="100" t="str">
        <f>Mon!B38</f>
        <v>AE</v>
      </c>
      <c r="C38" s="100" t="s">
        <v>41</v>
      </c>
      <c r="D38" s="91">
        <v>308</v>
      </c>
      <c r="E38" s="191">
        <f>_xlfn.XLOOKUP(F38, $A$74:$A$83, $B$74:$B$83, "Training")</f>
        <v>0</v>
      </c>
      <c r="F38" s="96"/>
      <c r="G38" s="191" t="str">
        <f>_xlfn.XLOOKUP(H38, $A$74:$A$83, $B$74:$B$83, "Training")</f>
        <v>BM</v>
      </c>
      <c r="H38" s="96" t="s">
        <v>61</v>
      </c>
      <c r="I38" s="191" t="str">
        <f>_xlfn.XLOOKUP(J38, $A$74:$A$83, $B$74:$B$83, "Training")</f>
        <v>FA</v>
      </c>
      <c r="J38" s="284" t="s">
        <v>115</v>
      </c>
      <c r="O38" s="124"/>
      <c r="U38" s="165" t="str">
        <f>Mon!U38</f>
        <v>(SC)</v>
      </c>
      <c r="V38" s="9">
        <f t="shared" si="0"/>
        <v>1</v>
      </c>
      <c r="W38" s="36">
        <f>SUM(Mon!V38,Tue!V38,Wed!V38,Thur!V38,Fri!V38,Sat!V38)</f>
        <v>15</v>
      </c>
      <c r="X38" s="165" t="str">
        <f>Mon!U38</f>
        <v>(SC)</v>
      </c>
      <c r="Y38" s="20">
        <f t="shared" si="1"/>
        <v>0</v>
      </c>
      <c r="Z38" s="21">
        <f t="shared" si="2"/>
        <v>1</v>
      </c>
      <c r="AA38" s="21">
        <f t="shared" si="24"/>
        <v>0</v>
      </c>
      <c r="AB38" s="22">
        <f t="shared" si="4"/>
        <v>0</v>
      </c>
      <c r="AC38" s="25" t="str">
        <f t="shared" si="18"/>
        <v xml:space="preserve"> </v>
      </c>
      <c r="AD38" s="26" t="str">
        <f t="shared" si="19"/>
        <v xml:space="preserve"> </v>
      </c>
      <c r="AE38" s="26" t="str">
        <f t="shared" si="20"/>
        <v xml:space="preserve"> </v>
      </c>
      <c r="AF38" s="27" t="str">
        <f t="shared" si="21"/>
        <v xml:space="preserve"> </v>
      </c>
      <c r="AG38" s="178" t="str">
        <f t="shared" si="9"/>
        <v xml:space="preserve"> </v>
      </c>
      <c r="AH38" s="177" t="str">
        <f t="shared" si="10"/>
        <v xml:space="preserve"> </v>
      </c>
      <c r="AI38" s="177" t="str">
        <f t="shared" si="11"/>
        <v xml:space="preserve"> </v>
      </c>
      <c r="AJ38" s="180" t="str">
        <f t="shared" si="12"/>
        <v xml:space="preserve"> </v>
      </c>
      <c r="AK38" s="178" t="str">
        <f t="shared" si="13"/>
        <v xml:space="preserve"> </v>
      </c>
      <c r="AL38" s="177" t="str">
        <f t="shared" si="14"/>
        <v>GE (G)</v>
      </c>
      <c r="AM38" s="177" t="str">
        <f t="shared" si="15"/>
        <v xml:space="preserve"> </v>
      </c>
      <c r="AN38" s="179" t="str">
        <f t="shared" si="16"/>
        <v xml:space="preserve"> </v>
      </c>
    </row>
    <row r="39" spans="1:40" ht="18" customHeight="1" thickBot="1" x14ac:dyDescent="0.4">
      <c r="A39" s="333"/>
      <c r="B39" s="19" t="str">
        <f>Mon!B39</f>
        <v>AE</v>
      </c>
      <c r="C39" s="19" t="s">
        <v>49</v>
      </c>
      <c r="D39" s="76">
        <v>304</v>
      </c>
      <c r="E39" s="49">
        <f>_xlfn.XLOOKUP(F39, $C$74:$C$83, $D$74:$D$83, "Training")</f>
        <v>0</v>
      </c>
      <c r="F39" s="50"/>
      <c r="G39" s="49" t="str">
        <f>_xlfn.XLOOKUP(H39, $C$74:$C$83, $D$74:$D$83, "Training")</f>
        <v>QT</v>
      </c>
      <c r="H39" s="50" t="s">
        <v>71</v>
      </c>
      <c r="I39" s="49" t="str">
        <f>_xlfn.XLOOKUP(J39, $C$74:$C$83, $D$74:$D$83, "Training")</f>
        <v>GE</v>
      </c>
      <c r="J39" s="50" t="s">
        <v>123</v>
      </c>
      <c r="O39" s="124"/>
      <c r="U39" s="165" t="str">
        <f>Mon!U39</f>
        <v>(SE)</v>
      </c>
      <c r="V39" s="9">
        <f t="shared" si="0"/>
        <v>2</v>
      </c>
      <c r="W39" s="36">
        <f>SUM(Mon!V39,Tue!V39,Wed!V39,Thur!V39,Fri!V39,Sat!V39)</f>
        <v>18</v>
      </c>
      <c r="X39" s="165" t="str">
        <f>Mon!U39</f>
        <v>(SE)</v>
      </c>
      <c r="Y39" s="20">
        <f t="shared" si="1"/>
        <v>0</v>
      </c>
      <c r="Z39" s="21">
        <f t="shared" si="2"/>
        <v>2</v>
      </c>
      <c r="AA39" s="21">
        <f t="shared" si="24"/>
        <v>0</v>
      </c>
      <c r="AB39" s="22">
        <f t="shared" si="4"/>
        <v>0</v>
      </c>
      <c r="AC39" s="25" t="str">
        <f t="shared" si="18"/>
        <v xml:space="preserve"> </v>
      </c>
      <c r="AD39" s="26" t="str">
        <f t="shared" si="19"/>
        <v xml:space="preserve"> </v>
      </c>
      <c r="AE39" s="26" t="str">
        <f t="shared" si="20"/>
        <v xml:space="preserve"> </v>
      </c>
      <c r="AF39" s="27" t="str">
        <f t="shared" si="21"/>
        <v xml:space="preserve"> </v>
      </c>
      <c r="AG39" s="178" t="str">
        <f t="shared" si="9"/>
        <v xml:space="preserve"> </v>
      </c>
      <c r="AH39" s="177" t="str">
        <f t="shared" si="10"/>
        <v xml:space="preserve"> </v>
      </c>
      <c r="AI39" s="177" t="str">
        <f t="shared" si="11"/>
        <v xml:space="preserve"> </v>
      </c>
      <c r="AJ39" s="180" t="str">
        <f t="shared" si="12"/>
        <v xml:space="preserve"> </v>
      </c>
      <c r="AK39" s="178" t="str">
        <f t="shared" si="13"/>
        <v xml:space="preserve"> </v>
      </c>
      <c r="AL39" s="177" t="str">
        <f t="shared" si="14"/>
        <v>BT (L)</v>
      </c>
      <c r="AM39" s="177" t="str">
        <f t="shared" si="15"/>
        <v xml:space="preserve"> </v>
      </c>
      <c r="AN39" s="179" t="str">
        <f t="shared" si="16"/>
        <v xml:space="preserve"> </v>
      </c>
    </row>
    <row r="40" spans="1:40" ht="18" customHeight="1" thickBot="1" x14ac:dyDescent="0.4">
      <c r="A40" s="333"/>
      <c r="B40" s="19" t="str">
        <f>Mon!B40</f>
        <v>AE</v>
      </c>
      <c r="C40" s="19" t="s">
        <v>55</v>
      </c>
      <c r="D40" s="76">
        <v>204</v>
      </c>
      <c r="E40" s="48">
        <f>_xlfn.XLOOKUP(F40, $E$74:$E$83, $F$74:$F$83, "Training")</f>
        <v>0</v>
      </c>
      <c r="F40" s="51"/>
      <c r="G40" s="48" t="str">
        <f>_xlfn.XLOOKUP(H40, $E$74:$E$83, $F$74:$F$83, "Training")</f>
        <v>FA</v>
      </c>
      <c r="H40" s="51" t="s">
        <v>115</v>
      </c>
      <c r="I40" s="48" t="str">
        <f>_xlfn.XLOOKUP(J40, $E$74:$E$83, $F$74:$F$83, "Training")</f>
        <v>BT</v>
      </c>
      <c r="J40" s="51" t="s">
        <v>56</v>
      </c>
      <c r="O40" s="124"/>
      <c r="U40" s="165" t="str">
        <f>Mon!U40</f>
        <v>(SN)</v>
      </c>
      <c r="V40" s="9">
        <f t="shared" si="0"/>
        <v>1</v>
      </c>
      <c r="W40" s="36">
        <f>SUM(Mon!V40,Tue!V40,Wed!V40,Thur!V40,Fri!V40,Sat!V40)</f>
        <v>15</v>
      </c>
      <c r="X40" s="165" t="str">
        <f>Mon!U40</f>
        <v>(SN)</v>
      </c>
      <c r="Y40" s="20">
        <f t="shared" si="1"/>
        <v>0</v>
      </c>
      <c r="Z40" s="21">
        <f t="shared" si="2"/>
        <v>1</v>
      </c>
      <c r="AA40" s="21">
        <f t="shared" si="24"/>
        <v>0</v>
      </c>
      <c r="AB40" s="22">
        <f t="shared" si="4"/>
        <v>0</v>
      </c>
      <c r="AC40" s="25" t="str">
        <f t="shared" si="18"/>
        <v xml:space="preserve"> </v>
      </c>
      <c r="AD40" s="26" t="str">
        <f t="shared" si="19"/>
        <v xml:space="preserve"> </v>
      </c>
      <c r="AE40" s="26" t="str">
        <f t="shared" si="20"/>
        <v xml:space="preserve"> </v>
      </c>
      <c r="AF40" s="27" t="str">
        <f t="shared" si="21"/>
        <v xml:space="preserve"> </v>
      </c>
      <c r="AG40" s="178" t="str">
        <f t="shared" si="9"/>
        <v xml:space="preserve"> </v>
      </c>
      <c r="AH40" s="177" t="str">
        <f t="shared" si="10"/>
        <v xml:space="preserve"> </v>
      </c>
      <c r="AI40" s="177" t="str">
        <f t="shared" si="11"/>
        <v xml:space="preserve"> </v>
      </c>
      <c r="AJ40" s="180" t="str">
        <f t="shared" si="12"/>
        <v xml:space="preserve"> </v>
      </c>
      <c r="AK40" s="178" t="str">
        <f t="shared" si="13"/>
        <v xml:space="preserve"> </v>
      </c>
      <c r="AL40" s="177" t="str">
        <f t="shared" si="14"/>
        <v xml:space="preserve"> </v>
      </c>
      <c r="AM40" s="177" t="str">
        <f t="shared" si="15"/>
        <v xml:space="preserve"> </v>
      </c>
      <c r="AN40" s="179" t="str">
        <f t="shared" si="16"/>
        <v xml:space="preserve"> </v>
      </c>
    </row>
    <row r="41" spans="1:40" ht="18" customHeight="1" thickBot="1" x14ac:dyDescent="0.4">
      <c r="A41" s="333"/>
      <c r="B41" s="19" t="str">
        <f>Mon!B41</f>
        <v>AE</v>
      </c>
      <c r="C41" s="19" t="s">
        <v>37</v>
      </c>
      <c r="D41" s="76">
        <v>306</v>
      </c>
      <c r="E41" s="49">
        <f>_xlfn.XLOOKUP(F41, $G$74:$G$83, $H$74:$H$83, "Training")</f>
        <v>0</v>
      </c>
      <c r="F41" s="50"/>
      <c r="G41" s="49" t="str">
        <f>_xlfn.XLOOKUP(H41, $G$74:$G$83, $H$74:$H$83, "Training")</f>
        <v>AE</v>
      </c>
      <c r="H41" s="50" t="s">
        <v>123</v>
      </c>
      <c r="I41" s="49" t="str">
        <f>_xlfn.XLOOKUP(J41, $G$74:$G$83, $H$74:$H$83, "Training")</f>
        <v>QT</v>
      </c>
      <c r="J41" s="50" t="s">
        <v>148</v>
      </c>
      <c r="O41" s="124"/>
      <c r="U41" s="165" t="str">
        <f>Mon!U41</f>
        <v>(SP)</v>
      </c>
      <c r="V41" s="9">
        <f t="shared" si="0"/>
        <v>2</v>
      </c>
      <c r="W41" s="36">
        <f>SUM(Mon!V41,Tue!V41,Wed!V41,Thur!V41,Fri!V41,Sat!V41)</f>
        <v>20</v>
      </c>
      <c r="X41" s="165" t="str">
        <f>Mon!U41</f>
        <v>(SP)</v>
      </c>
      <c r="Y41" s="20">
        <f t="shared" si="1"/>
        <v>1</v>
      </c>
      <c r="Z41" s="21">
        <f t="shared" si="2"/>
        <v>1</v>
      </c>
      <c r="AA41" s="21">
        <f t="shared" si="24"/>
        <v>0</v>
      </c>
      <c r="AB41" s="22">
        <f t="shared" si="4"/>
        <v>0</v>
      </c>
      <c r="AC41" s="25" t="str">
        <f t="shared" si="18"/>
        <v>PR (F)</v>
      </c>
      <c r="AD41" s="26" t="str">
        <f t="shared" si="19"/>
        <v xml:space="preserve"> </v>
      </c>
      <c r="AE41" s="26" t="str">
        <f t="shared" si="20"/>
        <v xml:space="preserve"> </v>
      </c>
      <c r="AF41" s="27" t="str">
        <f t="shared" si="21"/>
        <v xml:space="preserve"> </v>
      </c>
      <c r="AG41" s="178" t="str">
        <f t="shared" si="9"/>
        <v xml:space="preserve"> </v>
      </c>
      <c r="AH41" s="177" t="str">
        <f t="shared" si="10"/>
        <v>CP (N)</v>
      </c>
      <c r="AI41" s="177" t="str">
        <f t="shared" si="11"/>
        <v xml:space="preserve"> </v>
      </c>
      <c r="AJ41" s="180" t="str">
        <f t="shared" si="12"/>
        <v xml:space="preserve"> </v>
      </c>
      <c r="AK41" s="178" t="str">
        <f t="shared" si="13"/>
        <v xml:space="preserve"> </v>
      </c>
      <c r="AL41" s="177" t="str">
        <f t="shared" si="14"/>
        <v xml:space="preserve"> </v>
      </c>
      <c r="AM41" s="177" t="str">
        <f t="shared" si="15"/>
        <v xml:space="preserve"> </v>
      </c>
      <c r="AN41" s="179" t="str">
        <f t="shared" si="16"/>
        <v xml:space="preserve"> </v>
      </c>
    </row>
    <row r="42" spans="1:40" ht="18" customHeight="1" thickBot="1" x14ac:dyDescent="0.4">
      <c r="A42" s="333"/>
      <c r="B42" s="19" t="str">
        <f>Mon!B42</f>
        <v>AE</v>
      </c>
      <c r="C42" s="19" t="s">
        <v>38</v>
      </c>
      <c r="D42" s="76">
        <v>206</v>
      </c>
      <c r="E42" s="48">
        <f>_xlfn.XLOOKUP(F42, $I$74:$I$83, $J$74:$J$83, "Training")</f>
        <v>0</v>
      </c>
      <c r="F42" s="51"/>
      <c r="G42" s="48" t="str">
        <f>_xlfn.XLOOKUP(H42, $I$74:$I$83, $J$74:$J$83, "Training")</f>
        <v>FA</v>
      </c>
      <c r="H42" s="51" t="s">
        <v>182</v>
      </c>
      <c r="I42" s="48" t="str">
        <f>_xlfn.XLOOKUP(J42, $I$74:$I$83, $J$74:$J$83, "Training")</f>
        <v>GE</v>
      </c>
      <c r="J42" s="51" t="s">
        <v>77</v>
      </c>
      <c r="O42" s="124"/>
      <c r="U42" s="165" t="str">
        <f>Mon!U42</f>
        <v>(SR)</v>
      </c>
      <c r="V42" s="9">
        <f t="shared" si="0"/>
        <v>3</v>
      </c>
      <c r="W42" s="36">
        <f>SUM(Mon!V42,Tue!V42,Wed!V42,Thur!V42,Fri!V42,Sat!V42)</f>
        <v>18</v>
      </c>
      <c r="X42" s="165" t="str">
        <f>Mon!U42</f>
        <v>(SR)</v>
      </c>
      <c r="Y42" s="20">
        <f t="shared" si="1"/>
        <v>1</v>
      </c>
      <c r="Z42" s="21">
        <f t="shared" si="2"/>
        <v>1</v>
      </c>
      <c r="AA42" s="21">
        <f t="shared" si="24"/>
        <v>0</v>
      </c>
      <c r="AB42" s="22">
        <f t="shared" si="4"/>
        <v>0</v>
      </c>
      <c r="AC42" s="25" t="str">
        <f t="shared" si="18"/>
        <v>ECOM (D)</v>
      </c>
      <c r="AD42" s="26" t="str">
        <f t="shared" si="19"/>
        <v>PR (J)</v>
      </c>
      <c r="AE42" s="26" t="str">
        <f t="shared" si="20"/>
        <v>IHRM (L)</v>
      </c>
      <c r="AF42" s="27" t="str">
        <f t="shared" si="21"/>
        <v xml:space="preserve"> </v>
      </c>
      <c r="AG42" s="178" t="str">
        <f t="shared" si="9"/>
        <v xml:space="preserve"> </v>
      </c>
      <c r="AH42" s="177" t="str">
        <f t="shared" si="10"/>
        <v xml:space="preserve"> </v>
      </c>
      <c r="AI42" s="177" t="str">
        <f t="shared" si="11"/>
        <v xml:space="preserve"> </v>
      </c>
      <c r="AJ42" s="180" t="str">
        <f t="shared" si="12"/>
        <v xml:space="preserve"> </v>
      </c>
      <c r="AK42" s="178" t="str">
        <f t="shared" si="13"/>
        <v xml:space="preserve"> </v>
      </c>
      <c r="AL42" s="177" t="str">
        <f t="shared" si="14"/>
        <v xml:space="preserve"> </v>
      </c>
      <c r="AM42" s="177" t="str">
        <f t="shared" si="15"/>
        <v xml:space="preserve"> </v>
      </c>
      <c r="AN42" s="179" t="str">
        <f t="shared" si="16"/>
        <v xml:space="preserve"> </v>
      </c>
    </row>
    <row r="43" spans="1:40" ht="18" customHeight="1" thickBot="1" x14ac:dyDescent="0.4">
      <c r="A43" s="333"/>
      <c r="B43" s="19" t="str">
        <f>Mon!B43</f>
        <v>AE</v>
      </c>
      <c r="C43" s="19" t="s">
        <v>65</v>
      </c>
      <c r="D43" s="76">
        <v>207</v>
      </c>
      <c r="E43" s="48">
        <f>_xlfn.XLOOKUP(F43, $K$74:$K$83, $L$74:$L$83, "Training")</f>
        <v>0</v>
      </c>
      <c r="F43" s="51"/>
      <c r="G43" s="48" t="str">
        <f>_xlfn.XLOOKUP(H43, $K$74:$K$83, $L$74:$L$83, "Training")</f>
        <v>QT</v>
      </c>
      <c r="H43" s="51" t="s">
        <v>120</v>
      </c>
      <c r="I43" s="48" t="str">
        <f>_xlfn.XLOOKUP(J43, $K$74:$K$83, $L$74:$L$83, "Training")</f>
        <v>BT</v>
      </c>
      <c r="J43" s="51" t="s">
        <v>95</v>
      </c>
      <c r="O43" s="124"/>
      <c r="U43" s="165" t="str">
        <f>Mon!U43</f>
        <v>(SRN)</v>
      </c>
      <c r="V43" s="9">
        <f t="shared" si="0"/>
        <v>3</v>
      </c>
      <c r="W43" s="36">
        <f>SUM(Mon!V43,Tue!V43,Wed!V43,Thur!V43,Fri!V43,Sat!V43)</f>
        <v>19</v>
      </c>
      <c r="X43" s="165" t="str">
        <f>Mon!U43</f>
        <v>(SRN)</v>
      </c>
      <c r="Y43" s="20">
        <f t="shared" si="1"/>
        <v>1</v>
      </c>
      <c r="Z43" s="21">
        <f t="shared" si="2"/>
        <v>1</v>
      </c>
      <c r="AA43" s="21">
        <f t="shared" si="24"/>
        <v>0</v>
      </c>
      <c r="AB43" s="22">
        <f t="shared" si="4"/>
        <v>0</v>
      </c>
      <c r="AC43" s="25" t="str">
        <f t="shared" si="18"/>
        <v>IT (A)</v>
      </c>
      <c r="AD43" s="26" t="str">
        <f t="shared" si="19"/>
        <v>IF (B)</v>
      </c>
      <c r="AE43" s="26" t="str">
        <f t="shared" si="20"/>
        <v>IF (E)</v>
      </c>
      <c r="AF43" s="27" t="str">
        <f t="shared" si="21"/>
        <v xml:space="preserve"> </v>
      </c>
      <c r="AG43" s="178" t="str">
        <f t="shared" si="9"/>
        <v xml:space="preserve"> </v>
      </c>
      <c r="AH43" s="177" t="str">
        <f t="shared" si="10"/>
        <v xml:space="preserve"> </v>
      </c>
      <c r="AI43" s="177" t="str">
        <f t="shared" si="11"/>
        <v xml:space="preserve"> </v>
      </c>
      <c r="AJ43" s="180" t="str">
        <f t="shared" si="12"/>
        <v xml:space="preserve"> </v>
      </c>
      <c r="AK43" s="178" t="str">
        <f t="shared" si="13"/>
        <v xml:space="preserve"> </v>
      </c>
      <c r="AL43" s="177" t="str">
        <f t="shared" si="14"/>
        <v xml:space="preserve"> </v>
      </c>
      <c r="AM43" s="177" t="str">
        <f t="shared" si="15"/>
        <v xml:space="preserve"> </v>
      </c>
      <c r="AN43" s="179" t="str">
        <f t="shared" si="16"/>
        <v xml:space="preserve"> </v>
      </c>
    </row>
    <row r="44" spans="1:40" ht="18" customHeight="1" thickBot="1" x14ac:dyDescent="0.4">
      <c r="A44" s="333"/>
      <c r="B44" s="19" t="str">
        <f>Mon!B44</f>
        <v>AE</v>
      </c>
      <c r="C44" s="19" t="s">
        <v>69</v>
      </c>
      <c r="D44" s="76">
        <v>202</v>
      </c>
      <c r="E44" s="48">
        <f>_xlfn.XLOOKUP(F44, $M$74:$M$83, $N$74:$N$83, "Training")</f>
        <v>0</v>
      </c>
      <c r="F44" s="51"/>
      <c r="G44" s="48" t="str">
        <f>_xlfn.XLOOKUP(H44, $M$74:$M$83, $N$74:$N$83, "Training")</f>
        <v>GE</v>
      </c>
      <c r="H44" s="51" t="s">
        <v>144</v>
      </c>
      <c r="I44" s="48" t="str">
        <f>_xlfn.XLOOKUP(J44, $M$74:$M$83, $N$74:$N$83, "Training")</f>
        <v>FA</v>
      </c>
      <c r="J44" s="51" t="s">
        <v>145</v>
      </c>
      <c r="O44" s="124"/>
      <c r="U44" s="165" t="str">
        <f>Mon!U44</f>
        <v>(SRS)</v>
      </c>
      <c r="V44" s="9">
        <f t="shared" si="0"/>
        <v>2</v>
      </c>
      <c r="W44" s="36">
        <f>SUM(Mon!V44,Tue!V44,Wed!V44,Thur!V44,Fri!V44,Sat!V44)</f>
        <v>18</v>
      </c>
      <c r="X44" s="165" t="str">
        <f>Mon!U44</f>
        <v>(SRS)</v>
      </c>
      <c r="Y44" s="20">
        <f t="shared" si="1"/>
        <v>1</v>
      </c>
      <c r="Z44" s="21">
        <f t="shared" si="2"/>
        <v>1</v>
      </c>
      <c r="AA44" s="21">
        <f t="shared" si="24"/>
        <v>0</v>
      </c>
      <c r="AB44" s="22">
        <f t="shared" si="4"/>
        <v>0</v>
      </c>
      <c r="AC44" s="25" t="str">
        <f t="shared" si="18"/>
        <v xml:space="preserve"> </v>
      </c>
      <c r="AD44" s="26" t="str">
        <f t="shared" si="19"/>
        <v xml:space="preserve"> </v>
      </c>
      <c r="AE44" s="26" t="str">
        <f t="shared" si="20"/>
        <v xml:space="preserve"> </v>
      </c>
      <c r="AF44" s="27" t="str">
        <f t="shared" si="21"/>
        <v xml:space="preserve"> </v>
      </c>
      <c r="AG44" s="178" t="str">
        <f t="shared" si="9"/>
        <v>MM (H)</v>
      </c>
      <c r="AH44" s="177" t="str">
        <f t="shared" si="10"/>
        <v>MM (B)</v>
      </c>
      <c r="AI44" s="177" t="str">
        <f t="shared" si="11"/>
        <v xml:space="preserve"> </v>
      </c>
      <c r="AJ44" s="180" t="str">
        <f t="shared" si="12"/>
        <v xml:space="preserve"> </v>
      </c>
      <c r="AK44" s="178" t="str">
        <f t="shared" si="13"/>
        <v xml:space="preserve"> </v>
      </c>
      <c r="AL44" s="177" t="str">
        <f t="shared" si="14"/>
        <v xml:space="preserve"> </v>
      </c>
      <c r="AM44" s="177" t="str">
        <f t="shared" si="15"/>
        <v xml:space="preserve"> </v>
      </c>
      <c r="AN44" s="179" t="str">
        <f t="shared" si="16"/>
        <v xml:space="preserve"> </v>
      </c>
    </row>
    <row r="45" spans="1:40" ht="18" customHeight="1" thickBot="1" x14ac:dyDescent="0.4">
      <c r="A45" s="333"/>
      <c r="B45" s="19" t="str">
        <f>Mon!B45</f>
        <v>AE</v>
      </c>
      <c r="C45" s="19" t="s">
        <v>72</v>
      </c>
      <c r="D45" s="76">
        <v>205</v>
      </c>
      <c r="E45" s="48">
        <f>_xlfn.XLOOKUP(F45, $O$74:$O$83, $P$74:$P$83, "Training")</f>
        <v>0</v>
      </c>
      <c r="F45" s="51"/>
      <c r="G45" s="48" t="str">
        <f>_xlfn.XLOOKUP(H45, $O$74:$O$83, $P$74:$P$83, "Training")</f>
        <v>BT</v>
      </c>
      <c r="H45" s="51" t="s">
        <v>56</v>
      </c>
      <c r="I45" s="48" t="str">
        <f>_xlfn.XLOOKUP(J45, $O$74:$O$83, $P$74:$P$83, "Training")</f>
        <v>AE</v>
      </c>
      <c r="J45" s="51" t="s">
        <v>147</v>
      </c>
      <c r="O45" s="125"/>
      <c r="U45" s="165" t="str">
        <f>Mon!U45</f>
        <v>(SUH)</v>
      </c>
      <c r="V45" s="9">
        <f t="shared" si="0"/>
        <v>3</v>
      </c>
      <c r="W45" s="36">
        <f>SUM(Mon!V45,Tue!V45,Wed!V45,Thur!V45,Fri!V45,Sat!V45)</f>
        <v>18</v>
      </c>
      <c r="X45" s="165" t="str">
        <f>Mon!U45</f>
        <v>(SUH)</v>
      </c>
      <c r="Y45" s="20">
        <f t="shared" si="1"/>
        <v>1</v>
      </c>
      <c r="Z45" s="21">
        <f t="shared" si="2"/>
        <v>1</v>
      </c>
      <c r="AA45" s="21">
        <f t="shared" si="24"/>
        <v>1</v>
      </c>
      <c r="AB45" s="22">
        <f t="shared" si="4"/>
        <v>0</v>
      </c>
      <c r="AC45" s="25" t="str">
        <f t="shared" si="18"/>
        <v xml:space="preserve"> </v>
      </c>
      <c r="AD45" s="26" t="str">
        <f t="shared" si="19"/>
        <v xml:space="preserve"> </v>
      </c>
      <c r="AE45" s="26" t="str">
        <f t="shared" si="20"/>
        <v xml:space="preserve"> </v>
      </c>
      <c r="AF45" s="27" t="str">
        <f t="shared" si="21"/>
        <v xml:space="preserve"> </v>
      </c>
      <c r="AG45" s="178" t="str">
        <f t="shared" si="9"/>
        <v>EVS</v>
      </c>
      <c r="AH45" s="177" t="str">
        <f t="shared" si="10"/>
        <v>CM (M)</v>
      </c>
      <c r="AI45" s="177" t="str">
        <f t="shared" si="11"/>
        <v>HR (E)</v>
      </c>
      <c r="AJ45" s="180" t="str">
        <f t="shared" si="12"/>
        <v xml:space="preserve"> </v>
      </c>
      <c r="AK45" s="178" t="str">
        <f t="shared" si="13"/>
        <v xml:space="preserve"> </v>
      </c>
      <c r="AL45" s="177" t="str">
        <f t="shared" si="14"/>
        <v xml:space="preserve"> </v>
      </c>
      <c r="AM45" s="177" t="str">
        <f t="shared" si="15"/>
        <v xml:space="preserve"> </v>
      </c>
      <c r="AN45" s="179" t="str">
        <f t="shared" si="16"/>
        <v xml:space="preserve"> </v>
      </c>
    </row>
    <row r="46" spans="1:40" ht="18" customHeight="1" thickBot="1" x14ac:dyDescent="0.4">
      <c r="A46" s="333"/>
      <c r="B46" s="19" t="str">
        <f>Mon!B46</f>
        <v>HIN</v>
      </c>
      <c r="C46" s="19" t="s">
        <v>76</v>
      </c>
      <c r="D46" s="76">
        <v>203</v>
      </c>
      <c r="E46" s="48">
        <f>_xlfn.XLOOKUP(F46, $Q$74:$Q$83, $R$74:$R$83, "Training")</f>
        <v>0</v>
      </c>
      <c r="F46" s="51"/>
      <c r="G46" s="48" t="str">
        <f>_xlfn.XLOOKUP(H46, $Q$74:$Q$83, $R$74:$R$83, "Training")</f>
        <v>BT</v>
      </c>
      <c r="H46" s="51" t="s">
        <v>95</v>
      </c>
      <c r="I46" s="48" t="str">
        <f>_xlfn.XLOOKUP(J46, $Q$74:$Q$83, $R$74:$R$83, "Training")</f>
        <v>QT</v>
      </c>
      <c r="J46" s="51" t="s">
        <v>120</v>
      </c>
      <c r="O46" s="122"/>
      <c r="U46" s="165" t="str">
        <f>Mon!U46</f>
        <v>(SUN)</v>
      </c>
      <c r="V46" s="9">
        <f t="shared" si="0"/>
        <v>1</v>
      </c>
      <c r="W46" s="36">
        <f>SUM(Mon!V46,Tue!V46,Wed!V46,Thur!V46,Fri!V46,Sat!V46)</f>
        <v>13</v>
      </c>
      <c r="X46" s="165" t="str">
        <f>Mon!U46</f>
        <v>(SUN)</v>
      </c>
      <c r="Y46" s="20">
        <f t="shared" si="1"/>
        <v>0</v>
      </c>
      <c r="Z46" s="21">
        <f t="shared" si="2"/>
        <v>1</v>
      </c>
      <c r="AA46" s="21">
        <f t="shared" si="24"/>
        <v>0</v>
      </c>
      <c r="AB46" s="22">
        <f t="shared" si="4"/>
        <v>0</v>
      </c>
      <c r="AC46" s="25" t="str">
        <f t="shared" si="18"/>
        <v xml:space="preserve"> </v>
      </c>
      <c r="AD46" s="26" t="str">
        <f t="shared" si="19"/>
        <v>IB (C)</v>
      </c>
      <c r="AE46" s="26" t="str">
        <f t="shared" si="20"/>
        <v xml:space="preserve"> </v>
      </c>
      <c r="AF46" s="27" t="str">
        <f t="shared" si="21"/>
        <v xml:space="preserve"> </v>
      </c>
      <c r="AG46" s="178" t="str">
        <f t="shared" si="9"/>
        <v xml:space="preserve"> </v>
      </c>
      <c r="AH46" s="177" t="str">
        <f t="shared" si="10"/>
        <v xml:space="preserve"> </v>
      </c>
      <c r="AI46" s="177" t="str">
        <f t="shared" si="11"/>
        <v xml:space="preserve"> </v>
      </c>
      <c r="AJ46" s="180" t="str">
        <f t="shared" si="12"/>
        <v xml:space="preserve"> </v>
      </c>
      <c r="AK46" s="178" t="str">
        <f t="shared" si="13"/>
        <v xml:space="preserve"> </v>
      </c>
      <c r="AL46" s="177" t="str">
        <f t="shared" si="14"/>
        <v xml:space="preserve"> </v>
      </c>
      <c r="AM46" s="177" t="str">
        <f t="shared" si="15"/>
        <v xml:space="preserve"> </v>
      </c>
      <c r="AN46" s="179" t="str">
        <f t="shared" si="16"/>
        <v xml:space="preserve"> </v>
      </c>
    </row>
    <row r="47" spans="1:40" ht="18" customHeight="1" thickBot="1" x14ac:dyDescent="0.4">
      <c r="A47" s="333"/>
      <c r="B47" s="19" t="str">
        <f>Mon!B47</f>
        <v>HIN</v>
      </c>
      <c r="C47" s="19" t="s">
        <v>79</v>
      </c>
      <c r="D47" s="76">
        <v>201</v>
      </c>
      <c r="E47" s="48">
        <f>_xlfn.XLOOKUP(F47, $S$74:$S$83, $T$74:$T$83, "Training")</f>
        <v>0</v>
      </c>
      <c r="F47" s="51"/>
      <c r="G47" s="48" t="str">
        <f>_xlfn.XLOOKUP(H47, $S$74:$S$83, $T$74:$T$83, "Training")</f>
        <v>QT</v>
      </c>
      <c r="H47" s="51" t="s">
        <v>75</v>
      </c>
      <c r="I47" s="48" t="str">
        <f>_xlfn.XLOOKUP(J47, $S$74:$S$83, $T$74:$T$83, "Training")</f>
        <v>BM</v>
      </c>
      <c r="J47" s="51" t="s">
        <v>146</v>
      </c>
      <c r="O47" s="66"/>
      <c r="U47" s="165" t="str">
        <f>Mon!U47</f>
        <v>(SUP)</v>
      </c>
      <c r="V47" s="9">
        <f t="shared" si="0"/>
        <v>2</v>
      </c>
      <c r="W47" s="36">
        <f>SUM(Mon!V47,Tue!V47,Wed!V47,Thur!V47,Fri!V47,Sat!V47)</f>
        <v>17</v>
      </c>
      <c r="X47" s="165" t="str">
        <f>Mon!U47</f>
        <v>(SUP)</v>
      </c>
      <c r="Y47" s="20">
        <f t="shared" si="1"/>
        <v>0</v>
      </c>
      <c r="Z47" s="21">
        <f t="shared" si="2"/>
        <v>1</v>
      </c>
      <c r="AA47" s="21">
        <f t="shared" si="24"/>
        <v>0</v>
      </c>
      <c r="AB47" s="22">
        <f t="shared" si="4"/>
        <v>0</v>
      </c>
      <c r="AC47" s="25" t="str">
        <f t="shared" si="18"/>
        <v xml:space="preserve"> </v>
      </c>
      <c r="AD47" s="26" t="str">
        <f t="shared" si="19"/>
        <v>IT (I)</v>
      </c>
      <c r="AE47" s="26" t="str">
        <f t="shared" si="20"/>
        <v>IT (C)</v>
      </c>
      <c r="AF47" s="27" t="str">
        <f t="shared" si="21"/>
        <v xml:space="preserve"> </v>
      </c>
      <c r="AG47" s="178" t="str">
        <f t="shared" si="9"/>
        <v xml:space="preserve"> </v>
      </c>
      <c r="AH47" s="177" t="str">
        <f t="shared" si="10"/>
        <v xml:space="preserve"> </v>
      </c>
      <c r="AI47" s="177" t="str">
        <f t="shared" si="11"/>
        <v xml:space="preserve"> </v>
      </c>
      <c r="AJ47" s="180" t="str">
        <f t="shared" si="12"/>
        <v xml:space="preserve"> </v>
      </c>
      <c r="AK47" s="178" t="str">
        <f t="shared" si="13"/>
        <v xml:space="preserve"> </v>
      </c>
      <c r="AL47" s="177" t="str">
        <f t="shared" si="14"/>
        <v xml:space="preserve"> </v>
      </c>
      <c r="AM47" s="177" t="str">
        <f t="shared" si="15"/>
        <v xml:space="preserve"> </v>
      </c>
      <c r="AN47" s="179" t="str">
        <f t="shared" si="16"/>
        <v xml:space="preserve"> </v>
      </c>
    </row>
    <row r="48" spans="1:40" ht="18" customHeight="1" thickBot="1" x14ac:dyDescent="0.4">
      <c r="A48" s="333"/>
      <c r="B48" s="19" t="str">
        <f>Mon!B48</f>
        <v>HIN</v>
      </c>
      <c r="C48" s="19" t="s">
        <v>81</v>
      </c>
      <c r="D48" s="76">
        <v>301</v>
      </c>
      <c r="E48" s="48">
        <f>_xlfn.XLOOKUP(F48, $U$74:$U$83, $V$74:$V$83, "Training")</f>
        <v>0</v>
      </c>
      <c r="F48" s="51"/>
      <c r="G48" s="48" t="str">
        <f>_xlfn.XLOOKUP(H48, $U$74:$U$83, $V$74:$V$83, "Training")</f>
        <v>FA</v>
      </c>
      <c r="H48" s="51" t="s">
        <v>110</v>
      </c>
      <c r="I48" s="48" t="str">
        <f>_xlfn.XLOOKUP(J48, $U$74:$U$83, $V$74:$V$83, "Training")</f>
        <v>QT</v>
      </c>
      <c r="J48" s="51" t="s">
        <v>75</v>
      </c>
      <c r="O48" s="66"/>
      <c r="U48" s="165" t="str">
        <f>Mon!U48</f>
        <v>(SV)</v>
      </c>
      <c r="V48" s="9">
        <f t="shared" si="0"/>
        <v>1</v>
      </c>
      <c r="W48" s="36">
        <f>SUM(Mon!V48,Tue!V48,Wed!V48,Thur!V48,Fri!V48,Sat!V48)</f>
        <v>12</v>
      </c>
      <c r="X48" s="165" t="str">
        <f>Mon!U48</f>
        <v>(SV)</v>
      </c>
      <c r="Y48" s="20">
        <f t="shared" si="1"/>
        <v>0</v>
      </c>
      <c r="Z48" s="21">
        <f t="shared" si="2"/>
        <v>1</v>
      </c>
      <c r="AA48" s="21">
        <f t="shared" si="24"/>
        <v>0</v>
      </c>
      <c r="AB48" s="22">
        <f t="shared" si="4"/>
        <v>0</v>
      </c>
      <c r="AC48" s="25" t="str">
        <f t="shared" si="18"/>
        <v xml:space="preserve"> </v>
      </c>
      <c r="AD48" s="26" t="str">
        <f t="shared" si="19"/>
        <v xml:space="preserve"> </v>
      </c>
      <c r="AE48" s="26" t="str">
        <f t="shared" si="20"/>
        <v xml:space="preserve"> </v>
      </c>
      <c r="AF48" s="27" t="str">
        <f t="shared" si="21"/>
        <v xml:space="preserve"> </v>
      </c>
      <c r="AG48" s="178" t="str">
        <f t="shared" si="9"/>
        <v xml:space="preserve"> </v>
      </c>
      <c r="AH48" s="177" t="str">
        <f t="shared" si="10"/>
        <v xml:space="preserve"> </v>
      </c>
      <c r="AI48" s="177" t="str">
        <f t="shared" si="11"/>
        <v xml:space="preserve"> </v>
      </c>
      <c r="AJ48" s="180" t="str">
        <f t="shared" si="12"/>
        <v xml:space="preserve"> </v>
      </c>
      <c r="AK48" s="178" t="str">
        <f t="shared" si="13"/>
        <v xml:space="preserve"> </v>
      </c>
      <c r="AL48" s="177" t="str">
        <f t="shared" si="14"/>
        <v xml:space="preserve"> </v>
      </c>
      <c r="AM48" s="177" t="str">
        <f t="shared" si="15"/>
        <v xml:space="preserve"> </v>
      </c>
      <c r="AN48" s="179" t="str">
        <f t="shared" si="16"/>
        <v xml:space="preserve"> </v>
      </c>
    </row>
    <row r="49" spans="1:40" ht="15.75" customHeight="1" thickBot="1" x14ac:dyDescent="0.4">
      <c r="A49" s="333"/>
      <c r="B49" s="19" t="s">
        <v>152</v>
      </c>
      <c r="C49" s="19" t="s">
        <v>84</v>
      </c>
      <c r="D49" s="91">
        <v>307</v>
      </c>
      <c r="E49" s="48">
        <f>_xlfn.XLOOKUP(F49, $W$74:$W$83, $X$74:$X$83, "Training")</f>
        <v>0</v>
      </c>
      <c r="F49" s="51"/>
      <c r="G49" s="48" t="str">
        <f>_xlfn.XLOOKUP(H49, $W$74:$W$83, $X$74:$X$83, "Training")</f>
        <v>BT</v>
      </c>
      <c r="H49" s="51" t="s">
        <v>146</v>
      </c>
      <c r="I49" s="48" t="str">
        <f>_xlfn.XLOOKUP(J49, $W$74:$W$83, $X$74:$X$83, "Training")</f>
        <v>HIN</v>
      </c>
      <c r="J49" s="51" t="s">
        <v>153</v>
      </c>
      <c r="O49" s="66"/>
      <c r="U49" s="165" t="str">
        <f>Mon!U49</f>
        <v>(SW)</v>
      </c>
      <c r="V49" s="9">
        <f t="shared" si="0"/>
        <v>3</v>
      </c>
      <c r="W49" s="36">
        <f>SUM(Mon!V49,Tue!V49,Wed!V49,Thur!V49,Fri!V49,Sat!V49)</f>
        <v>19</v>
      </c>
      <c r="X49" s="165" t="str">
        <f>Mon!U49</f>
        <v>(SW)</v>
      </c>
      <c r="Y49" s="20">
        <f t="shared" si="1"/>
        <v>1</v>
      </c>
      <c r="Z49" s="21">
        <f t="shared" si="2"/>
        <v>1</v>
      </c>
      <c r="AA49" s="21">
        <f t="shared" si="24"/>
        <v>1</v>
      </c>
      <c r="AB49" s="22">
        <f t="shared" si="4"/>
        <v>0</v>
      </c>
      <c r="AC49" s="25" t="str">
        <f t="shared" si="18"/>
        <v xml:space="preserve"> </v>
      </c>
      <c r="AD49" s="26" t="str">
        <f t="shared" si="19"/>
        <v xml:space="preserve"> </v>
      </c>
      <c r="AE49" s="26" t="str">
        <f t="shared" si="20"/>
        <v xml:space="preserve"> </v>
      </c>
      <c r="AF49" s="27" t="str">
        <f t="shared" si="21"/>
        <v xml:space="preserve"> </v>
      </c>
      <c r="AG49" s="178" t="str">
        <f t="shared" si="9"/>
        <v>CA (E)</v>
      </c>
      <c r="AH49" s="177" t="str">
        <f t="shared" si="10"/>
        <v>CA (J)</v>
      </c>
      <c r="AI49" s="177" t="str">
        <f t="shared" si="11"/>
        <v>CA (M)</v>
      </c>
      <c r="AJ49" s="180" t="str">
        <f t="shared" si="12"/>
        <v xml:space="preserve"> </v>
      </c>
      <c r="AK49" s="178" t="str">
        <f t="shared" si="13"/>
        <v xml:space="preserve"> </v>
      </c>
      <c r="AL49" s="177" t="str">
        <f t="shared" si="14"/>
        <v xml:space="preserve"> </v>
      </c>
      <c r="AM49" s="177" t="str">
        <f t="shared" si="15"/>
        <v xml:space="preserve"> </v>
      </c>
      <c r="AN49" s="179" t="str">
        <f t="shared" si="16"/>
        <v xml:space="preserve"> </v>
      </c>
    </row>
    <row r="50" spans="1:40" ht="15.75" customHeight="1" thickBot="1" x14ac:dyDescent="0.4">
      <c r="A50" s="333"/>
      <c r="B50" s="19" t="s">
        <v>154</v>
      </c>
      <c r="C50" s="19" t="s">
        <v>126</v>
      </c>
      <c r="D50" s="91"/>
      <c r="E50" s="83">
        <f>_xlfn.XLOOKUP(F50, $Y$74:$Y$83, $Z$74:$Z$83, "Training")</f>
        <v>0</v>
      </c>
      <c r="F50" s="187"/>
      <c r="G50" s="83" t="str">
        <f>_xlfn.XLOOKUP(H50, $Y$74:$Y$83, $Z$74:$Z$83, "Training")</f>
        <v>FA</v>
      </c>
      <c r="H50" s="187" t="s">
        <v>145</v>
      </c>
      <c r="I50" s="83" t="str">
        <f>_xlfn.XLOOKUP(J50, $Y$74:$Y$83, $Z$74:$Z$83, "Training")</f>
        <v>BM</v>
      </c>
      <c r="J50" s="204" t="s">
        <v>149</v>
      </c>
      <c r="O50" s="66"/>
      <c r="U50" s="165" t="str">
        <f>Mon!U50</f>
        <v>(TK)</v>
      </c>
      <c r="V50" s="9">
        <f t="shared" si="0"/>
        <v>2</v>
      </c>
      <c r="W50" s="36">
        <f>SUM(Mon!V50,Tue!V50,Wed!V50,Thur!V50,Fri!V50,Sat!V50)</f>
        <v>16</v>
      </c>
      <c r="X50" s="165" t="str">
        <f>Mon!U50</f>
        <v>(TK)</v>
      </c>
      <c r="Y50" s="20">
        <f t="shared" si="1"/>
        <v>1</v>
      </c>
      <c r="Z50" s="21">
        <f t="shared" si="2"/>
        <v>0</v>
      </c>
      <c r="AA50" s="21">
        <f t="shared" si="24"/>
        <v>0</v>
      </c>
      <c r="AB50" s="22">
        <f t="shared" si="4"/>
        <v>0</v>
      </c>
      <c r="AC50" s="25" t="str">
        <f t="shared" si="18"/>
        <v xml:space="preserve"> </v>
      </c>
      <c r="AD50" s="26" t="str">
        <f t="shared" si="19"/>
        <v xml:space="preserve"> </v>
      </c>
      <c r="AE50" s="26" t="str">
        <f t="shared" si="20"/>
        <v>MA (B)</v>
      </c>
      <c r="AF50" s="27" t="str">
        <f t="shared" si="21"/>
        <v xml:space="preserve"> </v>
      </c>
      <c r="AG50" s="178" t="str">
        <f t="shared" si="9"/>
        <v xml:space="preserve">CA </v>
      </c>
      <c r="AH50" s="177" t="str">
        <f t="shared" si="10"/>
        <v xml:space="preserve"> </v>
      </c>
      <c r="AI50" s="177" t="str">
        <f t="shared" si="11"/>
        <v xml:space="preserve"> </v>
      </c>
      <c r="AJ50" s="180" t="str">
        <f t="shared" si="12"/>
        <v xml:space="preserve"> </v>
      </c>
      <c r="AK50" s="178" t="str">
        <f t="shared" si="13"/>
        <v xml:space="preserve"> </v>
      </c>
      <c r="AL50" s="177" t="str">
        <f t="shared" si="14"/>
        <v xml:space="preserve"> </v>
      </c>
      <c r="AM50" s="177" t="str">
        <f t="shared" si="15"/>
        <v xml:space="preserve"> </v>
      </c>
      <c r="AN50" s="179" t="str">
        <f t="shared" si="16"/>
        <v xml:space="preserve"> </v>
      </c>
    </row>
    <row r="51" spans="1:40" ht="15.75" customHeight="1" thickBot="1" x14ac:dyDescent="0.4">
      <c r="A51" s="333"/>
      <c r="B51" s="161" t="s">
        <v>155</v>
      </c>
      <c r="C51" s="98" t="s">
        <v>128</v>
      </c>
      <c r="D51" s="201"/>
      <c r="E51" s="49">
        <f>_xlfn.XLOOKUP(F51, $AA$74:$AA$83, $AB$74:$AB$83, "Training")</f>
        <v>0</v>
      </c>
      <c r="F51" s="203"/>
      <c r="G51" s="49" t="str">
        <f>_xlfn.XLOOKUP(H51, $AA$74:$AA$83, $AB$74:$AB$83, "Training")</f>
        <v>GE</v>
      </c>
      <c r="H51" s="203" t="s">
        <v>133</v>
      </c>
      <c r="I51" s="49" t="str">
        <f>_xlfn.XLOOKUP(J51, $AA$74:$AA$83, $AB$74:$AB$83, "Training")</f>
        <v>QT</v>
      </c>
      <c r="J51" s="202" t="s">
        <v>151</v>
      </c>
      <c r="O51" s="66"/>
      <c r="U51" s="165" t="str">
        <f>Mon!U51</f>
        <v>(UK)</v>
      </c>
      <c r="V51" s="9">
        <f t="shared" si="0"/>
        <v>2</v>
      </c>
      <c r="W51" s="36">
        <f>SUM(Mon!V51,Tue!V51,Wed!V51,Thur!V51,Fri!V51,Sat!V51)</f>
        <v>13</v>
      </c>
      <c r="X51" s="165" t="str">
        <f>Mon!U51</f>
        <v>(UK)</v>
      </c>
      <c r="Y51" s="20">
        <f t="shared" si="1"/>
        <v>1</v>
      </c>
      <c r="Z51" s="21">
        <f t="shared" si="2"/>
        <v>0</v>
      </c>
      <c r="AA51" s="21">
        <f t="shared" si="24"/>
        <v>0</v>
      </c>
      <c r="AB51" s="22">
        <f t="shared" si="4"/>
        <v>0</v>
      </c>
      <c r="AC51" s="25" t="str">
        <f t="shared" si="18"/>
        <v>IT (B)</v>
      </c>
      <c r="AD51" s="26" t="str">
        <f t="shared" si="19"/>
        <v xml:space="preserve"> </v>
      </c>
      <c r="AE51" s="26" t="str">
        <f t="shared" si="20"/>
        <v>IT (G)</v>
      </c>
      <c r="AF51" s="27" t="str">
        <f t="shared" si="21"/>
        <v xml:space="preserve"> </v>
      </c>
      <c r="AG51" s="178" t="str">
        <f t="shared" si="9"/>
        <v xml:space="preserve"> </v>
      </c>
      <c r="AH51" s="177" t="str">
        <f t="shared" si="10"/>
        <v xml:space="preserve"> </v>
      </c>
      <c r="AI51" s="177" t="str">
        <f t="shared" si="11"/>
        <v xml:space="preserve"> </v>
      </c>
      <c r="AJ51" s="180" t="str">
        <f t="shared" si="12"/>
        <v xml:space="preserve"> </v>
      </c>
      <c r="AK51" s="178" t="str">
        <f t="shared" si="13"/>
        <v xml:space="preserve"> </v>
      </c>
      <c r="AL51" s="177" t="str">
        <f t="shared" si="14"/>
        <v xml:space="preserve"> </v>
      </c>
      <c r="AM51" s="177" t="str">
        <f t="shared" si="15"/>
        <v xml:space="preserve"> </v>
      </c>
      <c r="AN51" s="179" t="str">
        <f t="shared" si="16"/>
        <v xml:space="preserve"> </v>
      </c>
    </row>
    <row r="52" spans="1:40" ht="15.75" customHeight="1" thickBot="1" x14ac:dyDescent="0.4">
      <c r="A52" s="333"/>
      <c r="B52" s="19" t="s">
        <v>87</v>
      </c>
      <c r="C52" s="98" t="s">
        <v>41</v>
      </c>
      <c r="D52" s="201">
        <v>401</v>
      </c>
      <c r="E52" s="48" t="s">
        <v>159</v>
      </c>
      <c r="F52" s="51" t="s">
        <v>131</v>
      </c>
      <c r="G52" s="48" t="s">
        <v>177</v>
      </c>
      <c r="H52" s="51" t="s">
        <v>94</v>
      </c>
      <c r="I52" s="48" t="s">
        <v>157</v>
      </c>
      <c r="J52" s="51" t="s">
        <v>98</v>
      </c>
      <c r="O52" s="66"/>
      <c r="U52" s="165" t="str">
        <f>Mon!U52</f>
        <v>(VA)</v>
      </c>
      <c r="V52" s="9">
        <f t="shared" si="0"/>
        <v>3</v>
      </c>
      <c r="W52" s="36">
        <f>SUM(Mon!V52,Tue!V52,Wed!V52,Thur!V52,Fri!V52,Sat!V52)</f>
        <v>18</v>
      </c>
      <c r="X52" s="165" t="str">
        <f>Mon!U52</f>
        <v>(VA)</v>
      </c>
      <c r="Y52" s="20">
        <f t="shared" si="1"/>
        <v>1</v>
      </c>
      <c r="Z52" s="23">
        <f t="shared" si="2"/>
        <v>1</v>
      </c>
      <c r="AA52" s="23">
        <f t="shared" si="24"/>
        <v>1</v>
      </c>
      <c r="AB52" s="24">
        <f t="shared" si="4"/>
        <v>0</v>
      </c>
      <c r="AC52" s="25" t="str">
        <f t="shared" si="18"/>
        <v xml:space="preserve"> </v>
      </c>
      <c r="AD52" s="26" t="str">
        <f t="shared" si="19"/>
        <v xml:space="preserve"> </v>
      </c>
      <c r="AE52" s="26" t="str">
        <f t="shared" si="20"/>
        <v xml:space="preserve"> </v>
      </c>
      <c r="AF52" s="27" t="str">
        <f t="shared" si="21"/>
        <v xml:space="preserve"> </v>
      </c>
      <c r="AG52" s="178" t="str">
        <f t="shared" si="9"/>
        <v>CA (I)</v>
      </c>
      <c r="AH52" s="177" t="str">
        <f t="shared" si="10"/>
        <v xml:space="preserve"> </v>
      </c>
      <c r="AI52" s="177" t="str">
        <f t="shared" si="11"/>
        <v>CA (F)</v>
      </c>
      <c r="AJ52" s="180" t="str">
        <f t="shared" si="12"/>
        <v xml:space="preserve"> </v>
      </c>
      <c r="AK52" s="178" t="str">
        <f t="shared" si="13"/>
        <v xml:space="preserve"> </v>
      </c>
      <c r="AL52" s="177" t="str">
        <f t="shared" si="14"/>
        <v>FA (K)</v>
      </c>
      <c r="AM52" s="177" t="str">
        <f t="shared" si="15"/>
        <v xml:space="preserve"> </v>
      </c>
      <c r="AN52" s="179" t="str">
        <f t="shared" si="16"/>
        <v xml:space="preserve"> </v>
      </c>
    </row>
    <row r="53" spans="1:40" x14ac:dyDescent="0.35">
      <c r="A53" s="334"/>
      <c r="B53" s="19" t="s">
        <v>87</v>
      </c>
      <c r="C53" s="98" t="s">
        <v>49</v>
      </c>
      <c r="D53" s="201">
        <v>402</v>
      </c>
      <c r="E53" s="48" t="s">
        <v>157</v>
      </c>
      <c r="F53" s="51" t="s">
        <v>98</v>
      </c>
      <c r="G53" s="48" t="s">
        <v>179</v>
      </c>
      <c r="H53" s="51" t="s">
        <v>131</v>
      </c>
      <c r="I53" s="48" t="s">
        <v>177</v>
      </c>
      <c r="J53" s="51" t="s">
        <v>94</v>
      </c>
      <c r="O53" s="66"/>
      <c r="U53" s="165" t="str">
        <f>Mon!U53</f>
        <v>(VAR)</v>
      </c>
      <c r="V53" s="9">
        <f t="shared" ref="V53:V58" si="25">SUM(COUNTIF($E$5:$N$55,U53),IF(T53&lt;&gt;0,COUNTIF($E$5:$N$55,T53),0),IF(S53&lt;&gt;0,COUNTIF($E$5:$N$55,S53),0))</f>
        <v>2</v>
      </c>
      <c r="W53" s="36">
        <f>SUM(Mon!V53,Tue!V53,Wed!V53,Thur!V53,Fri!V53,Sat!V53)</f>
        <v>18</v>
      </c>
      <c r="X53" s="165" t="str">
        <f>Mon!U53</f>
        <v>(VAR)</v>
      </c>
      <c r="Y53" s="20">
        <f t="shared" si="1"/>
        <v>0</v>
      </c>
      <c r="Z53" s="23">
        <f t="shared" si="2"/>
        <v>1</v>
      </c>
      <c r="AA53" s="23">
        <f t="shared" si="24"/>
        <v>0</v>
      </c>
      <c r="AB53" s="24">
        <f t="shared" si="4"/>
        <v>0</v>
      </c>
      <c r="AC53" s="25" t="str">
        <f t="shared" si="18"/>
        <v xml:space="preserve"> </v>
      </c>
      <c r="AD53" s="26" t="str">
        <f t="shared" si="19"/>
        <v>IF (F)</v>
      </c>
      <c r="AE53" s="26" t="str">
        <f t="shared" si="20"/>
        <v>IF (A)</v>
      </c>
      <c r="AF53" s="27" t="str">
        <f t="shared" si="21"/>
        <v xml:space="preserve"> </v>
      </c>
      <c r="AG53" s="178" t="str">
        <f t="shared" si="9"/>
        <v xml:space="preserve"> </v>
      </c>
      <c r="AH53" s="177" t="str">
        <f t="shared" si="10"/>
        <v xml:space="preserve"> </v>
      </c>
      <c r="AI53" s="177" t="str">
        <f t="shared" si="11"/>
        <v xml:space="preserve"> </v>
      </c>
      <c r="AJ53" s="180" t="str">
        <f t="shared" si="12"/>
        <v xml:space="preserve"> </v>
      </c>
      <c r="AK53" s="178" t="str">
        <f t="shared" si="13"/>
        <v xml:space="preserve"> </v>
      </c>
      <c r="AL53" s="177" t="str">
        <f t="shared" si="14"/>
        <v xml:space="preserve"> </v>
      </c>
      <c r="AM53" s="177" t="str">
        <f t="shared" si="15"/>
        <v xml:space="preserve"> </v>
      </c>
      <c r="AN53" s="179" t="str">
        <f t="shared" si="16"/>
        <v xml:space="preserve"> </v>
      </c>
    </row>
    <row r="54" spans="1:40" ht="15" thickBot="1" x14ac:dyDescent="0.4">
      <c r="U54" s="165" t="str">
        <f>Mon!U54</f>
        <v>(VIN)</v>
      </c>
      <c r="V54" s="108">
        <f t="shared" si="25"/>
        <v>2</v>
      </c>
      <c r="W54" s="36">
        <f>SUM(Mon!V54,Tue!V54,Wed!V54,Thur!V54,Fri!V54,Sat!V54)</f>
        <v>18</v>
      </c>
      <c r="X54" s="165" t="str">
        <f>Mon!U54</f>
        <v>(VIN)</v>
      </c>
      <c r="Y54" s="20">
        <f t="shared" si="1"/>
        <v>0</v>
      </c>
      <c r="Z54" s="23">
        <f t="shared" si="2"/>
        <v>2</v>
      </c>
      <c r="AA54" s="23">
        <f t="shared" si="24"/>
        <v>0</v>
      </c>
      <c r="AB54" s="24">
        <f t="shared" si="4"/>
        <v>0</v>
      </c>
      <c r="AC54" s="25" t="str">
        <f t="shared" si="18"/>
        <v xml:space="preserve"> </v>
      </c>
      <c r="AD54" s="26" t="str">
        <f t="shared" si="19"/>
        <v xml:space="preserve"> </v>
      </c>
      <c r="AE54" s="26" t="str">
        <f t="shared" si="20"/>
        <v xml:space="preserve"> </v>
      </c>
      <c r="AF54" s="27" t="str">
        <f t="shared" si="21"/>
        <v xml:space="preserve"> </v>
      </c>
      <c r="AG54" s="178" t="str">
        <f t="shared" si="9"/>
        <v xml:space="preserve"> </v>
      </c>
      <c r="AH54" s="177" t="str">
        <f t="shared" si="10"/>
        <v xml:space="preserve"> </v>
      </c>
      <c r="AI54" s="177" t="str">
        <f t="shared" si="11"/>
        <v xml:space="preserve"> </v>
      </c>
      <c r="AJ54" s="180" t="str">
        <f t="shared" si="12"/>
        <v xml:space="preserve"> </v>
      </c>
      <c r="AK54" s="178" t="str">
        <f t="shared" si="13"/>
        <v xml:space="preserve"> </v>
      </c>
      <c r="AL54" s="177" t="str">
        <f t="shared" si="14"/>
        <v>FA (M)</v>
      </c>
      <c r="AM54" s="177" t="str">
        <f t="shared" si="15"/>
        <v xml:space="preserve"> </v>
      </c>
      <c r="AN54" s="179" t="str">
        <f t="shared" si="16"/>
        <v xml:space="preserve"> </v>
      </c>
    </row>
    <row r="55" spans="1:40" ht="15" thickBot="1" x14ac:dyDescent="0.4">
      <c r="U55" s="165" t="str">
        <f>Mon!U55</f>
        <v>(VRL)</v>
      </c>
      <c r="V55" s="108">
        <f t="shared" si="25"/>
        <v>2</v>
      </c>
      <c r="W55" s="36">
        <f>SUM(Mon!V55,Tue!V55,Wed!V55,Thur!V55,Fri!V55,Sat!V55)</f>
        <v>17</v>
      </c>
      <c r="X55" s="165" t="str">
        <f>Mon!U55</f>
        <v>(VRL)</v>
      </c>
      <c r="Y55" s="20">
        <f t="shared" si="1"/>
        <v>0</v>
      </c>
      <c r="Z55" s="23">
        <f t="shared" si="2"/>
        <v>1</v>
      </c>
      <c r="AA55" s="23">
        <f t="shared" si="24"/>
        <v>0</v>
      </c>
      <c r="AB55" s="24">
        <f t="shared" si="4"/>
        <v>0</v>
      </c>
      <c r="AC55" s="25" t="str">
        <f t="shared" si="18"/>
        <v xml:space="preserve"> </v>
      </c>
      <c r="AD55" s="26" t="str">
        <f t="shared" si="19"/>
        <v xml:space="preserve"> </v>
      </c>
      <c r="AE55" s="26" t="str">
        <f t="shared" si="20"/>
        <v>RM (H)</v>
      </c>
      <c r="AF55" s="27" t="str">
        <f t="shared" si="21"/>
        <v xml:space="preserve"> </v>
      </c>
      <c r="AG55" s="178" t="str">
        <f t="shared" si="9"/>
        <v xml:space="preserve"> </v>
      </c>
      <c r="AH55" s="177" t="str">
        <f t="shared" si="10"/>
        <v xml:space="preserve"> </v>
      </c>
      <c r="AI55" s="177" t="str">
        <f t="shared" si="11"/>
        <v xml:space="preserve"> </v>
      </c>
      <c r="AJ55" s="180" t="str">
        <f t="shared" si="12"/>
        <v xml:space="preserve"> </v>
      </c>
      <c r="AK55" s="178" t="str">
        <f t="shared" si="13"/>
        <v xml:space="preserve"> </v>
      </c>
      <c r="AL55" s="177" t="str">
        <f t="shared" si="14"/>
        <v xml:space="preserve"> </v>
      </c>
      <c r="AM55" s="177" t="str">
        <f t="shared" si="15"/>
        <v xml:space="preserve"> </v>
      </c>
      <c r="AN55" s="179" t="str">
        <f t="shared" si="16"/>
        <v xml:space="preserve"> </v>
      </c>
    </row>
    <row r="56" spans="1:40" ht="15" thickBot="1" x14ac:dyDescent="0.4">
      <c r="U56" s="165" t="str">
        <f>Mon!U56</f>
        <v>(YL)</v>
      </c>
      <c r="V56" s="108">
        <f t="shared" si="25"/>
        <v>2</v>
      </c>
      <c r="W56" s="36">
        <f>SUM(Mon!V56,Tue!V56,Wed!V56,Thur!V56,Fri!V56,Sat!V56)</f>
        <v>18</v>
      </c>
      <c r="X56" s="165" t="str">
        <f>Mon!U56</f>
        <v>(YL)</v>
      </c>
      <c r="Y56" s="20">
        <f t="shared" si="1"/>
        <v>0</v>
      </c>
      <c r="Z56" s="23">
        <f t="shared" si="2"/>
        <v>1</v>
      </c>
      <c r="AA56" s="23">
        <f t="shared" si="24"/>
        <v>1</v>
      </c>
      <c r="AB56" s="24">
        <f t="shared" si="4"/>
        <v>0</v>
      </c>
      <c r="AC56" s="25" t="str">
        <f t="shared" si="18"/>
        <v xml:space="preserve"> </v>
      </c>
      <c r="AD56" s="26" t="str">
        <f t="shared" si="19"/>
        <v>IB (D)</v>
      </c>
      <c r="AE56" s="26" t="str">
        <f t="shared" si="20"/>
        <v xml:space="preserve"> </v>
      </c>
      <c r="AF56" s="27" t="str">
        <f t="shared" si="21"/>
        <v xml:space="preserve"> </v>
      </c>
      <c r="AG56" s="178" t="str">
        <f t="shared" si="9"/>
        <v xml:space="preserve"> </v>
      </c>
      <c r="AH56" s="177" t="str">
        <f t="shared" si="10"/>
        <v xml:space="preserve"> </v>
      </c>
      <c r="AI56" s="177" t="str">
        <f t="shared" si="11"/>
        <v>ED (N)</v>
      </c>
      <c r="AJ56" s="180" t="str">
        <f t="shared" si="12"/>
        <v xml:space="preserve"> </v>
      </c>
      <c r="AK56" s="178" t="str">
        <f t="shared" si="13"/>
        <v xml:space="preserve"> </v>
      </c>
      <c r="AL56" s="177" t="str">
        <f t="shared" si="14"/>
        <v xml:space="preserve"> </v>
      </c>
      <c r="AM56" s="177" t="str">
        <f t="shared" si="15"/>
        <v xml:space="preserve"> </v>
      </c>
      <c r="AN56" s="179" t="str">
        <f t="shared" si="16"/>
        <v xml:space="preserve"> </v>
      </c>
    </row>
    <row r="57" spans="1:40" ht="15" thickBot="1" x14ac:dyDescent="0.4">
      <c r="U57" s="165" t="str">
        <f>Mon!U57</f>
        <v>(RR)</v>
      </c>
      <c r="V57" s="108">
        <f t="shared" si="25"/>
        <v>3</v>
      </c>
      <c r="W57" s="36">
        <f>SUM(Mon!V57,Tue!V57,Wed!V57,Thur!V57,Fri!V57,Sat!V57)</f>
        <v>19</v>
      </c>
      <c r="X57" s="165" t="str">
        <f>Mon!U57</f>
        <v>(RR)</v>
      </c>
      <c r="Y57" s="20">
        <f t="shared" si="1"/>
        <v>1</v>
      </c>
      <c r="Z57" s="23">
        <f t="shared" si="2"/>
        <v>1</v>
      </c>
      <c r="AA57" s="23">
        <f t="shared" si="24"/>
        <v>1</v>
      </c>
      <c r="AB57" s="24">
        <f t="shared" si="4"/>
        <v>0</v>
      </c>
      <c r="AC57" s="25" t="str">
        <f t="shared" si="18"/>
        <v xml:space="preserve"> </v>
      </c>
      <c r="AD57" s="26" t="str">
        <f t="shared" si="19"/>
        <v xml:space="preserve"> </v>
      </c>
      <c r="AE57" s="26" t="str">
        <f t="shared" si="20"/>
        <v xml:space="preserve"> </v>
      </c>
      <c r="AF57" s="27" t="str">
        <f t="shared" si="21"/>
        <v xml:space="preserve"> </v>
      </c>
      <c r="AG57" s="178" t="str">
        <f t="shared" si="9"/>
        <v>EVS (F)</v>
      </c>
      <c r="AH57" s="177" t="str">
        <f t="shared" si="10"/>
        <v>ED (K)</v>
      </c>
      <c r="AI57" s="177" t="str">
        <f t="shared" si="11"/>
        <v>EVS (L)</v>
      </c>
      <c r="AJ57" s="180" t="str">
        <f t="shared" si="12"/>
        <v xml:space="preserve"> </v>
      </c>
      <c r="AK57" s="178" t="str">
        <f t="shared" si="13"/>
        <v xml:space="preserve"> </v>
      </c>
      <c r="AL57" s="177" t="str">
        <f t="shared" si="14"/>
        <v xml:space="preserve"> </v>
      </c>
      <c r="AM57" s="177" t="str">
        <f t="shared" si="15"/>
        <v xml:space="preserve"> </v>
      </c>
      <c r="AN57" s="179" t="str">
        <f t="shared" si="16"/>
        <v xml:space="preserve"> </v>
      </c>
    </row>
    <row r="58" spans="1:40" ht="15" thickBot="1" x14ac:dyDescent="0.4">
      <c r="U58" s="165" t="str">
        <f>Mon!U58</f>
        <v>(DRP)</v>
      </c>
      <c r="V58" s="108">
        <f t="shared" si="25"/>
        <v>1</v>
      </c>
      <c r="W58" s="36">
        <f>SUM(Mon!V58,Tue!V58,Wed!V58,Thur!V58,Fri!V58,Sat!V58)</f>
        <v>15</v>
      </c>
      <c r="X58" s="165" t="str">
        <f>Mon!U58</f>
        <v>(DRP)</v>
      </c>
      <c r="Y58" s="20">
        <f t="shared" si="1"/>
        <v>0</v>
      </c>
      <c r="Z58" s="23">
        <f t="shared" si="2"/>
        <v>1</v>
      </c>
      <c r="AA58" s="23">
        <f t="shared" si="24"/>
        <v>0</v>
      </c>
      <c r="AB58" s="24">
        <f t="shared" si="4"/>
        <v>0</v>
      </c>
      <c r="AC58" s="25" t="str">
        <f t="shared" si="18"/>
        <v xml:space="preserve"> </v>
      </c>
      <c r="AD58" s="26" t="str">
        <f t="shared" si="19"/>
        <v xml:space="preserve"> </v>
      </c>
      <c r="AE58" s="26" t="str">
        <f t="shared" si="20"/>
        <v xml:space="preserve"> </v>
      </c>
      <c r="AF58" s="27" t="str">
        <f t="shared" si="21"/>
        <v xml:space="preserve"> </v>
      </c>
      <c r="AG58" s="178" t="str">
        <f t="shared" si="9"/>
        <v xml:space="preserve"> </v>
      </c>
      <c r="AH58" s="177" t="str">
        <f t="shared" si="10"/>
        <v xml:space="preserve"> </v>
      </c>
      <c r="AI58" s="177" t="str">
        <f t="shared" si="11"/>
        <v xml:space="preserve"> </v>
      </c>
      <c r="AJ58" s="180" t="str">
        <f t="shared" si="12"/>
        <v xml:space="preserve"> </v>
      </c>
      <c r="AK58" s="178" t="str">
        <f t="shared" si="13"/>
        <v xml:space="preserve"> </v>
      </c>
      <c r="AL58" s="177" t="str">
        <f t="shared" si="14"/>
        <v xml:space="preserve"> </v>
      </c>
      <c r="AM58" s="177" t="str">
        <f t="shared" si="15"/>
        <v xml:space="preserve"> </v>
      </c>
      <c r="AN58" s="179" t="str">
        <f t="shared" si="16"/>
        <v xml:space="preserve"> </v>
      </c>
    </row>
    <row r="59" spans="1:40" x14ac:dyDescent="0.35">
      <c r="U59" s="165" t="str">
        <f>Mon!U59</f>
        <v>(NEW)</v>
      </c>
      <c r="V59" s="108">
        <f t="shared" ref="V59" si="26">SUM(COUNTIF($E$5:$N$55,U59),IF(T59&lt;&gt;0,COUNTIF($E$5:$N$55,T59),0),IF(S59&lt;&gt;0,COUNTIF($E$5:$N$55,S59),0))</f>
        <v>0</v>
      </c>
      <c r="W59" s="36">
        <f>SUM(Mon!V59,Tue!V59,Wed!V59,Thur!V59,Fri!V59,Sat!V59)</f>
        <v>9</v>
      </c>
      <c r="X59" s="165" t="str">
        <f>Mon!U59</f>
        <v>(NEW)</v>
      </c>
      <c r="Y59" s="20">
        <f t="shared" si="1"/>
        <v>0</v>
      </c>
      <c r="Z59" s="23">
        <f t="shared" si="2"/>
        <v>0</v>
      </c>
      <c r="AA59" s="23">
        <f t="shared" si="24"/>
        <v>0</v>
      </c>
      <c r="AB59" s="24">
        <f t="shared" si="4"/>
        <v>0</v>
      </c>
      <c r="AC59" s="25" t="str">
        <f t="shared" si="18"/>
        <v xml:space="preserve"> </v>
      </c>
      <c r="AD59" s="26" t="str">
        <f t="shared" si="19"/>
        <v xml:space="preserve"> </v>
      </c>
      <c r="AE59" s="26" t="str">
        <f t="shared" si="20"/>
        <v xml:space="preserve"> </v>
      </c>
      <c r="AF59" s="27" t="str">
        <f t="shared" si="21"/>
        <v xml:space="preserve"> </v>
      </c>
      <c r="AG59" s="178" t="str">
        <f t="shared" si="9"/>
        <v xml:space="preserve"> </v>
      </c>
      <c r="AH59" s="177" t="str">
        <f t="shared" si="10"/>
        <v xml:space="preserve"> </v>
      </c>
      <c r="AI59" s="177" t="str">
        <f t="shared" si="11"/>
        <v xml:space="preserve"> </v>
      </c>
      <c r="AJ59" s="180" t="str">
        <f t="shared" si="12"/>
        <v xml:space="preserve"> </v>
      </c>
      <c r="AK59" s="178" t="str">
        <f t="shared" si="13"/>
        <v xml:space="preserve"> </v>
      </c>
      <c r="AL59" s="177" t="str">
        <f t="shared" si="14"/>
        <v xml:space="preserve"> </v>
      </c>
      <c r="AM59" s="177" t="str">
        <f t="shared" si="15"/>
        <v xml:space="preserve"> </v>
      </c>
      <c r="AN59" s="179" t="str">
        <f t="shared" si="16"/>
        <v xml:space="preserve"> </v>
      </c>
    </row>
    <row r="60" spans="1:40" x14ac:dyDescent="0.35">
      <c r="U60" s="87"/>
      <c r="V60" s="109"/>
      <c r="W60" s="110"/>
    </row>
    <row r="61" spans="1:40" x14ac:dyDescent="0.35">
      <c r="V61" s="109"/>
      <c r="W61" s="110"/>
    </row>
    <row r="62" spans="1:40" x14ac:dyDescent="0.35">
      <c r="V62" s="109"/>
      <c r="W62" s="110"/>
    </row>
    <row r="71" spans="1:30" x14ac:dyDescent="0.35">
      <c r="A71" s="361" t="s">
        <v>4</v>
      </c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3"/>
      <c r="AC71" s="323" t="s">
        <v>87</v>
      </c>
      <c r="AD71" s="324"/>
    </row>
    <row r="72" spans="1:30" x14ac:dyDescent="0.35">
      <c r="A72" s="341" t="s">
        <v>161</v>
      </c>
      <c r="B72" s="342"/>
      <c r="C72" s="341" t="s">
        <v>162</v>
      </c>
      <c r="D72" s="342"/>
      <c r="E72" s="341" t="s">
        <v>163</v>
      </c>
      <c r="F72" s="342"/>
      <c r="G72" s="341" t="s">
        <v>164</v>
      </c>
      <c r="H72" s="342"/>
      <c r="I72" s="341" t="s">
        <v>165</v>
      </c>
      <c r="J72" s="342"/>
      <c r="K72" s="341" t="s">
        <v>166</v>
      </c>
      <c r="L72" s="342"/>
      <c r="M72" s="341" t="s">
        <v>167</v>
      </c>
      <c r="N72" s="342"/>
      <c r="O72" s="341" t="s">
        <v>168</v>
      </c>
      <c r="P72" s="342"/>
      <c r="Q72" s="341" t="s">
        <v>169</v>
      </c>
      <c r="R72" s="342"/>
      <c r="S72" s="341" t="s">
        <v>170</v>
      </c>
      <c r="T72" s="342"/>
      <c r="U72" s="341" t="s">
        <v>171</v>
      </c>
      <c r="V72" s="342"/>
      <c r="W72" s="341" t="s">
        <v>172</v>
      </c>
      <c r="X72" s="342"/>
      <c r="Y72" s="341" t="s">
        <v>173</v>
      </c>
      <c r="Z72" s="342"/>
      <c r="AA72" s="341" t="s">
        <v>174</v>
      </c>
      <c r="AB72" s="342"/>
      <c r="AC72" s="318" t="s">
        <v>175</v>
      </c>
      <c r="AD72" s="172" t="s">
        <v>176</v>
      </c>
    </row>
    <row r="73" spans="1:30" x14ac:dyDescent="0.35">
      <c r="A73" s="166" t="s">
        <v>175</v>
      </c>
      <c r="B73" s="167" t="s">
        <v>176</v>
      </c>
      <c r="C73" s="166" t="s">
        <v>175</v>
      </c>
      <c r="D73" s="167" t="s">
        <v>176</v>
      </c>
      <c r="E73" s="166" t="s">
        <v>175</v>
      </c>
      <c r="F73" s="167" t="s">
        <v>176</v>
      </c>
      <c r="G73" s="166" t="s">
        <v>175</v>
      </c>
      <c r="H73" s="167" t="s">
        <v>176</v>
      </c>
      <c r="I73" s="166" t="s">
        <v>175</v>
      </c>
      <c r="J73" s="167" t="s">
        <v>176</v>
      </c>
      <c r="K73" s="166" t="s">
        <v>175</v>
      </c>
      <c r="L73" s="167" t="s">
        <v>176</v>
      </c>
      <c r="M73" s="166" t="s">
        <v>175</v>
      </c>
      <c r="N73" s="167" t="s">
        <v>176</v>
      </c>
      <c r="O73" s="166" t="s">
        <v>175</v>
      </c>
      <c r="P73" s="167" t="s">
        <v>176</v>
      </c>
      <c r="Q73" s="166" t="s">
        <v>175</v>
      </c>
      <c r="R73" s="167" t="s">
        <v>176</v>
      </c>
      <c r="S73" s="166" t="s">
        <v>175</v>
      </c>
      <c r="T73" s="167" t="s">
        <v>176</v>
      </c>
      <c r="U73" s="166" t="s">
        <v>175</v>
      </c>
      <c r="V73" s="172" t="s">
        <v>176</v>
      </c>
      <c r="W73" s="166" t="s">
        <v>175</v>
      </c>
      <c r="X73" s="167" t="s">
        <v>176</v>
      </c>
      <c r="Y73" s="166" t="s">
        <v>175</v>
      </c>
      <c r="Z73" s="167" t="s">
        <v>176</v>
      </c>
      <c r="AA73" s="166" t="s">
        <v>175</v>
      </c>
      <c r="AB73" s="167" t="s">
        <v>176</v>
      </c>
      <c r="AC73" s="315" t="s">
        <v>98</v>
      </c>
      <c r="AD73" s="315" t="s">
        <v>157</v>
      </c>
    </row>
    <row r="74" spans="1:30" x14ac:dyDescent="0.35">
      <c r="A74" s="174" t="str">
        <f>Mon!A74</f>
        <v>(SC)</v>
      </c>
      <c r="B74" s="170" t="str">
        <f>Mon!B74</f>
        <v>AE</v>
      </c>
      <c r="C74" s="174" t="str">
        <f>Mon!C74</f>
        <v>(SA)</v>
      </c>
      <c r="D74" s="170" t="str">
        <f>Mon!D74</f>
        <v>AE</v>
      </c>
      <c r="E74" s="169" t="str">
        <f>Mon!E74</f>
        <v>(PR)</v>
      </c>
      <c r="F74" s="170" t="str">
        <f>Mon!F74</f>
        <v>AE</v>
      </c>
      <c r="G74" s="174" t="str">
        <f>Mon!G74</f>
        <v>(PR)</v>
      </c>
      <c r="H74" s="170" t="str">
        <f>Mon!H74</f>
        <v>AE</v>
      </c>
      <c r="I74" s="169" t="str">
        <f>Mon!I74</f>
        <v>(SC)</v>
      </c>
      <c r="J74" s="170" t="str">
        <f>Mon!J74</f>
        <v>AE</v>
      </c>
      <c r="K74" s="174" t="str">
        <f>Mon!K74</f>
        <v>(SC)</v>
      </c>
      <c r="L74" s="170" t="str">
        <f>Mon!L74</f>
        <v>AE</v>
      </c>
      <c r="M74" s="174" t="str">
        <f>Mon!M74</f>
        <v>(SN)</v>
      </c>
      <c r="N74" s="170" t="str">
        <f>Mon!N74</f>
        <v>AE</v>
      </c>
      <c r="O74" s="169" t="str">
        <f>Mon!O74</f>
        <v>(SN)</v>
      </c>
      <c r="P74" s="170" t="str">
        <f>Mon!P74</f>
        <v>AE</v>
      </c>
      <c r="Q74" s="174" t="str">
        <f>Mon!Q74</f>
        <v>(SV)</v>
      </c>
      <c r="R74" s="170" t="str">
        <f>Mon!R74</f>
        <v>HIN</v>
      </c>
      <c r="S74" s="169" t="str">
        <f>Mon!S74</f>
        <v>(SV)</v>
      </c>
      <c r="T74" s="89" t="str">
        <f>Mon!T74</f>
        <v>HIN</v>
      </c>
      <c r="U74" s="183" t="str">
        <f>Mon!U74</f>
        <v>(SV)</v>
      </c>
      <c r="V74" s="89" t="str">
        <f>Mon!V74</f>
        <v>HIN</v>
      </c>
      <c r="W74" s="184" t="str">
        <f>Mon!W74</f>
        <v>(SV)</v>
      </c>
      <c r="X74" s="170" t="str">
        <f>Mon!X74</f>
        <v>HIN</v>
      </c>
      <c r="Y74" s="8" t="str">
        <f>Mon!Y74</f>
        <v>(HEM)</v>
      </c>
      <c r="Z74" s="170" t="str">
        <f>Mon!Z74</f>
        <v>KAN</v>
      </c>
      <c r="AA74" s="169" t="str">
        <f>Mon!AA74</f>
        <v>(RP)</v>
      </c>
      <c r="AB74" s="170" t="str">
        <f>Mon!AB74</f>
        <v>SAN</v>
      </c>
      <c r="AC74" s="315" t="s">
        <v>131</v>
      </c>
      <c r="AD74" s="315" t="s">
        <v>159</v>
      </c>
    </row>
    <row r="75" spans="1:30" x14ac:dyDescent="0.35">
      <c r="A75" s="169" t="str">
        <f>Mon!A75</f>
        <v>(SA)</v>
      </c>
      <c r="B75" s="170" t="str">
        <f>Mon!B75</f>
        <v>GE</v>
      </c>
      <c r="C75" s="169" t="str">
        <f>Mon!C75</f>
        <v>(PR)</v>
      </c>
      <c r="D75" s="170" t="str">
        <f>Mon!D75</f>
        <v>GE</v>
      </c>
      <c r="E75" s="169" t="str">
        <f>Mon!E75</f>
        <v>(SN)</v>
      </c>
      <c r="F75" s="170" t="str">
        <f>Mon!F75</f>
        <v>GE</v>
      </c>
      <c r="G75" s="169" t="str">
        <f>Mon!G75</f>
        <v>(SC)</v>
      </c>
      <c r="H75" s="170" t="str">
        <f>Mon!H75</f>
        <v>GE</v>
      </c>
      <c r="I75" s="174" t="str">
        <f>Mon!I75</f>
        <v>(CG)</v>
      </c>
      <c r="J75" s="170" t="str">
        <f>Mon!J75</f>
        <v>GE</v>
      </c>
      <c r="K75" s="169" t="str">
        <f>Mon!K75</f>
        <v>(PR)</v>
      </c>
      <c r="L75" s="170" t="str">
        <f>Mon!L75</f>
        <v>GE</v>
      </c>
      <c r="M75" s="169" t="str">
        <f>Mon!M75</f>
        <v>(SC)</v>
      </c>
      <c r="N75" s="170" t="str">
        <f>Mon!N75</f>
        <v>GE</v>
      </c>
      <c r="O75" s="169" t="str">
        <f>Mon!O75</f>
        <v>(SA)</v>
      </c>
      <c r="P75" s="170" t="str">
        <f>Mon!P75</f>
        <v>GE</v>
      </c>
      <c r="Q75" s="169" t="str">
        <f>Mon!Q75</f>
        <v>(CG)</v>
      </c>
      <c r="R75" s="170" t="str">
        <f>Mon!R75</f>
        <v>GE</v>
      </c>
      <c r="S75" s="169" t="str">
        <f>Mon!S75</f>
        <v>(SN)</v>
      </c>
      <c r="T75" s="170" t="str">
        <f>Mon!T75</f>
        <v>GE</v>
      </c>
      <c r="U75" s="169" t="str">
        <f>Mon!U75</f>
        <v>(SN)</v>
      </c>
      <c r="V75" s="88" t="str">
        <f>Mon!V75</f>
        <v>GE</v>
      </c>
      <c r="W75" s="185" t="str">
        <f>Mon!W75</f>
        <v>(PR)</v>
      </c>
      <c r="X75" s="170" t="str">
        <f>Mon!X75</f>
        <v>GE</v>
      </c>
      <c r="Y75" s="8" t="str">
        <f>Mon!Y75</f>
        <v>(SA)</v>
      </c>
      <c r="Z75" s="170" t="str">
        <f>Mon!Z75</f>
        <v>GE</v>
      </c>
      <c r="AA75" s="169" t="str">
        <f>Mon!AA75</f>
        <v>(SA)</v>
      </c>
      <c r="AB75" s="170" t="str">
        <f>Mon!AB75</f>
        <v>GE</v>
      </c>
      <c r="AC75" s="315" t="s">
        <v>94</v>
      </c>
      <c r="AD75" s="315" t="s">
        <v>177</v>
      </c>
    </row>
    <row r="76" spans="1:30" x14ac:dyDescent="0.35">
      <c r="A76" s="169" t="str">
        <f>Mon!A76</f>
        <v>(AW)</v>
      </c>
      <c r="B76" s="170" t="str">
        <f>Mon!B76</f>
        <v>BT</v>
      </c>
      <c r="C76" s="169" t="str">
        <f>Mon!C76</f>
        <v>(YL)</v>
      </c>
      <c r="D76" s="170" t="str">
        <f>Mon!D76</f>
        <v>BT</v>
      </c>
      <c r="E76" s="169" t="str">
        <f>Mon!E76</f>
        <v>(AW)</v>
      </c>
      <c r="F76" s="170" t="str">
        <f>Mon!F76</f>
        <v>BT</v>
      </c>
      <c r="G76" s="169" t="str">
        <f>Mon!G76</f>
        <v>(JAY)</v>
      </c>
      <c r="H76" s="170" t="str">
        <f>Mon!H76</f>
        <v>BT</v>
      </c>
      <c r="I76" s="169" t="str">
        <f>Mon!I76</f>
        <v>(JAY)</v>
      </c>
      <c r="J76" s="170" t="str">
        <f>Mon!J76</f>
        <v>BT</v>
      </c>
      <c r="K76" s="169" t="str">
        <f>Mon!K76</f>
        <v>(JAY)</v>
      </c>
      <c r="L76" s="170" t="str">
        <f>Mon!L76</f>
        <v>BT</v>
      </c>
      <c r="M76" s="169" t="str">
        <f>Mon!M76</f>
        <v>(AB)</v>
      </c>
      <c r="N76" s="170" t="str">
        <f>Mon!N76</f>
        <v>BT</v>
      </c>
      <c r="O76" s="169" t="str">
        <f>Mon!O76</f>
        <v>(AW)</v>
      </c>
      <c r="P76" s="170" t="str">
        <f>Mon!P76</f>
        <v>BT</v>
      </c>
      <c r="Q76" s="169" t="str">
        <f>Mon!Q76</f>
        <v>(JAY)</v>
      </c>
      <c r="R76" s="170" t="str">
        <f>Mon!R76</f>
        <v>BT</v>
      </c>
      <c r="S76" s="169" t="str">
        <f>Mon!S76</f>
        <v>(AB)</v>
      </c>
      <c r="T76" s="170" t="str">
        <f>Mon!T76</f>
        <v>BT</v>
      </c>
      <c r="U76" s="169" t="str">
        <f>Mon!U76</f>
        <v>(AW)</v>
      </c>
      <c r="V76" s="170" t="str">
        <f>Mon!V76</f>
        <v>BT</v>
      </c>
      <c r="W76" s="185" t="str">
        <f>Mon!W76</f>
        <v>(SE)</v>
      </c>
      <c r="X76" s="170" t="str">
        <f>Mon!X76</f>
        <v>BT</v>
      </c>
      <c r="Y76" s="8" t="str">
        <f>Mon!Y76</f>
        <v>(SE)</v>
      </c>
      <c r="Z76" s="170" t="str">
        <f>Mon!Z76</f>
        <v>BT</v>
      </c>
      <c r="AA76" s="174" t="str">
        <f>Mon!AA76</f>
        <v>(JAY)</v>
      </c>
      <c r="AB76" s="170" t="str">
        <f>Mon!AB76</f>
        <v>BT</v>
      </c>
      <c r="AC76" s="315" t="s">
        <v>77</v>
      </c>
      <c r="AD76" s="315" t="s">
        <v>179</v>
      </c>
    </row>
    <row r="77" spans="1:30" x14ac:dyDescent="0.35">
      <c r="A77" s="169" t="str">
        <f>Mon!A77</f>
        <v>(AS)</v>
      </c>
      <c r="B77" s="170" t="str">
        <f>Mon!B77</f>
        <v>BM</v>
      </c>
      <c r="C77" s="169" t="str">
        <f>Mon!C77</f>
        <v>(SE)</v>
      </c>
      <c r="D77" s="170" t="str">
        <f>Mon!D77</f>
        <v>BM</v>
      </c>
      <c r="E77" s="169" t="str">
        <f>Mon!E77</f>
        <v>(JAY)</v>
      </c>
      <c r="F77" s="170" t="str">
        <f>Mon!F77</f>
        <v>BM</v>
      </c>
      <c r="G77" s="169" t="str">
        <f>Mon!G77</f>
        <v>(DRP)</v>
      </c>
      <c r="H77" s="170" t="str">
        <f>Mon!H77</f>
        <v>BM</v>
      </c>
      <c r="I77" s="169" t="str">
        <f>Mon!I77</f>
        <v>(SE)</v>
      </c>
      <c r="J77" s="170" t="str">
        <f>Mon!J77</f>
        <v>BM</v>
      </c>
      <c r="K77" s="169" t="str">
        <f>Mon!K77</f>
        <v>(SE)</v>
      </c>
      <c r="L77" s="170" t="str">
        <f>Mon!L77</f>
        <v>BM</v>
      </c>
      <c r="M77" s="169" t="str">
        <f>Mon!M77</f>
        <v>(AG)</v>
      </c>
      <c r="N77" s="170" t="str">
        <f>Mon!N77</f>
        <v>BM</v>
      </c>
      <c r="O77" s="174" t="str">
        <f>Mon!O77</f>
        <v>(DRP)</v>
      </c>
      <c r="P77" s="170" t="str">
        <f>Mon!P77</f>
        <v>BM</v>
      </c>
      <c r="Q77" s="174" t="str">
        <f>Mon!Q77</f>
        <v>(DRP)</v>
      </c>
      <c r="R77" s="170" t="str">
        <f>Mon!R77</f>
        <v>BM</v>
      </c>
      <c r="S77" s="169" t="str">
        <f>Mon!S77</f>
        <v>(SE)</v>
      </c>
      <c r="T77" s="170" t="str">
        <f>Mon!T77</f>
        <v>BM</v>
      </c>
      <c r="U77" s="169" t="str">
        <f>Mon!U77</f>
        <v>(AG)</v>
      </c>
      <c r="V77" s="170" t="str">
        <f>Mon!V77</f>
        <v>BM</v>
      </c>
      <c r="W77" s="169" t="str">
        <f>Mon!W77</f>
        <v>(DRP)</v>
      </c>
      <c r="X77" s="170" t="str">
        <f>Mon!X77</f>
        <v>BM</v>
      </c>
      <c r="Y77" s="8" t="str">
        <f>Mon!Y77</f>
        <v>(DRP)</v>
      </c>
      <c r="Z77" s="170" t="str">
        <f>Mon!Z77</f>
        <v>BM</v>
      </c>
      <c r="AA77" s="169" t="str">
        <f>Mon!AA77</f>
        <v>(AG)</v>
      </c>
      <c r="AB77" s="170" t="str">
        <f>Mon!AB77</f>
        <v>BM</v>
      </c>
      <c r="AC77" s="315" t="s">
        <v>153</v>
      </c>
      <c r="AD77" s="315" t="s">
        <v>158</v>
      </c>
    </row>
    <row r="78" spans="1:30" x14ac:dyDescent="0.35">
      <c r="A78" s="169" t="str">
        <f>Mon!A78</f>
        <v>(MK)</v>
      </c>
      <c r="B78" s="170" t="str">
        <f>Mon!B78</f>
        <v>FA</v>
      </c>
      <c r="C78" s="169" t="str">
        <f>Mon!C78</f>
        <v>(VIN)</v>
      </c>
      <c r="D78" s="170" t="str">
        <f>Mon!D78</f>
        <v>FA</v>
      </c>
      <c r="E78" s="169" t="str">
        <f>Mon!E78</f>
        <v>(MK)</v>
      </c>
      <c r="F78" s="170" t="str">
        <f>Mon!F78</f>
        <v>FA</v>
      </c>
      <c r="G78" s="169" t="str">
        <f>Mon!G78</f>
        <v>Y</v>
      </c>
      <c r="H78" s="170" t="str">
        <f>Mon!H78</f>
        <v>FA</v>
      </c>
      <c r="I78" s="169" t="str">
        <f>Mon!I78</f>
        <v>x</v>
      </c>
      <c r="J78" s="170" t="str">
        <f>Mon!J78</f>
        <v>FA</v>
      </c>
      <c r="K78" s="169" t="str">
        <f>Mon!K78</f>
        <v>X</v>
      </c>
      <c r="L78" s="170" t="str">
        <f>Mon!L78</f>
        <v>FA</v>
      </c>
      <c r="M78" s="169" t="str">
        <f>Mon!M78</f>
        <v>(VIN)</v>
      </c>
      <c r="N78" s="170" t="str">
        <f>Mon!N78</f>
        <v>FA</v>
      </c>
      <c r="O78" s="169" t="str">
        <f>Mon!O78</f>
        <v>(MK)</v>
      </c>
      <c r="P78" s="170" t="str">
        <f>Mon!P78</f>
        <v>FA</v>
      </c>
      <c r="Q78" s="169" t="str">
        <f>Mon!Q78</f>
        <v>(VIN)</v>
      </c>
      <c r="R78" s="170" t="str">
        <f>Mon!R78</f>
        <v>FA</v>
      </c>
      <c r="S78" s="169" t="str">
        <f>Mon!S78</f>
        <v>(VA)</v>
      </c>
      <c r="T78" s="170" t="str">
        <f>Mon!T78</f>
        <v>FA</v>
      </c>
      <c r="U78" s="169" t="str">
        <f>Mon!U78</f>
        <v>(VA)</v>
      </c>
      <c r="V78" s="170" t="str">
        <f>Mon!V78</f>
        <v>FA</v>
      </c>
      <c r="W78" s="169" t="str">
        <f>Mon!W78</f>
        <v>(VIN)</v>
      </c>
      <c r="X78" s="170" t="str">
        <f>Mon!X78</f>
        <v>FA</v>
      </c>
      <c r="Y78" s="165" t="str">
        <f>Mon!Y78</f>
        <v>(VIN)</v>
      </c>
      <c r="Z78" s="170" t="str">
        <f>Mon!Z78</f>
        <v>FA</v>
      </c>
      <c r="AA78" s="169" t="str">
        <f>Mon!AA78</f>
        <v>(MK)</v>
      </c>
      <c r="AB78" s="170" t="str">
        <f>Mon!AB78</f>
        <v>FA</v>
      </c>
      <c r="AC78" s="315" t="s">
        <v>127</v>
      </c>
      <c r="AD78" s="315" t="s">
        <v>156</v>
      </c>
    </row>
    <row r="79" spans="1:30" x14ac:dyDescent="0.35">
      <c r="A79" s="169" t="str">
        <f>Mon!A79</f>
        <v>(VRL)</v>
      </c>
      <c r="B79" s="170" t="str">
        <f>Mon!B79</f>
        <v>QT</v>
      </c>
      <c r="C79" s="169" t="str">
        <f>Mon!C79</f>
        <v>(BB)</v>
      </c>
      <c r="D79" s="170" t="str">
        <f>Mon!D79</f>
        <v>QT</v>
      </c>
      <c r="E79" s="169" t="str">
        <f>Mon!E79</f>
        <v>(BB)</v>
      </c>
      <c r="F79" s="170" t="str">
        <f>Mon!F79</f>
        <v>QT</v>
      </c>
      <c r="G79" s="169" t="str">
        <f>Mon!G79</f>
        <v>(VRL)</v>
      </c>
      <c r="H79" s="170" t="str">
        <f>Mon!H79</f>
        <v>QT</v>
      </c>
      <c r="I79" s="169" t="str">
        <f>Mon!I79</f>
        <v>(PM)</v>
      </c>
      <c r="J79" s="170" t="str">
        <f>Mon!J79</f>
        <v>QT</v>
      </c>
      <c r="K79" s="169" t="str">
        <f>Mon!K79</f>
        <v>(PM)</v>
      </c>
      <c r="L79" s="170" t="str">
        <f>Mon!L79</f>
        <v>QT</v>
      </c>
      <c r="M79" s="169" t="str">
        <f>Mon!M79</f>
        <v>(BB)</v>
      </c>
      <c r="N79" s="170" t="str">
        <f>Mon!N79</f>
        <v>QT</v>
      </c>
      <c r="O79" s="169" t="str">
        <f>Mon!O79</f>
        <v>(VRL)</v>
      </c>
      <c r="P79" s="170" t="str">
        <f>Mon!P79</f>
        <v>QT</v>
      </c>
      <c r="Q79" s="169" t="str">
        <f>Mon!Q79</f>
        <v>(PM)</v>
      </c>
      <c r="R79" s="170" t="str">
        <f>Mon!R79</f>
        <v>QT</v>
      </c>
      <c r="S79" s="169" t="str">
        <f>Mon!S79</f>
        <v>(BD)</v>
      </c>
      <c r="T79" s="170" t="str">
        <f>Mon!T79</f>
        <v>QT</v>
      </c>
      <c r="U79" s="169" t="str">
        <f>Mon!U79</f>
        <v>(BD)</v>
      </c>
      <c r="V79" s="170" t="str">
        <f>Mon!V79</f>
        <v>QT</v>
      </c>
      <c r="W79" s="169" t="str">
        <f>Mon!W79</f>
        <v>(VRL)</v>
      </c>
      <c r="X79" s="170" t="str">
        <f>Mon!X79</f>
        <v>QT</v>
      </c>
      <c r="Y79" s="165" t="str">
        <f>Mon!Y79</f>
        <v>(PM)</v>
      </c>
      <c r="Z79" s="170" t="str">
        <f>Mon!Z79</f>
        <v>QT</v>
      </c>
      <c r="AA79" s="169" t="str">
        <f>Mon!AA79</f>
        <v>X</v>
      </c>
      <c r="AB79" s="170" t="str">
        <f>Mon!AB79</f>
        <v>QT</v>
      </c>
      <c r="AC79" s="315" t="s">
        <v>144</v>
      </c>
      <c r="AD79" s="315"/>
    </row>
    <row r="80" spans="1:30" x14ac:dyDescent="0.35">
      <c r="A80" s="169"/>
      <c r="B80" s="170"/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0"/>
      <c r="O80" s="169"/>
      <c r="P80" s="170"/>
      <c r="Q80" s="169"/>
      <c r="R80" s="170"/>
      <c r="S80" s="169"/>
      <c r="T80" s="170"/>
      <c r="U80" s="169"/>
      <c r="V80" s="170"/>
      <c r="W80" s="169"/>
      <c r="X80" s="170"/>
      <c r="Y80" s="165"/>
      <c r="Z80" s="170"/>
      <c r="AA80" s="174">
        <f>Mon!AA80</f>
        <v>0</v>
      </c>
      <c r="AB80" s="175">
        <f>Mon!AB80</f>
        <v>0</v>
      </c>
      <c r="AC80" s="315" t="s">
        <v>85</v>
      </c>
      <c r="AD80" s="315"/>
    </row>
    <row r="81" spans="1:30" x14ac:dyDescent="0.35">
      <c r="A81" s="169"/>
      <c r="B81" s="170"/>
      <c r="C81" s="169"/>
      <c r="D81" s="170"/>
      <c r="E81" s="169"/>
      <c r="F81" s="170"/>
      <c r="G81" s="169"/>
      <c r="H81" s="170"/>
      <c r="I81" s="169"/>
      <c r="J81" s="170"/>
      <c r="K81" s="169"/>
      <c r="L81" s="170"/>
      <c r="M81" s="169"/>
      <c r="N81" s="170"/>
      <c r="O81" s="169"/>
      <c r="P81" s="170"/>
      <c r="Q81" s="169"/>
      <c r="R81" s="170"/>
      <c r="S81" s="169"/>
      <c r="T81" s="170"/>
      <c r="U81" s="169"/>
      <c r="V81" s="170"/>
      <c r="W81" s="169"/>
      <c r="X81" s="170"/>
      <c r="Y81" s="165"/>
      <c r="Z81" s="170"/>
      <c r="AA81" s="30"/>
      <c r="AB81" s="31"/>
      <c r="AC81" s="315"/>
      <c r="AD81" s="315"/>
    </row>
    <row r="82" spans="1:30" x14ac:dyDescent="0.35">
      <c r="A82" s="169"/>
      <c r="B82" s="170"/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0"/>
      <c r="O82" s="169"/>
      <c r="P82" s="170"/>
      <c r="Q82" s="169"/>
      <c r="R82" s="170"/>
      <c r="S82" s="169"/>
      <c r="T82" s="170"/>
      <c r="U82" s="169"/>
      <c r="V82" s="170"/>
      <c r="W82" s="169"/>
      <c r="X82" s="170"/>
      <c r="Y82" s="165"/>
      <c r="Z82" s="170"/>
      <c r="AC82" s="315"/>
      <c r="AD82" s="315"/>
    </row>
    <row r="83" spans="1:30" x14ac:dyDescent="0.35">
      <c r="A83" s="30"/>
      <c r="B83" s="31"/>
      <c r="C83" s="30"/>
      <c r="D83" s="31"/>
      <c r="E83" s="30"/>
      <c r="F83" s="31"/>
      <c r="G83" s="30"/>
      <c r="H83" s="31"/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0"/>
      <c r="V83" s="31"/>
      <c r="W83" s="30"/>
      <c r="X83" s="31"/>
      <c r="Y83" s="30"/>
      <c r="Z83" s="31"/>
      <c r="AC83" s="315"/>
      <c r="AD83" s="315"/>
    </row>
    <row r="85" spans="1:30" x14ac:dyDescent="0.35">
      <c r="A85" s="376" t="s">
        <v>3</v>
      </c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8"/>
      <c r="AC85" s="359" t="s">
        <v>184</v>
      </c>
      <c r="AD85" s="360"/>
    </row>
    <row r="86" spans="1:30" x14ac:dyDescent="0.35">
      <c r="A86" s="341" t="s">
        <v>161</v>
      </c>
      <c r="B86" s="342"/>
      <c r="C86" s="341" t="s">
        <v>162</v>
      </c>
      <c r="D86" s="342"/>
      <c r="E86" s="341" t="s">
        <v>163</v>
      </c>
      <c r="F86" s="342"/>
      <c r="G86" s="341" t="s">
        <v>164</v>
      </c>
      <c r="H86" s="342"/>
      <c r="I86" s="341" t="s">
        <v>165</v>
      </c>
      <c r="J86" s="342"/>
      <c r="K86" s="341" t="s">
        <v>166</v>
      </c>
      <c r="L86" s="342"/>
      <c r="M86" s="341" t="s">
        <v>167</v>
      </c>
      <c r="N86" s="342"/>
      <c r="O86" s="341" t="s">
        <v>168</v>
      </c>
      <c r="P86" s="342"/>
      <c r="Q86" s="341" t="s">
        <v>169</v>
      </c>
      <c r="R86" s="342"/>
      <c r="S86" s="341" t="s">
        <v>170</v>
      </c>
      <c r="T86" s="342"/>
      <c r="U86" s="341" t="s">
        <v>171</v>
      </c>
      <c r="V86" s="342"/>
      <c r="W86" s="341" t="s">
        <v>172</v>
      </c>
      <c r="X86" s="342"/>
      <c r="Y86" s="341" t="s">
        <v>173</v>
      </c>
      <c r="Z86" s="342"/>
      <c r="AA86" s="341" t="s">
        <v>174</v>
      </c>
      <c r="AB86" s="342"/>
      <c r="AC86" s="321" t="s">
        <v>113</v>
      </c>
      <c r="AD86" s="319"/>
    </row>
    <row r="87" spans="1:30" x14ac:dyDescent="0.35">
      <c r="A87" s="166" t="s">
        <v>175</v>
      </c>
      <c r="B87" s="167" t="s">
        <v>176</v>
      </c>
      <c r="C87" s="166" t="s">
        <v>175</v>
      </c>
      <c r="D87" s="167" t="s">
        <v>176</v>
      </c>
      <c r="E87" s="166" t="s">
        <v>175</v>
      </c>
      <c r="F87" s="167" t="s">
        <v>176</v>
      </c>
      <c r="G87" s="166" t="s">
        <v>175</v>
      </c>
      <c r="H87" s="167" t="s">
        <v>176</v>
      </c>
      <c r="I87" s="166" t="s">
        <v>175</v>
      </c>
      <c r="J87" s="167" t="s">
        <v>176</v>
      </c>
      <c r="K87" s="166" t="s">
        <v>175</v>
      </c>
      <c r="L87" s="167" t="s">
        <v>176</v>
      </c>
      <c r="M87" s="166" t="s">
        <v>175</v>
      </c>
      <c r="N87" s="167" t="s">
        <v>176</v>
      </c>
      <c r="O87" s="166" t="s">
        <v>175</v>
      </c>
      <c r="P87" s="167" t="s">
        <v>176</v>
      </c>
      <c r="Q87" s="166" t="s">
        <v>175</v>
      </c>
      <c r="R87" s="167" t="s">
        <v>176</v>
      </c>
      <c r="S87" s="166" t="s">
        <v>175</v>
      </c>
      <c r="T87" s="167" t="s">
        <v>176</v>
      </c>
      <c r="U87" s="166" t="s">
        <v>175</v>
      </c>
      <c r="V87" s="167" t="s">
        <v>176</v>
      </c>
      <c r="W87" s="166" t="s">
        <v>175</v>
      </c>
      <c r="X87" s="167" t="s">
        <v>176</v>
      </c>
      <c r="Y87" s="166" t="s">
        <v>175</v>
      </c>
      <c r="Z87" s="167" t="s">
        <v>176</v>
      </c>
      <c r="AA87" s="166" t="s">
        <v>175</v>
      </c>
      <c r="AB87" s="167" t="s">
        <v>176</v>
      </c>
      <c r="AC87" s="322" t="s">
        <v>98</v>
      </c>
      <c r="AD87" s="315" t="s">
        <v>129</v>
      </c>
    </row>
    <row r="88" spans="1:30" x14ac:dyDescent="0.35">
      <c r="A88" s="169" t="str">
        <f>Mon!A88</f>
        <v>(KM)</v>
      </c>
      <c r="B88" s="170" t="str">
        <f>Mon!B88</f>
        <v>MM</v>
      </c>
      <c r="C88" s="169" t="str">
        <f>Mon!C88</f>
        <v>(SRS)</v>
      </c>
      <c r="D88" s="170" t="str">
        <f>Mon!D88</f>
        <v>MM</v>
      </c>
      <c r="E88" s="169" t="str">
        <f>Mon!E88</f>
        <v>(SB)</v>
      </c>
      <c r="F88" s="170" t="str">
        <f>Mon!F88</f>
        <v>MM</v>
      </c>
      <c r="G88" s="169" t="str">
        <f>Mon!G88</f>
        <v>(SAK)</v>
      </c>
      <c r="H88" s="170" t="str">
        <f>Mon!H88</f>
        <v>MM</v>
      </c>
      <c r="I88" s="174" t="str">
        <f>Mon!I88</f>
        <v>(LV)</v>
      </c>
      <c r="J88" s="170" t="str">
        <f>Mon!J88</f>
        <v>MM</v>
      </c>
      <c r="K88" s="169" t="str">
        <f>Mon!K88</f>
        <v>(SB)</v>
      </c>
      <c r="L88" s="170" t="str">
        <f>Mon!L88</f>
        <v>MM</v>
      </c>
      <c r="M88" s="169" t="str">
        <f>Mon!M88</f>
        <v>(VAR)</v>
      </c>
      <c r="N88" s="170" t="str">
        <f>Mon!N88</f>
        <v>MM</v>
      </c>
      <c r="O88" s="169" t="str">
        <f>Mon!O88</f>
        <v>(SRS)</v>
      </c>
      <c r="P88" s="170" t="str">
        <f>Mon!P88</f>
        <v>MM</v>
      </c>
      <c r="Q88" s="174" t="str">
        <f>Mon!Q88</f>
        <v>(SAK)</v>
      </c>
      <c r="R88" s="170" t="str">
        <f>Mon!R88</f>
        <v>MM</v>
      </c>
      <c r="S88" s="169" t="str">
        <f>Mon!S88</f>
        <v>(SRS)</v>
      </c>
      <c r="T88" s="170" t="str">
        <f>Mon!T88</f>
        <v>MM</v>
      </c>
      <c r="U88" s="169" t="str">
        <f>Mon!U88</f>
        <v>(SAK)</v>
      </c>
      <c r="V88" s="170" t="str">
        <f>Mon!V88</f>
        <v>MM</v>
      </c>
      <c r="W88" s="169" t="str">
        <f>Mon!W88</f>
        <v>(SRS)</v>
      </c>
      <c r="X88" s="170" t="str">
        <f>Mon!X88</f>
        <v>MM</v>
      </c>
      <c r="Y88" s="169" t="str">
        <f>Mon!Y88</f>
        <v>(SB)</v>
      </c>
      <c r="Z88" s="170" t="str">
        <f>Mon!Z88</f>
        <v>MM</v>
      </c>
      <c r="AA88" s="169" t="str">
        <f>Mon!AA88</f>
        <v>(KM)</v>
      </c>
      <c r="AB88" s="170" t="str">
        <f>Mon!AB88</f>
        <v>MM</v>
      </c>
      <c r="AC88" s="322" t="s">
        <v>131</v>
      </c>
      <c r="AD88" s="315" t="s">
        <v>130</v>
      </c>
    </row>
    <row r="89" spans="1:30" x14ac:dyDescent="0.35">
      <c r="A89" s="169" t="str">
        <f>Mon!A89</f>
        <v>(RT)</v>
      </c>
      <c r="B89" s="170" t="str">
        <f>Mon!B89</f>
        <v>HR</v>
      </c>
      <c r="C89" s="169" t="str">
        <f>Mon!C89</f>
        <v>(BD)</v>
      </c>
      <c r="D89" s="170" t="str">
        <f>Mon!D89</f>
        <v>HR</v>
      </c>
      <c r="E89" s="174" t="str">
        <f>Mon!E89</f>
        <v>(AS)</v>
      </c>
      <c r="F89" s="170" t="str">
        <f>Mon!F89</f>
        <v>HR</v>
      </c>
      <c r="G89" s="169" t="str">
        <f>Mon!G89</f>
        <v>(SUH)</v>
      </c>
      <c r="H89" s="170" t="str">
        <f>Mon!H89</f>
        <v>HR</v>
      </c>
      <c r="I89" s="169" t="str">
        <f>Mon!I89</f>
        <v>(SUH)</v>
      </c>
      <c r="J89" s="170" t="str">
        <f>Mon!J89</f>
        <v>HR</v>
      </c>
      <c r="K89" s="169" t="str">
        <f>Mon!K89</f>
        <v>(BD)</v>
      </c>
      <c r="L89" s="170" t="str">
        <f>Mon!L89</f>
        <v>HR</v>
      </c>
      <c r="M89" s="174" t="str">
        <f>Mon!M89</f>
        <v>(AS)</v>
      </c>
      <c r="N89" s="170" t="str">
        <f>Mon!N89</f>
        <v>HR</v>
      </c>
      <c r="O89" s="174" t="str">
        <f>Mon!O89</f>
        <v>(RT)</v>
      </c>
      <c r="P89" s="170" t="str">
        <f>Mon!P89</f>
        <v>HR</v>
      </c>
      <c r="Q89" s="174" t="str">
        <f>Mon!Q89</f>
        <v>(SUH)</v>
      </c>
      <c r="R89" s="170" t="str">
        <f>Mon!R89</f>
        <v>HR</v>
      </c>
      <c r="S89" s="169" t="s">
        <v>118</v>
      </c>
      <c r="T89" s="170" t="str">
        <f>Mon!T89</f>
        <v>HR</v>
      </c>
      <c r="U89" s="169" t="str">
        <f>Mon!U89</f>
        <v>(AS)</v>
      </c>
      <c r="V89" s="170" t="str">
        <f>Mon!V89</f>
        <v>HR</v>
      </c>
      <c r="W89" s="169" t="str">
        <f>Mon!W89</f>
        <v>(AS)</v>
      </c>
      <c r="X89" s="170" t="str">
        <f>Mon!X89</f>
        <v>HR</v>
      </c>
      <c r="Y89" s="169" t="str">
        <f>Mon!Y89</f>
        <v>(RT)</v>
      </c>
      <c r="Z89" s="170" t="str">
        <f>Mon!Z89</f>
        <v>HR</v>
      </c>
      <c r="AA89" s="169" t="str">
        <f>Mon!AA89</f>
        <v>(BD)</v>
      </c>
      <c r="AB89" s="170" t="str">
        <f>Mon!AB89</f>
        <v>HR</v>
      </c>
      <c r="AC89" s="322" t="s">
        <v>94</v>
      </c>
      <c r="AD89" s="315" t="s">
        <v>135</v>
      </c>
    </row>
    <row r="90" spans="1:30" x14ac:dyDescent="0.35">
      <c r="A90" s="169" t="str">
        <f>Mon!A90</f>
        <v>(YL)</v>
      </c>
      <c r="B90" s="170" t="str">
        <f>Mon!B90</f>
        <v>ED</v>
      </c>
      <c r="C90" s="174" t="str">
        <f>Mon!C90</f>
        <v>(LV)</v>
      </c>
      <c r="D90" s="170" t="str">
        <f>Mon!D90</f>
        <v>ED</v>
      </c>
      <c r="E90" s="169" t="str">
        <f>Mon!E90</f>
        <v>(MS)</v>
      </c>
      <c r="F90" s="170" t="str">
        <f>Mon!F90</f>
        <v>ED</v>
      </c>
      <c r="G90" s="174" t="str">
        <f>Mon!G90</f>
        <v>(RR)</v>
      </c>
      <c r="H90" s="170" t="str">
        <f>Mon!H90</f>
        <v>ED</v>
      </c>
      <c r="I90" s="169" t="str">
        <f>Mon!I90</f>
        <v>(EC)</v>
      </c>
      <c r="J90" s="170" t="str">
        <f>Mon!J90</f>
        <v>ED</v>
      </c>
      <c r="K90" s="169" t="str">
        <f>Mon!K90</f>
        <v>(YL)</v>
      </c>
      <c r="L90" s="170" t="str">
        <f>Mon!L90</f>
        <v>ED</v>
      </c>
      <c r="M90" s="174" t="str">
        <f>Mon!M90</f>
        <v>(RR)</v>
      </c>
      <c r="N90" s="170" t="str">
        <f>Mon!N90</f>
        <v>ED</v>
      </c>
      <c r="O90" s="169" t="str">
        <f>Mon!O90</f>
        <v>(LV)</v>
      </c>
      <c r="P90" s="170" t="str">
        <f>Mon!P90</f>
        <v>ED</v>
      </c>
      <c r="Q90" s="174" t="str">
        <f>Mon!Q90</f>
        <v>(MS)</v>
      </c>
      <c r="R90" s="170" t="str">
        <f>Mon!R90</f>
        <v>ED</v>
      </c>
      <c r="S90" s="174" t="str">
        <f>Mon!S90</f>
        <v>(LV)</v>
      </c>
      <c r="T90" s="170" t="str">
        <f>Mon!T90</f>
        <v>ED</v>
      </c>
      <c r="U90" s="169" t="str">
        <f>Mon!U90</f>
        <v>(RR)</v>
      </c>
      <c r="V90" s="170" t="str">
        <f>Mon!V90</f>
        <v>ED</v>
      </c>
      <c r="W90" s="174" t="str">
        <f>Mon!W90</f>
        <v>(LV)</v>
      </c>
      <c r="X90" s="170" t="str">
        <f>Mon!X90</f>
        <v>ED</v>
      </c>
      <c r="Y90" s="174" t="str">
        <f>Mon!Y90</f>
        <v>(LV)</v>
      </c>
      <c r="Z90" s="170" t="str">
        <f>Mon!Z90</f>
        <v>ED</v>
      </c>
      <c r="AA90" s="174" t="str">
        <f>Mon!AA90</f>
        <v>(YL)</v>
      </c>
      <c r="AB90" s="170" t="str">
        <f>Mon!AB90</f>
        <v>ED</v>
      </c>
      <c r="AC90" s="322" t="s">
        <v>100</v>
      </c>
      <c r="AD90" s="315" t="s">
        <v>188</v>
      </c>
    </row>
    <row r="91" spans="1:30" x14ac:dyDescent="0.35">
      <c r="A91" s="169" t="str">
        <f>Mon!A91</f>
        <v>(RG)</v>
      </c>
      <c r="B91" s="170" t="str">
        <f>Mon!B91</f>
        <v>CA</v>
      </c>
      <c r="C91" s="169" t="str">
        <f>Mon!C91</f>
        <v>(TK)</v>
      </c>
      <c r="D91" s="170" t="str">
        <f>Mon!D91</f>
        <v>CA</v>
      </c>
      <c r="E91" s="169" t="str">
        <f>Mon!E91</f>
        <v>(VA)</v>
      </c>
      <c r="F91" s="170" t="str">
        <f>Mon!F91</f>
        <v>CA</v>
      </c>
      <c r="G91" s="169" t="str">
        <f>Mon!G91</f>
        <v>(MEG)</v>
      </c>
      <c r="H91" s="170" t="str">
        <f>Mon!H91</f>
        <v>CA</v>
      </c>
      <c r="I91" s="169" t="str">
        <f>Mon!I91</f>
        <v>(SW)</v>
      </c>
      <c r="J91" s="170" t="str">
        <f>Mon!J91</f>
        <v>CA</v>
      </c>
      <c r="K91" s="169" t="str">
        <f>Mon!K91</f>
        <v>(VA)</v>
      </c>
      <c r="L91" s="170" t="str">
        <f>Mon!L91</f>
        <v>CA</v>
      </c>
      <c r="M91" s="169" t="str">
        <f>Mon!M91</f>
        <v>(KR)</v>
      </c>
      <c r="N91" s="170" t="str">
        <f>Mon!N91</f>
        <v>CA</v>
      </c>
      <c r="O91" s="169" t="str">
        <f>Mon!O91</f>
        <v>(SW)</v>
      </c>
      <c r="P91" s="170" t="str">
        <f>Mon!P91</f>
        <v>CA</v>
      </c>
      <c r="Q91" s="169" t="str">
        <f>Mon!Q91</f>
        <v>(VA)</v>
      </c>
      <c r="R91" s="170" t="str">
        <f>Mon!R91</f>
        <v>CA</v>
      </c>
      <c r="S91" s="169" t="str">
        <f>Mon!S91</f>
        <v>(SW)</v>
      </c>
      <c r="T91" s="170" t="str">
        <f>Mon!T91</f>
        <v>CA</v>
      </c>
      <c r="U91" s="169" t="str">
        <f>Mon!U91</f>
        <v>(TK)</v>
      </c>
      <c r="V91" s="170" t="str">
        <f>Mon!V91</f>
        <v>CA</v>
      </c>
      <c r="W91" s="169" t="str">
        <f>Mon!W91</f>
        <v>(MEG)</v>
      </c>
      <c r="X91" s="170" t="str">
        <f>Mon!X91</f>
        <v>CA</v>
      </c>
      <c r="Y91" s="169" t="str">
        <f>Mon!Y91</f>
        <v>(SW)</v>
      </c>
      <c r="Z91" s="170" t="str">
        <f>Mon!Z91</f>
        <v>CA</v>
      </c>
      <c r="AA91" s="169" t="str">
        <f>Mon!AA91</f>
        <v>(TK)</v>
      </c>
      <c r="AB91" s="170" t="str">
        <f>Mon!AB91</f>
        <v>CA</v>
      </c>
      <c r="AC91" s="322" t="s">
        <v>89</v>
      </c>
      <c r="AD91" s="315" t="s">
        <v>190</v>
      </c>
    </row>
    <row r="92" spans="1:30" x14ac:dyDescent="0.35">
      <c r="A92" s="169" t="str">
        <f>Mon!A92</f>
        <v>(SUH)</v>
      </c>
      <c r="B92" s="170" t="str">
        <f>Mon!B92</f>
        <v>EVS</v>
      </c>
      <c r="C92" s="174" t="str">
        <f>Mon!C92</f>
        <v>(MB)</v>
      </c>
      <c r="D92" s="170" t="str">
        <f>Mon!D92</f>
        <v>EVS</v>
      </c>
      <c r="E92" s="169" t="str">
        <f>Mon!E92</f>
        <v>(AG)</v>
      </c>
      <c r="F92" s="170" t="str">
        <f>Mon!F92</f>
        <v>EVS</v>
      </c>
      <c r="G92" s="169" t="s">
        <v>105</v>
      </c>
      <c r="H92" s="170" t="str">
        <f>Mon!H92</f>
        <v>EVS</v>
      </c>
      <c r="I92" s="174" t="str">
        <f>Mon!I92</f>
        <v>(RR)</v>
      </c>
      <c r="J92" s="170" t="str">
        <f>Mon!J92</f>
        <v>EVS</v>
      </c>
      <c r="K92" s="169" t="str">
        <f>Mon!K92</f>
        <v>(RR)</v>
      </c>
      <c r="L92" s="170" t="str">
        <f>Mon!L92</f>
        <v>EVS</v>
      </c>
      <c r="M92" s="169" t="str">
        <f>Mon!M92</f>
        <v>(MB)</v>
      </c>
      <c r="N92" s="170" t="str">
        <f>Mon!N92</f>
        <v>EVS</v>
      </c>
      <c r="O92" s="169" t="str">
        <f>Mon!O92</f>
        <v>(NEW)</v>
      </c>
      <c r="P92" s="170" t="str">
        <f>Mon!P92</f>
        <v>EVS</v>
      </c>
      <c r="Q92" s="174" t="str">
        <f>Mon!Q92</f>
        <v>(NEW)</v>
      </c>
      <c r="R92" s="170" t="str">
        <f>Mon!R92</f>
        <v>EVS</v>
      </c>
      <c r="S92" s="169" t="str">
        <f>Mon!S92</f>
        <v>(AG)</v>
      </c>
      <c r="T92" s="170" t="str">
        <f>Mon!T92</f>
        <v>EVS</v>
      </c>
      <c r="U92" s="174" t="str">
        <f>Mon!U92</f>
        <v>(New)</v>
      </c>
      <c r="V92" s="170" t="str">
        <f>Mon!V92</f>
        <v>EVS</v>
      </c>
      <c r="W92" s="169" t="str">
        <f>Mon!W92</f>
        <v>(RR)</v>
      </c>
      <c r="X92" s="170" t="str">
        <f>Mon!X92</f>
        <v>EVS</v>
      </c>
      <c r="Y92" s="169" t="str">
        <f>Mon!Y92</f>
        <v>(AG)</v>
      </c>
      <c r="Z92" s="170" t="str">
        <f>Mon!Z92</f>
        <v>EVS</v>
      </c>
      <c r="AA92" s="169" t="str">
        <f>Mon!AA92</f>
        <v>(MB)</v>
      </c>
      <c r="AB92" s="170" t="str">
        <f>Mon!AB92</f>
        <v>EVS</v>
      </c>
      <c r="AC92" s="322" t="s">
        <v>192</v>
      </c>
      <c r="AD92" s="315" t="s">
        <v>132</v>
      </c>
    </row>
    <row r="93" spans="1:30" x14ac:dyDescent="0.35">
      <c r="A93" s="169" t="str">
        <f>Mon!A93</f>
        <v>(AV)</v>
      </c>
      <c r="B93" s="170" t="str">
        <f>Mon!B93</f>
        <v>CM</v>
      </c>
      <c r="C93" s="169" t="str">
        <f>Mon!C93</f>
        <v>(SAK)</v>
      </c>
      <c r="D93" s="170" t="str">
        <f>Mon!D93</f>
        <v>CM</v>
      </c>
      <c r="E93" s="169" t="str">
        <f>Mon!E93</f>
        <v>(SUH)</v>
      </c>
      <c r="F93" s="170" t="str">
        <f>Mon!F93</f>
        <v>CM</v>
      </c>
      <c r="G93" s="169" t="str">
        <f>Mon!G93</f>
        <v>(SW)</v>
      </c>
      <c r="H93" s="170" t="str">
        <f>Mon!H93</f>
        <v>CM</v>
      </c>
      <c r="I93" s="169" t="str">
        <f>Mon!I93</f>
        <v>(SAK)</v>
      </c>
      <c r="J93" s="170" t="str">
        <f>Mon!J93</f>
        <v>CM</v>
      </c>
      <c r="K93" s="169" t="str">
        <f>Mon!K93</f>
        <v>(SAK)</v>
      </c>
      <c r="L93" s="170" t="str">
        <f>Mon!L93</f>
        <v>CM</v>
      </c>
      <c r="M93" s="169" t="str">
        <f>Mon!M93</f>
        <v>(SP)</v>
      </c>
      <c r="N93" s="170" t="str">
        <f>Mon!N93</f>
        <v>CP</v>
      </c>
      <c r="O93" s="169" t="str">
        <f>Mon!O93</f>
        <v>(MB)</v>
      </c>
      <c r="P93" s="170" t="str">
        <f>Mon!P93</f>
        <v>CP</v>
      </c>
      <c r="Q93" s="169" t="str">
        <f>Mon!Q93</f>
        <v>(SP)</v>
      </c>
      <c r="R93" s="170" t="str">
        <f>Mon!R93</f>
        <v>CP</v>
      </c>
      <c r="S93" s="181" t="str">
        <f>Mon!S93</f>
        <v>(MB)</v>
      </c>
      <c r="T93" s="170" t="str">
        <f>Mon!T93</f>
        <v>CP</v>
      </c>
      <c r="U93" s="169" t="str">
        <f>Mon!U93</f>
        <v>(AV)</v>
      </c>
      <c r="V93" s="170" t="str">
        <f>Mon!V93</f>
        <v>CM</v>
      </c>
      <c r="W93" s="169" t="str">
        <f>Mon!W93</f>
        <v>(SP)</v>
      </c>
      <c r="X93" s="170" t="str">
        <f>Mon!X93</f>
        <v>CP</v>
      </c>
      <c r="Y93" s="169" t="str">
        <f>Mon!Y93</f>
        <v>(SUH)</v>
      </c>
      <c r="Z93" s="170" t="str">
        <f>Mon!Z93</f>
        <v>CM</v>
      </c>
      <c r="AA93" s="169" t="str">
        <f>Mon!AA93</f>
        <v>(SP)</v>
      </c>
      <c r="AB93" s="170" t="str">
        <f>Mon!AB93</f>
        <v>CP</v>
      </c>
      <c r="AC93" s="322" t="s">
        <v>195</v>
      </c>
      <c r="AD93" s="315" t="s">
        <v>134</v>
      </c>
    </row>
    <row r="94" spans="1:30" x14ac:dyDescent="0.35">
      <c r="A94" s="169" t="str">
        <f>Mon!A94</f>
        <v>(ND)</v>
      </c>
      <c r="B94" s="170" t="str">
        <f>Mon!B94</f>
        <v>OP</v>
      </c>
      <c r="C94" s="169" t="str">
        <f>Mon!C94</f>
        <v>(SB)</v>
      </c>
      <c r="D94" s="170" t="str">
        <f>Mon!D94</f>
        <v>OP</v>
      </c>
      <c r="E94" s="169" t="str">
        <f>Mon!E94</f>
        <v>(ND)</v>
      </c>
      <c r="F94" s="170" t="str">
        <f>Mon!F94</f>
        <v>OP</v>
      </c>
      <c r="G94" s="169" t="str">
        <f>Mon!G94</f>
        <v>NEW</v>
      </c>
      <c r="H94" s="170" t="str">
        <f>Mon!H94</f>
        <v>OP</v>
      </c>
      <c r="I94" s="169" t="str">
        <f>Mon!I94</f>
        <v>NEW</v>
      </c>
      <c r="J94" s="170" t="str">
        <f>Mon!J94</f>
        <v>OP</v>
      </c>
      <c r="K94" s="169" t="str">
        <f>Mon!K94</f>
        <v>(MH)</v>
      </c>
      <c r="L94" s="170" t="str">
        <f>Mon!L94</f>
        <v>SP</v>
      </c>
      <c r="M94" s="169" t="str">
        <f>Mon!M94</f>
        <v>(SB)</v>
      </c>
      <c r="N94" s="170" t="str">
        <f>Mon!N94</f>
        <v>OP</v>
      </c>
      <c r="O94" s="169" t="str">
        <f>Mon!O94</f>
        <v>(MH)</v>
      </c>
      <c r="P94" s="170" t="str">
        <f>Mon!P94</f>
        <v>SP</v>
      </c>
      <c r="Q94" s="169" t="str">
        <f>Mon!Q94</f>
        <v>(SB)</v>
      </c>
      <c r="R94" s="170" t="str">
        <f>Mon!R94</f>
        <v>OP</v>
      </c>
      <c r="S94" s="169" t="str">
        <f>Mon!S94</f>
        <v>(ND)</v>
      </c>
      <c r="T94" s="170" t="str">
        <f>Mon!T94</f>
        <v>OP</v>
      </c>
      <c r="U94" s="169" t="str">
        <f>Mon!U94</f>
        <v>(ND)</v>
      </c>
      <c r="V94" s="170" t="str">
        <f>Mon!V94</f>
        <v>OP</v>
      </c>
      <c r="W94" s="169" t="str">
        <f>Mon!W94</f>
        <v>(ND)</v>
      </c>
      <c r="X94" s="170" t="str">
        <f>Mon!X94</f>
        <v>OP</v>
      </c>
      <c r="Y94" s="174" t="str">
        <f>Mon!Y94</f>
        <v>(MH)</v>
      </c>
      <c r="Z94" s="175" t="str">
        <f>Mon!Z94</f>
        <v>SP</v>
      </c>
      <c r="AA94" s="174" t="str">
        <f>Mon!AA94</f>
        <v>(MH)</v>
      </c>
      <c r="AB94" s="175" t="str">
        <f>Mon!AB94</f>
        <v>SP</v>
      </c>
      <c r="AC94" s="322" t="s">
        <v>133</v>
      </c>
      <c r="AD94" s="315" t="s">
        <v>197</v>
      </c>
    </row>
    <row r="95" spans="1:30" x14ac:dyDescent="0.35">
      <c r="A95" s="30"/>
      <c r="B95" s="31"/>
      <c r="C95" s="30"/>
      <c r="D95" s="31"/>
      <c r="E95" s="30"/>
      <c r="F95" s="31"/>
      <c r="G95" s="30"/>
      <c r="H95" s="31"/>
      <c r="I95" s="30"/>
      <c r="J95" s="31"/>
      <c r="K95" s="30"/>
      <c r="L95" s="31"/>
      <c r="M95" s="207">
        <f>Mon!M95</f>
        <v>0</v>
      </c>
      <c r="N95" s="31">
        <f>Mon!N95</f>
        <v>0</v>
      </c>
      <c r="O95" s="30"/>
      <c r="P95" s="31"/>
      <c r="Q95" s="30"/>
      <c r="R95" s="31"/>
      <c r="S95" s="30"/>
      <c r="T95" s="31"/>
      <c r="U95" s="30"/>
      <c r="V95" s="31"/>
      <c r="W95" s="207">
        <f>Mon!W95</f>
        <v>0</v>
      </c>
      <c r="X95" s="31">
        <f>Mon!X95</f>
        <v>0</v>
      </c>
      <c r="Y95" s="30"/>
      <c r="Z95" s="31"/>
      <c r="AA95" s="30"/>
      <c r="AB95" s="31"/>
      <c r="AC95" s="322" t="s">
        <v>123</v>
      </c>
      <c r="AD95" s="315" t="s">
        <v>198</v>
      </c>
    </row>
    <row r="96" spans="1:30" x14ac:dyDescent="0.35">
      <c r="AC96" s="315" t="s">
        <v>147</v>
      </c>
      <c r="AD96" s="315"/>
    </row>
    <row r="97" spans="1:28" x14ac:dyDescent="0.35">
      <c r="A97" s="355" t="s">
        <v>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7"/>
      <c r="AA97" s="325" t="s">
        <v>199</v>
      </c>
      <c r="AB97" s="326"/>
    </row>
    <row r="98" spans="1:28" x14ac:dyDescent="0.35">
      <c r="A98" s="341" t="s">
        <v>161</v>
      </c>
      <c r="B98" s="342"/>
      <c r="C98" s="341" t="s">
        <v>162</v>
      </c>
      <c r="D98" s="342"/>
      <c r="E98" s="341" t="s">
        <v>163</v>
      </c>
      <c r="F98" s="342"/>
      <c r="G98" s="341" t="s">
        <v>164</v>
      </c>
      <c r="H98" s="342"/>
      <c r="I98" s="341" t="s">
        <v>165</v>
      </c>
      <c r="J98" s="342"/>
      <c r="K98" s="341" t="s">
        <v>166</v>
      </c>
      <c r="L98" s="342"/>
      <c r="M98" s="341" t="s">
        <v>167</v>
      </c>
      <c r="N98" s="342"/>
      <c r="O98" s="341" t="s">
        <v>168</v>
      </c>
      <c r="P98" s="342"/>
      <c r="Q98" s="341" t="s">
        <v>169</v>
      </c>
      <c r="R98" s="342"/>
      <c r="S98" s="341" t="s">
        <v>170</v>
      </c>
      <c r="T98" s="342"/>
      <c r="U98" s="341" t="s">
        <v>171</v>
      </c>
      <c r="V98" s="342"/>
      <c r="W98" s="341" t="s">
        <v>172</v>
      </c>
      <c r="X98" s="342"/>
      <c r="Y98" s="341" t="s">
        <v>200</v>
      </c>
      <c r="Z98" s="342"/>
      <c r="AA98" s="318" t="s">
        <v>175</v>
      </c>
      <c r="AB98" s="172" t="s">
        <v>176</v>
      </c>
    </row>
    <row r="99" spans="1:28" x14ac:dyDescent="0.35">
      <c r="A99" s="166" t="s">
        <v>175</v>
      </c>
      <c r="B99" s="167" t="s">
        <v>176</v>
      </c>
      <c r="C99" s="166" t="s">
        <v>175</v>
      </c>
      <c r="D99" s="167" t="s">
        <v>176</v>
      </c>
      <c r="E99" s="166" t="s">
        <v>175</v>
      </c>
      <c r="F99" s="167" t="s">
        <v>176</v>
      </c>
      <c r="G99" s="166" t="s">
        <v>175</v>
      </c>
      <c r="H99" s="167" t="s">
        <v>176</v>
      </c>
      <c r="I99" s="166" t="s">
        <v>175</v>
      </c>
      <c r="J99" s="167" t="s">
        <v>176</v>
      </c>
      <c r="K99" s="166" t="s">
        <v>175</v>
      </c>
      <c r="L99" s="167" t="s">
        <v>176</v>
      </c>
      <c r="M99" s="166" t="s">
        <v>175</v>
      </c>
      <c r="N99" s="167" t="s">
        <v>176</v>
      </c>
      <c r="O99" s="166" t="s">
        <v>175</v>
      </c>
      <c r="P99" s="167" t="s">
        <v>176</v>
      </c>
      <c r="Q99" s="166" t="s">
        <v>175</v>
      </c>
      <c r="R99" s="167" t="s">
        <v>176</v>
      </c>
      <c r="S99" s="166" t="s">
        <v>175</v>
      </c>
      <c r="T99" s="167" t="s">
        <v>176</v>
      </c>
      <c r="U99" s="166" t="s">
        <v>175</v>
      </c>
      <c r="V99" s="167" t="s">
        <v>176</v>
      </c>
      <c r="W99" s="166" t="s">
        <v>175</v>
      </c>
      <c r="X99" s="167" t="s">
        <v>176</v>
      </c>
      <c r="Y99" s="166" t="s">
        <v>175</v>
      </c>
      <c r="Z99" s="167" t="s">
        <v>176</v>
      </c>
      <c r="AA99" s="315" t="s">
        <v>89</v>
      </c>
      <c r="AB99" s="315" t="s">
        <v>88</v>
      </c>
    </row>
    <row r="100" spans="1:28" x14ac:dyDescent="0.35">
      <c r="A100" s="169" t="str">
        <f>Mon!A100</f>
        <v>(AV)</v>
      </c>
      <c r="B100" s="170" t="str">
        <f>Mon!B100</f>
        <v>IB</v>
      </c>
      <c r="C100" s="169" t="str">
        <f>Mon!C100</f>
        <v>(KM)</v>
      </c>
      <c r="D100" s="170" t="str">
        <f>Mon!D100</f>
        <v>IB</v>
      </c>
      <c r="E100" s="169" t="str">
        <f>Mon!E100</f>
        <v>(SUN)</v>
      </c>
      <c r="F100" s="170" t="str">
        <f>Mon!F100</f>
        <v>IB</v>
      </c>
      <c r="G100" s="169" t="str">
        <f>Mon!G100</f>
        <v>(YL)</v>
      </c>
      <c r="H100" s="170" t="str">
        <f>Mon!H100</f>
        <v>IB</v>
      </c>
      <c r="I100" s="169" t="str">
        <f>Mon!I100</f>
        <v>(EC)</v>
      </c>
      <c r="J100" s="170" t="str">
        <f>Mon!J100</f>
        <v>IB</v>
      </c>
      <c r="K100" s="169" t="str">
        <f>Mon!K100</f>
        <v>(YL)</v>
      </c>
      <c r="L100" s="170" t="str">
        <f>Mon!L100</f>
        <v>IB</v>
      </c>
      <c r="M100" s="169" t="str">
        <f>Mon!M100</f>
        <v>(EC)</v>
      </c>
      <c r="N100" s="170" t="str">
        <f>Mon!N100</f>
        <v>IB</v>
      </c>
      <c r="O100" s="169" t="str">
        <f>Mon!O100</f>
        <v>(SUN)</v>
      </c>
      <c r="P100" s="170" t="str">
        <f>Mon!P100</f>
        <v>IB</v>
      </c>
      <c r="Q100" s="169" t="str">
        <f>Mon!Q100</f>
        <v>(AV)</v>
      </c>
      <c r="R100" s="170" t="str">
        <f>Mon!R100</f>
        <v>IB</v>
      </c>
      <c r="S100" s="169" t="str">
        <f>Mon!S100</f>
        <v>(EC)</v>
      </c>
      <c r="T100" s="170" t="str">
        <f>Mon!T100</f>
        <v>IB</v>
      </c>
      <c r="U100" s="169" t="str">
        <f>Mon!U100</f>
        <v>(EC)</v>
      </c>
      <c r="V100" s="170" t="str">
        <f>Mon!V100</f>
        <v>IB</v>
      </c>
      <c r="W100" s="169" t="str">
        <f>Mon!W100</f>
        <v>(AV)</v>
      </c>
      <c r="X100" s="170" t="str">
        <f>Mon!X100</f>
        <v>IB</v>
      </c>
      <c r="Y100" s="169" t="str">
        <f>Mon!Y100</f>
        <v>(DT)</v>
      </c>
      <c r="Z100" s="170" t="str">
        <f>Mon!Z100</f>
        <v>EBO</v>
      </c>
      <c r="AA100" s="315" t="s">
        <v>100</v>
      </c>
      <c r="AB100" s="315" t="s">
        <v>203</v>
      </c>
    </row>
    <row r="101" spans="1:28" x14ac:dyDescent="0.35">
      <c r="A101" s="169" t="str">
        <f>Mon!A101</f>
        <v>(SRN)</v>
      </c>
      <c r="B101" s="170" t="str">
        <f>Mon!B101</f>
        <v>IT</v>
      </c>
      <c r="C101" s="169" t="str">
        <f>Mon!C101</f>
        <v>(UK)</v>
      </c>
      <c r="D101" s="170" t="str">
        <f>Mon!D101</f>
        <v>IT</v>
      </c>
      <c r="E101" s="169" t="str">
        <f>Mon!E101</f>
        <v>(SUP)</v>
      </c>
      <c r="F101" s="170" t="str">
        <f>Mon!F101</f>
        <v>IT</v>
      </c>
      <c r="G101" s="174" t="str">
        <f>Mon!G101</f>
        <v>(SRN)</v>
      </c>
      <c r="H101" s="170" t="str">
        <f>Mon!H101</f>
        <v>IT</v>
      </c>
      <c r="I101" s="169" t="str">
        <f>Mon!I101</f>
        <v>(AD)</v>
      </c>
      <c r="J101" s="170" t="str">
        <f>Mon!J101</f>
        <v>IT</v>
      </c>
      <c r="K101" s="169" t="str">
        <f>Mon!K101</f>
        <v>(UK)</v>
      </c>
      <c r="L101" s="170" t="str">
        <f>Mon!L101</f>
        <v>IT</v>
      </c>
      <c r="M101" s="174" t="str">
        <f>Mon!M101</f>
        <v>(UK)</v>
      </c>
      <c r="N101" s="170" t="str">
        <f>Mon!N101</f>
        <v>IT</v>
      </c>
      <c r="O101" s="169" t="str">
        <f>Mon!O101</f>
        <v>(SRN)</v>
      </c>
      <c r="P101" s="170" t="str">
        <f>Mon!P101</f>
        <v>IT</v>
      </c>
      <c r="Q101" s="169" t="str">
        <f>Mon!Q101</f>
        <v>(SUP)</v>
      </c>
      <c r="R101" s="170" t="str">
        <f>Mon!R101</f>
        <v>IT</v>
      </c>
      <c r="S101" s="174" t="str">
        <f>Mon!S101</f>
        <v>(AD)</v>
      </c>
      <c r="T101" s="170" t="str">
        <f>Mon!T101</f>
        <v>IT</v>
      </c>
      <c r="U101" s="169" t="str">
        <f>Mon!U101</f>
        <v>(AD)</v>
      </c>
      <c r="V101" s="170" t="str">
        <f>Mon!V101</f>
        <v>IT</v>
      </c>
      <c r="W101" s="174" t="str">
        <f>Mon!W101</f>
        <v>(AD)</v>
      </c>
      <c r="X101" s="170" t="str">
        <f>Mon!X101</f>
        <v>IT</v>
      </c>
      <c r="Y101" s="169" t="str">
        <f>Mon!Y101</f>
        <v>(ND)</v>
      </c>
      <c r="Z101" s="170" t="str">
        <f>Mon!Z101</f>
        <v>ES</v>
      </c>
      <c r="AA101" s="315"/>
      <c r="AB101" s="315" t="s">
        <v>96</v>
      </c>
    </row>
    <row r="102" spans="1:28" x14ac:dyDescent="0.35">
      <c r="A102" s="169" t="str">
        <f>Mon!A102</f>
        <v>(KR)</v>
      </c>
      <c r="B102" s="170" t="str">
        <f>Mon!B102</f>
        <v>MA</v>
      </c>
      <c r="C102" s="169" t="str">
        <f>Mon!C102</f>
        <v>(TK)</v>
      </c>
      <c r="D102" s="170" t="str">
        <f>Mon!D102</f>
        <v>MA</v>
      </c>
      <c r="E102" s="169" t="str">
        <f>Mon!E102</f>
        <v>(RG)</v>
      </c>
      <c r="F102" s="170" t="str">
        <f>Mon!F102</f>
        <v>MA</v>
      </c>
      <c r="G102" s="169" t="str">
        <f>Mon!G102</f>
        <v>(MEG)</v>
      </c>
      <c r="H102" s="170" t="str">
        <f>Mon!H102</f>
        <v>MA</v>
      </c>
      <c r="I102" s="169" t="str">
        <f>Mon!I102</f>
        <v>(KR)</v>
      </c>
      <c r="J102" s="170" t="str">
        <f>Mon!J102</f>
        <v>MA</v>
      </c>
      <c r="K102" s="174" t="str">
        <f>Mon!K102</f>
        <v>(PM)</v>
      </c>
      <c r="L102" s="170" t="str">
        <f>Mon!L102</f>
        <v>MA</v>
      </c>
      <c r="M102" s="169" t="str">
        <f>Mon!M102</f>
        <v>(NG)</v>
      </c>
      <c r="N102" s="170" t="str">
        <f>Mon!N102</f>
        <v>MA</v>
      </c>
      <c r="O102" s="169" t="str">
        <f>Mon!O102</f>
        <v>(RG)</v>
      </c>
      <c r="P102" s="170" t="str">
        <f>Mon!P102</f>
        <v>MA</v>
      </c>
      <c r="Q102" s="169" t="str">
        <f>Mon!Q102</f>
        <v>(NG)</v>
      </c>
      <c r="R102" s="170" t="str">
        <f>Mon!R102</f>
        <v>MA</v>
      </c>
      <c r="S102" s="169" t="str">
        <f>Mon!S102</f>
        <v>(MEG)</v>
      </c>
      <c r="T102" s="170" t="str">
        <f>Mon!T102</f>
        <v>MA</v>
      </c>
      <c r="U102" s="169" t="str">
        <f>Mon!U102</f>
        <v>(NG)</v>
      </c>
      <c r="V102" s="170" t="str">
        <f>Mon!V102</f>
        <v>MA</v>
      </c>
      <c r="W102" s="169" t="str">
        <f>Mon!W102</f>
        <v>(RG)</v>
      </c>
      <c r="X102" s="170" t="str">
        <f>Mon!X102</f>
        <v>MA</v>
      </c>
      <c r="Y102" s="181" t="str">
        <f>Mon!Y102</f>
        <v>(LK)</v>
      </c>
      <c r="Z102" s="170" t="str">
        <f>Mon!Z102</f>
        <v>LE</v>
      </c>
      <c r="AA102" s="315" t="s">
        <v>98</v>
      </c>
      <c r="AB102" s="315" t="s">
        <v>92</v>
      </c>
    </row>
    <row r="103" spans="1:28" x14ac:dyDescent="0.35">
      <c r="A103" s="169" t="str">
        <f>Mon!A103</f>
        <v>(SUN)</v>
      </c>
      <c r="B103" s="170" t="str">
        <f>Mon!B103</f>
        <v>FMS</v>
      </c>
      <c r="C103" s="174" t="str">
        <f>Mon!C103</f>
        <v>(MS)</v>
      </c>
      <c r="D103" s="170" t="str">
        <f>Mon!D103</f>
        <v>FMS</v>
      </c>
      <c r="E103" s="169" t="str">
        <f>Mon!E103</f>
        <v>(NG)</v>
      </c>
      <c r="F103" s="170" t="str">
        <f>Mon!F103</f>
        <v>FMS</v>
      </c>
      <c r="G103" s="169" t="str">
        <f>Mon!G103</f>
        <v>(SUN)</v>
      </c>
      <c r="H103" s="170" t="str">
        <f>Mon!H103</f>
        <v>FMS</v>
      </c>
      <c r="I103" s="169" t="str">
        <f>Mon!I103</f>
        <v>(MS)</v>
      </c>
      <c r="J103" s="170" t="str">
        <f>Mon!J103</f>
        <v>FMS</v>
      </c>
      <c r="K103" s="174" t="str">
        <f>Mon!K103</f>
        <v>(NG)</v>
      </c>
      <c r="L103" s="170" t="str">
        <f>Mon!L103</f>
        <v>FMS</v>
      </c>
      <c r="M103" s="169" t="str">
        <f>Mon!M103</f>
        <v>(KM)</v>
      </c>
      <c r="N103" s="170" t="str">
        <f>Mon!N103</f>
        <v>CB</v>
      </c>
      <c r="O103" s="169" t="str">
        <f>Mon!O103</f>
        <v>(SRS)</v>
      </c>
      <c r="P103" s="170" t="str">
        <f>Mon!P103</f>
        <v>CB</v>
      </c>
      <c r="Q103" s="169" t="str">
        <f>Mon!Q103</f>
        <v>(KM)</v>
      </c>
      <c r="R103" s="170" t="str">
        <f>Mon!R103</f>
        <v>CB</v>
      </c>
      <c r="S103" s="169" t="str">
        <f>Mon!S103</f>
        <v>(KM)</v>
      </c>
      <c r="T103" s="170" t="str">
        <f>Mon!T103</f>
        <v>CB</v>
      </c>
      <c r="U103" s="169" t="str">
        <f>Mon!U103</f>
        <v>(SRS)</v>
      </c>
      <c r="V103" s="170" t="str">
        <f>Mon!V103</f>
        <v>CB</v>
      </c>
      <c r="W103" s="174" t="str">
        <f>Mon!W103</f>
        <v>(EC)</v>
      </c>
      <c r="X103" s="175" t="str">
        <f>Mon!X103</f>
        <v>HRD</v>
      </c>
      <c r="Y103" s="169" t="str">
        <f>Mon!Y103</f>
        <v>(SP)</v>
      </c>
      <c r="Z103" s="170" t="str">
        <f>Mon!Z103</f>
        <v>PR</v>
      </c>
      <c r="AA103" s="315" t="s">
        <v>94</v>
      </c>
      <c r="AB103" s="315" t="s">
        <v>101</v>
      </c>
    </row>
    <row r="104" spans="1:28" x14ac:dyDescent="0.35">
      <c r="A104" s="169" t="str">
        <f>Mon!A104</f>
        <v>(VAR)</v>
      </c>
      <c r="B104" s="170" t="str">
        <f>Mon!B104</f>
        <v>IF</v>
      </c>
      <c r="C104" s="169" t="str">
        <f>Mon!C104</f>
        <v>(SRN)</v>
      </c>
      <c r="D104" s="170" t="str">
        <f>Mon!D104</f>
        <v>IF</v>
      </c>
      <c r="E104" s="169" t="str">
        <f>Mon!E104</f>
        <v>(VAR)</v>
      </c>
      <c r="F104" s="170" t="str">
        <f>Mon!F104</f>
        <v>IF</v>
      </c>
      <c r="G104" s="169" t="str">
        <f>Mon!G104</f>
        <v>(VAR)</v>
      </c>
      <c r="H104" s="170" t="str">
        <f>Mon!H104</f>
        <v>IF</v>
      </c>
      <c r="I104" s="169" t="str">
        <f>Mon!I104</f>
        <v>(SRN)</v>
      </c>
      <c r="J104" s="170" t="str">
        <f>Mon!J104</f>
        <v>IF</v>
      </c>
      <c r="K104" s="169" t="str">
        <f>Mon!K104</f>
        <v>(VAR)</v>
      </c>
      <c r="L104" s="170" t="str">
        <f>Mon!L104</f>
        <v>IF</v>
      </c>
      <c r="M104" s="169" t="str">
        <f>Mon!M104</f>
        <v>(DT)</v>
      </c>
      <c r="N104" s="170" t="str">
        <f>Mon!N104</f>
        <v>MIP</v>
      </c>
      <c r="O104" s="169" t="str">
        <f>Mon!O104</f>
        <v>(LK)</v>
      </c>
      <c r="P104" s="170" t="str">
        <f>Mon!P104</f>
        <v>MIP</v>
      </c>
      <c r="Q104" s="169" t="str">
        <f>Mon!Q104</f>
        <v>(LK)</v>
      </c>
      <c r="R104" s="170" t="str">
        <f>Mon!R104</f>
        <v>MIP</v>
      </c>
      <c r="S104" s="169" t="str">
        <f>Mon!S104</f>
        <v>(AV)</v>
      </c>
      <c r="T104" s="170" t="str">
        <f>Mon!T104</f>
        <v>MIP</v>
      </c>
      <c r="U104" s="169" t="str">
        <f>Mon!U104</f>
        <v>(DT)</v>
      </c>
      <c r="V104" s="170" t="str">
        <f>Mon!V104</f>
        <v>MIP</v>
      </c>
      <c r="W104" s="174" t="str">
        <f>Mon!W104</f>
        <v>(SR)</v>
      </c>
      <c r="X104" s="175" t="str">
        <f>Mon!X104</f>
        <v>IHRM</v>
      </c>
      <c r="Y104" s="169">
        <f>Mon!Y104</f>
        <v>0</v>
      </c>
      <c r="Z104" s="170">
        <f>Mon!Z104</f>
        <v>0</v>
      </c>
      <c r="AA104" s="315" t="s">
        <v>91</v>
      </c>
      <c r="AB104" s="315" t="s">
        <v>90</v>
      </c>
    </row>
    <row r="105" spans="1:28" x14ac:dyDescent="0.35">
      <c r="A105" s="169" t="str">
        <f>Mon!A105</f>
        <v>(SUP)</v>
      </c>
      <c r="B105" s="170" t="str">
        <f>Mon!B105</f>
        <v>AA</v>
      </c>
      <c r="C105" s="169" t="str">
        <f>Mon!C105</f>
        <v>(VAR)</v>
      </c>
      <c r="D105" s="170" t="str">
        <f>Mon!D105</f>
        <v>AA</v>
      </c>
      <c r="E105" s="169" t="str">
        <f>Mon!E105</f>
        <v>(MS)</v>
      </c>
      <c r="F105" s="170" t="str">
        <f>Mon!F105</f>
        <v>AA</v>
      </c>
      <c r="G105" s="169" t="str">
        <f>Mon!G105</f>
        <v>(SUP)</v>
      </c>
      <c r="H105" s="170" t="str">
        <f>Mon!H105</f>
        <v>AA</v>
      </c>
      <c r="I105" s="169" t="str">
        <f>Mon!I105</f>
        <v>(SUP)</v>
      </c>
      <c r="J105" s="170" t="str">
        <f>Mon!J105</f>
        <v>AA</v>
      </c>
      <c r="K105" s="169" t="str">
        <f>Mon!K105</f>
        <v>(MS)</v>
      </c>
      <c r="L105" s="170" t="str">
        <f>Mon!L105</f>
        <v>AA</v>
      </c>
      <c r="M105" s="169" t="str">
        <f>Mon!M105</f>
        <v>(LK)</v>
      </c>
      <c r="N105" s="170" t="str">
        <f>Mon!N105</f>
        <v>RM</v>
      </c>
      <c r="O105" s="169" t="str">
        <f>Mon!O105</f>
        <v>(VRL)</v>
      </c>
      <c r="P105" s="170" t="str">
        <f>Mon!P105</f>
        <v>RM</v>
      </c>
      <c r="Q105" s="169" t="str">
        <f>Mon!Q105</f>
        <v>(AD)</v>
      </c>
      <c r="R105" s="170" t="str">
        <f>Mon!R105</f>
        <v>RM</v>
      </c>
      <c r="S105" s="169" t="str">
        <f>Mon!S105</f>
        <v>(LK)</v>
      </c>
      <c r="T105" s="170" t="str">
        <f>Mon!T105</f>
        <v>RM</v>
      </c>
      <c r="U105" s="169" t="str">
        <f>Mon!U105</f>
        <v>(LK)</v>
      </c>
      <c r="V105" s="170" t="str">
        <f>Mon!V105</f>
        <v>RM</v>
      </c>
      <c r="W105" s="174" t="str">
        <f>Mon!W105</f>
        <v>(RT)</v>
      </c>
      <c r="X105" s="175" t="str">
        <f>Mon!X105</f>
        <v>CHRM</v>
      </c>
      <c r="Y105" s="181">
        <f>Mon!Y105</f>
        <v>0</v>
      </c>
      <c r="Z105" s="170">
        <f>Mon!Z105</f>
        <v>0</v>
      </c>
      <c r="AA105" s="315"/>
      <c r="AB105" s="315" t="s">
        <v>93</v>
      </c>
    </row>
    <row r="106" spans="1:28" x14ac:dyDescent="0.35">
      <c r="A106" s="169" t="str">
        <f>Mon!A106</f>
        <v>(AW)</v>
      </c>
      <c r="B106" s="170" t="str">
        <f>Mon!B106</f>
        <v>ECOM</v>
      </c>
      <c r="C106" s="169" t="str">
        <f>Mon!C106</f>
        <v>(SR)</v>
      </c>
      <c r="D106" s="170" t="str">
        <f>Mon!D106</f>
        <v>ECOM</v>
      </c>
      <c r="E106" s="169" t="str">
        <f>Mon!E106</f>
        <v>(AW)</v>
      </c>
      <c r="F106" s="170" t="str">
        <f>Mon!F106</f>
        <v>ECOM</v>
      </c>
      <c r="G106" s="169" t="str">
        <f>Mon!G106</f>
        <v>(SR)</v>
      </c>
      <c r="H106" s="170" t="str">
        <f>Mon!H106</f>
        <v>ECOM</v>
      </c>
      <c r="I106" s="169" t="str">
        <f>Mon!I106</f>
        <v>(DT)</v>
      </c>
      <c r="J106" s="170" t="str">
        <f>Mon!J106</f>
        <v>ECOM</v>
      </c>
      <c r="K106" s="169" t="str">
        <f>Mon!K106</f>
        <v>(SP)</v>
      </c>
      <c r="L106" s="170" t="str">
        <f>Mon!L106</f>
        <v>PR</v>
      </c>
      <c r="M106" s="169" t="str">
        <f>Mon!M106</f>
        <v>(SR)</v>
      </c>
      <c r="N106" s="170" t="str">
        <f>Mon!N106</f>
        <v>ECOM</v>
      </c>
      <c r="O106" s="169" t="str">
        <f>Mon!O106</f>
        <v>(SR)</v>
      </c>
      <c r="P106" s="170" t="str">
        <f>Mon!P106</f>
        <v>ECOM</v>
      </c>
      <c r="Q106" s="169" t="str">
        <f>Mon!Q106</f>
        <v>(DT)</v>
      </c>
      <c r="R106" s="170" t="str">
        <f>Mon!R106</f>
        <v>ECOM</v>
      </c>
      <c r="S106" s="169" t="str">
        <f>Mon!S106</f>
        <v>(SR)</v>
      </c>
      <c r="T106" s="170" t="str">
        <f>Mon!T106</f>
        <v>PR</v>
      </c>
      <c r="U106" s="169" t="str">
        <f>Mon!U106</f>
        <v>(SP)</v>
      </c>
      <c r="V106" s="170" t="str">
        <f>Mon!V106</f>
        <v>PR</v>
      </c>
      <c r="W106" s="174" t="str">
        <f>Mon!W106</f>
        <v>(BB)</v>
      </c>
      <c r="X106" s="175" t="str">
        <f>Mon!X106</f>
        <v>ECOM</v>
      </c>
      <c r="Y106" s="169">
        <f>Mon!Y106</f>
        <v>0</v>
      </c>
      <c r="Z106" s="170">
        <f>Mon!Z106</f>
        <v>0</v>
      </c>
      <c r="AA106" s="315"/>
      <c r="AB106" s="315" t="s">
        <v>99</v>
      </c>
    </row>
    <row r="107" spans="1:28" x14ac:dyDescent="0.35">
      <c r="A107" s="30"/>
      <c r="B107" s="31"/>
      <c r="C107" s="30"/>
      <c r="D107" s="31"/>
      <c r="E107" s="30"/>
      <c r="F107" s="31"/>
      <c r="G107" s="30"/>
      <c r="H107" s="31"/>
      <c r="I107" s="30"/>
      <c r="J107" s="31"/>
      <c r="K107" s="30"/>
      <c r="L107" s="31"/>
      <c r="M107" s="30"/>
      <c r="N107" s="170"/>
      <c r="O107" s="30"/>
      <c r="P107" s="31"/>
      <c r="Q107" s="30"/>
      <c r="R107" s="31"/>
      <c r="S107" s="30"/>
      <c r="T107" s="31"/>
      <c r="U107" s="30"/>
      <c r="V107" s="31"/>
      <c r="W107" s="169"/>
      <c r="X107" s="31"/>
      <c r="Y107" s="30"/>
      <c r="Z107" s="31"/>
      <c r="AA107" s="315"/>
      <c r="AB107" s="315" t="s">
        <v>97</v>
      </c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</sheetData>
  <mergeCells count="71">
    <mergeCell ref="AC85:AD85"/>
    <mergeCell ref="A5:A19"/>
    <mergeCell ref="E20:F20"/>
    <mergeCell ref="G20:H20"/>
    <mergeCell ref="I20:J20"/>
    <mergeCell ref="K20:L20"/>
    <mergeCell ref="M20:N20"/>
    <mergeCell ref="A71:Z71"/>
    <mergeCell ref="W72:X72"/>
    <mergeCell ref="Y72:Z72"/>
    <mergeCell ref="K72:L72"/>
    <mergeCell ref="M72:N72"/>
    <mergeCell ref="O72:P72"/>
    <mergeCell ref="Q72:R72"/>
    <mergeCell ref="S72:T72"/>
    <mergeCell ref="U72:V72"/>
    <mergeCell ref="AC1:AN1"/>
    <mergeCell ref="Y2:AB2"/>
    <mergeCell ref="AC2:AF2"/>
    <mergeCell ref="AG2:AJ2"/>
    <mergeCell ref="A3:H3"/>
    <mergeCell ref="I3:N3"/>
    <mergeCell ref="BX3:CA3"/>
    <mergeCell ref="E4:F4"/>
    <mergeCell ref="G4:H4"/>
    <mergeCell ref="K4:L4"/>
    <mergeCell ref="B16:B17"/>
    <mergeCell ref="C16:C17"/>
    <mergeCell ref="I4:J4"/>
    <mergeCell ref="I5:J19"/>
    <mergeCell ref="G72:H72"/>
    <mergeCell ref="I72:J72"/>
    <mergeCell ref="W98:X98"/>
    <mergeCell ref="Y98:Z98"/>
    <mergeCell ref="W86:X86"/>
    <mergeCell ref="Y86:Z86"/>
    <mergeCell ref="A97:Z97"/>
    <mergeCell ref="A98:B98"/>
    <mergeCell ref="C98:D98"/>
    <mergeCell ref="E98:F98"/>
    <mergeCell ref="G98:H98"/>
    <mergeCell ref="I98:J98"/>
    <mergeCell ref="K98:L98"/>
    <mergeCell ref="M98:N98"/>
    <mergeCell ref="K86:L86"/>
    <mergeCell ref="S98:T98"/>
    <mergeCell ref="U98:V98"/>
    <mergeCell ref="S86:T86"/>
    <mergeCell ref="U86:V86"/>
    <mergeCell ref="I37:J37"/>
    <mergeCell ref="M86:N86"/>
    <mergeCell ref="O86:P86"/>
    <mergeCell ref="Q86:R86"/>
    <mergeCell ref="O98:P98"/>
    <mergeCell ref="Q98:R98"/>
    <mergeCell ref="A38:A53"/>
    <mergeCell ref="AA86:AB86"/>
    <mergeCell ref="AA72:AB72"/>
    <mergeCell ref="A21:A36"/>
    <mergeCell ref="E37:F37"/>
    <mergeCell ref="G37:H37"/>
    <mergeCell ref="I21:J36"/>
    <mergeCell ref="A85:Z85"/>
    <mergeCell ref="A86:B86"/>
    <mergeCell ref="C86:D86"/>
    <mergeCell ref="E86:F86"/>
    <mergeCell ref="G86:H86"/>
    <mergeCell ref="I86:J86"/>
    <mergeCell ref="C72:D72"/>
    <mergeCell ref="E72:F72"/>
    <mergeCell ref="A72:B72"/>
  </mergeCells>
  <conditionalFormatting sqref="Q26">
    <cfRule type="duplicateValues" dxfId="11021" priority="6855"/>
    <cfRule type="duplicateValues" dxfId="11020" priority="6856"/>
  </conditionalFormatting>
  <conditionalFormatting sqref="Q26">
    <cfRule type="duplicateValues" dxfId="11019" priority="7002"/>
  </conditionalFormatting>
  <conditionalFormatting sqref="Q26">
    <cfRule type="duplicateValues" dxfId="11018" priority="7005"/>
  </conditionalFormatting>
  <conditionalFormatting sqref="W4:W62">
    <cfRule type="dataBar" priority="6854">
      <dataBar>
        <cfvo type="num" val="0"/>
        <cfvo type="num" val="16"/>
        <color rgb="FF00FF30"/>
      </dataBar>
      <extLst>
        <ext xmlns:x14="http://schemas.microsoft.com/office/spreadsheetml/2009/9/main" uri="{B025F937-C7B1-47D3-B67F-A62EFF666E3E}">
          <x14:id>{1AF07128-1D8C-4336-8CEB-DBB28557C5BC}</x14:id>
        </ext>
      </extLst>
    </cfRule>
  </conditionalFormatting>
  <conditionalFormatting sqref="I37">
    <cfRule type="cellIs" dxfId="11017" priority="6853" operator="equal">
      <formula>0</formula>
    </cfRule>
  </conditionalFormatting>
  <conditionalFormatting sqref="R26">
    <cfRule type="duplicateValues" dxfId="11016" priority="6790"/>
  </conditionalFormatting>
  <conditionalFormatting sqref="R26">
    <cfRule type="duplicateValues" dxfId="11015" priority="6791"/>
    <cfRule type="duplicateValues" dxfId="11014" priority="6792"/>
  </conditionalFormatting>
  <conditionalFormatting sqref="R26">
    <cfRule type="duplicateValues" dxfId="11013" priority="6793"/>
  </conditionalFormatting>
  <conditionalFormatting sqref="X59:X62">
    <cfRule type="colorScale" priority="6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3">
    <cfRule type="colorScale" priority="6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2">
    <cfRule type="colorScale" priority="6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">
    <cfRule type="cellIs" dxfId="11012" priority="6049" operator="equal">
      <formula>0</formula>
    </cfRule>
  </conditionalFormatting>
  <conditionalFormatting sqref="I37">
    <cfRule type="duplicateValues" dxfId="11011" priority="6048"/>
  </conditionalFormatting>
  <conditionalFormatting sqref="E37:H37">
    <cfRule type="cellIs" dxfId="11010" priority="5613" operator="equal">
      <formula>$O$11</formula>
    </cfRule>
    <cfRule type="cellIs" dxfId="11009" priority="5614" operator="equal">
      <formula>$O$9</formula>
    </cfRule>
    <cfRule type="cellIs" dxfId="11008" priority="5615" operator="equal">
      <formula>$O$8</formula>
    </cfRule>
    <cfRule type="cellIs" dxfId="11007" priority="5616" operator="equal">
      <formula>$O$7</formula>
    </cfRule>
    <cfRule type="cellIs" dxfId="11006" priority="5617" operator="equal">
      <formula>$O$6</formula>
    </cfRule>
    <cfRule type="cellIs" dxfId="11005" priority="5618" operator="equal">
      <formula>$O$5</formula>
    </cfRule>
  </conditionalFormatting>
  <conditionalFormatting sqref="E37:H37">
    <cfRule type="cellIs" dxfId="11004" priority="5619" operator="equal">
      <formula>0</formula>
    </cfRule>
  </conditionalFormatting>
  <conditionalFormatting sqref="S64:S70 U63 V4:V62">
    <cfRule type="colorScale" priority="8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8:F50">
    <cfRule type="cellIs" dxfId="11003" priority="4709" operator="equal">
      <formula>0</formula>
    </cfRule>
  </conditionalFormatting>
  <conditionalFormatting sqref="F38:F49">
    <cfRule type="duplicateValues" dxfId="11002" priority="4708"/>
  </conditionalFormatting>
  <conditionalFormatting sqref="F38:F50">
    <cfRule type="cellIs" dxfId="11001" priority="4701" operator="equal">
      <formula>$O$16</formula>
    </cfRule>
    <cfRule type="cellIs" dxfId="11000" priority="4702" operator="equal">
      <formula>$O$15</formula>
    </cfRule>
    <cfRule type="cellIs" dxfId="10999" priority="4703" operator="equal">
      <formula>$O$14</formula>
    </cfRule>
    <cfRule type="cellIs" dxfId="10998" priority="4704" operator="equal">
      <formula>$O$13</formula>
    </cfRule>
    <cfRule type="cellIs" dxfId="10997" priority="4705" operator="equal">
      <formula>$O$12</formula>
    </cfRule>
    <cfRule type="cellIs" dxfId="10996" priority="4706" operator="equal">
      <formula>$O$11</formula>
    </cfRule>
  </conditionalFormatting>
  <conditionalFormatting sqref="F38:F49">
    <cfRule type="cellIs" dxfId="10995" priority="4698" operator="equal">
      <formula>$O$10</formula>
    </cfRule>
    <cfRule type="cellIs" dxfId="10994" priority="4699" operator="equal">
      <formula>$O$18</formula>
    </cfRule>
    <cfRule type="cellIs" dxfId="10993" priority="4700" operator="equal">
      <formula>$O$17</formula>
    </cfRule>
  </conditionalFormatting>
  <conditionalFormatting sqref="F38:F49">
    <cfRule type="cellIs" dxfId="10992" priority="4689" operator="equal">
      <formula>$O$13</formula>
    </cfRule>
    <cfRule type="cellIs" dxfId="10991" priority="4690" operator="equal">
      <formula>$O$12</formula>
    </cfRule>
    <cfRule type="cellIs" dxfId="10990" priority="4691" operator="equal">
      <formula>$O$11</formula>
    </cfRule>
    <cfRule type="cellIs" dxfId="10989" priority="4692" operator="equal">
      <formula>$O$10</formula>
    </cfRule>
    <cfRule type="cellIs" dxfId="10988" priority="4693" operator="equal">
      <formula>$O$9</formula>
    </cfRule>
    <cfRule type="cellIs" dxfId="10987" priority="4694" operator="equal">
      <formula>$O$8</formula>
    </cfRule>
    <cfRule type="cellIs" dxfId="10986" priority="4695" operator="equal">
      <formula>$O$7</formula>
    </cfRule>
    <cfRule type="cellIs" dxfId="10985" priority="4696" operator="equal">
      <formula>$O$6</formula>
    </cfRule>
    <cfRule type="cellIs" dxfId="10984" priority="4697" operator="equal">
      <formula>$O$5</formula>
    </cfRule>
  </conditionalFormatting>
  <conditionalFormatting sqref="F38:F49">
    <cfRule type="duplicateValues" dxfId="10983" priority="4673"/>
    <cfRule type="duplicateValues" dxfId="10982" priority="4685"/>
  </conditionalFormatting>
  <conditionalFormatting sqref="F38">
    <cfRule type="duplicateValues" dxfId="10981" priority="4684"/>
  </conditionalFormatting>
  <conditionalFormatting sqref="F39">
    <cfRule type="duplicateValues" dxfId="10980" priority="4683"/>
  </conditionalFormatting>
  <conditionalFormatting sqref="F40">
    <cfRule type="duplicateValues" dxfId="10979" priority="4682"/>
  </conditionalFormatting>
  <conditionalFormatting sqref="F41">
    <cfRule type="duplicateValues" dxfId="10978" priority="4681"/>
  </conditionalFormatting>
  <conditionalFormatting sqref="F42">
    <cfRule type="duplicateValues" dxfId="10977" priority="4680"/>
  </conditionalFormatting>
  <conditionalFormatting sqref="F43">
    <cfRule type="duplicateValues" dxfId="10976" priority="4679"/>
  </conditionalFormatting>
  <conditionalFormatting sqref="F44">
    <cfRule type="duplicateValues" dxfId="10975" priority="4678"/>
  </conditionalFormatting>
  <conditionalFormatting sqref="F45">
    <cfRule type="duplicateValues" dxfId="10974" priority="4677"/>
  </conditionalFormatting>
  <conditionalFormatting sqref="F46">
    <cfRule type="duplicateValues" dxfId="10973" priority="4676"/>
  </conditionalFormatting>
  <conditionalFormatting sqref="F47">
    <cfRule type="duplicateValues" dxfId="10972" priority="4675"/>
  </conditionalFormatting>
  <conditionalFormatting sqref="F48">
    <cfRule type="duplicateValues" dxfId="10971" priority="4674"/>
  </conditionalFormatting>
  <conditionalFormatting sqref="F49">
    <cfRule type="cellIs" dxfId="10970" priority="4645" operator="equal">
      <formula>0</formula>
    </cfRule>
  </conditionalFormatting>
  <conditionalFormatting sqref="F49">
    <cfRule type="duplicateValues" dxfId="10969" priority="4644"/>
  </conditionalFormatting>
  <conditionalFormatting sqref="F49">
    <cfRule type="duplicateValues" dxfId="10968" priority="4637"/>
    <cfRule type="duplicateValues" dxfId="10967" priority="4639"/>
  </conditionalFormatting>
  <conditionalFormatting sqref="F49">
    <cfRule type="duplicateValues" dxfId="10966" priority="4638"/>
  </conditionalFormatting>
  <conditionalFormatting sqref="F49">
    <cfRule type="duplicateValues" dxfId="10965" priority="4636"/>
  </conditionalFormatting>
  <conditionalFormatting sqref="F49">
    <cfRule type="duplicateValues" dxfId="10964" priority="4646"/>
  </conditionalFormatting>
  <conditionalFormatting sqref="F49">
    <cfRule type="cellIs" dxfId="10963" priority="4648" operator="equal">
      <formula>$O$16</formula>
    </cfRule>
    <cfRule type="cellIs" dxfId="10962" priority="4649" operator="equal">
      <formula>$O$15</formula>
    </cfRule>
    <cfRule type="cellIs" dxfId="10961" priority="4650" operator="equal">
      <formula>$O$14</formula>
    </cfRule>
    <cfRule type="cellIs" dxfId="10960" priority="4651" operator="equal">
      <formula>$O$13</formula>
    </cfRule>
    <cfRule type="cellIs" dxfId="10959" priority="4652" operator="equal">
      <formula>$O$12</formula>
    </cfRule>
    <cfRule type="cellIs" dxfId="10958" priority="4653" operator="equal">
      <formula>$O$11</formula>
    </cfRule>
  </conditionalFormatting>
  <conditionalFormatting sqref="F49">
    <cfRule type="cellIs" dxfId="10957" priority="4654" operator="equal">
      <formula>$O$10</formula>
    </cfRule>
    <cfRule type="cellIs" dxfId="10956" priority="4655" operator="equal">
      <formula>$O$18</formula>
    </cfRule>
    <cfRule type="cellIs" dxfId="10955" priority="4656" operator="equal">
      <formula>$O$17</formula>
    </cfRule>
  </conditionalFormatting>
  <conditionalFormatting sqref="F49">
    <cfRule type="cellIs" dxfId="10954" priority="4657" operator="equal">
      <formula>$O$13</formula>
    </cfRule>
    <cfRule type="cellIs" dxfId="10953" priority="4658" operator="equal">
      <formula>$O$12</formula>
    </cfRule>
    <cfRule type="cellIs" dxfId="10952" priority="4659" operator="equal">
      <formula>$O$11</formula>
    </cfRule>
    <cfRule type="cellIs" dxfId="10951" priority="4660" operator="equal">
      <formula>$O$10</formula>
    </cfRule>
    <cfRule type="cellIs" dxfId="10950" priority="4661" operator="equal">
      <formula>$O$9</formula>
    </cfRule>
    <cfRule type="cellIs" dxfId="10949" priority="4662" operator="equal">
      <formula>$O$8</formula>
    </cfRule>
    <cfRule type="cellIs" dxfId="10948" priority="4663" operator="equal">
      <formula>$O$7</formula>
    </cfRule>
    <cfRule type="cellIs" dxfId="10947" priority="4664" operator="equal">
      <formula>$O$6</formula>
    </cfRule>
    <cfRule type="cellIs" dxfId="10946" priority="4665" operator="equal">
      <formula>$O$5</formula>
    </cfRule>
  </conditionalFormatting>
  <conditionalFormatting sqref="F49">
    <cfRule type="duplicateValues" dxfId="10945" priority="4628"/>
  </conditionalFormatting>
  <conditionalFormatting sqref="F49">
    <cfRule type="duplicateValues" dxfId="10944" priority="4626"/>
  </conditionalFormatting>
  <conditionalFormatting sqref="F38:F50">
    <cfRule type="duplicateValues" dxfId="10943" priority="4625"/>
  </conditionalFormatting>
  <conditionalFormatting sqref="F38">
    <cfRule type="duplicateValues" dxfId="10942" priority="4623"/>
  </conditionalFormatting>
  <conditionalFormatting sqref="F39">
    <cfRule type="duplicateValues" dxfId="10941" priority="4622"/>
  </conditionalFormatting>
  <conditionalFormatting sqref="F40">
    <cfRule type="duplicateValues" dxfId="10940" priority="4621"/>
  </conditionalFormatting>
  <conditionalFormatting sqref="F41">
    <cfRule type="duplicateValues" dxfId="10939" priority="4620"/>
  </conditionalFormatting>
  <conditionalFormatting sqref="F42">
    <cfRule type="duplicateValues" dxfId="10938" priority="4619"/>
  </conditionalFormatting>
  <conditionalFormatting sqref="F43">
    <cfRule type="duplicateValues" dxfId="10937" priority="4618"/>
  </conditionalFormatting>
  <conditionalFormatting sqref="F44">
    <cfRule type="duplicateValues" dxfId="10936" priority="4617"/>
  </conditionalFormatting>
  <conditionalFormatting sqref="F45">
    <cfRule type="duplicateValues" dxfId="10935" priority="4616"/>
  </conditionalFormatting>
  <conditionalFormatting sqref="F46">
    <cfRule type="duplicateValues" dxfId="10934" priority="4615"/>
  </conditionalFormatting>
  <conditionalFormatting sqref="F47">
    <cfRule type="duplicateValues" dxfId="10933" priority="4614"/>
  </conditionalFormatting>
  <conditionalFormatting sqref="F48">
    <cfRule type="duplicateValues" dxfId="10932" priority="4613"/>
  </conditionalFormatting>
  <conditionalFormatting sqref="F49">
    <cfRule type="duplicateValues" dxfId="10931" priority="4612"/>
  </conditionalFormatting>
  <conditionalFormatting sqref="F50">
    <cfRule type="cellIs" dxfId="10930" priority="4587" operator="equal">
      <formula>0</formula>
    </cfRule>
  </conditionalFormatting>
  <conditionalFormatting sqref="F50">
    <cfRule type="duplicateValues" dxfId="10929" priority="4586"/>
  </conditionalFormatting>
  <conditionalFormatting sqref="F50">
    <cfRule type="duplicateValues" dxfId="10928" priority="4579"/>
    <cfRule type="duplicateValues" dxfId="10927" priority="4581"/>
  </conditionalFormatting>
  <conditionalFormatting sqref="F50">
    <cfRule type="duplicateValues" dxfId="10926" priority="4580"/>
  </conditionalFormatting>
  <conditionalFormatting sqref="F50">
    <cfRule type="duplicateValues" dxfId="10925" priority="4578"/>
  </conditionalFormatting>
  <conditionalFormatting sqref="F50">
    <cfRule type="duplicateValues" dxfId="10924" priority="4588"/>
  </conditionalFormatting>
  <conditionalFormatting sqref="F50">
    <cfRule type="cellIs" dxfId="10923" priority="4590" operator="equal">
      <formula>$O$16</formula>
    </cfRule>
    <cfRule type="cellIs" dxfId="10922" priority="4591" operator="equal">
      <formula>$O$15</formula>
    </cfRule>
    <cfRule type="cellIs" dxfId="10921" priority="4592" operator="equal">
      <formula>$O$14</formula>
    </cfRule>
    <cfRule type="cellIs" dxfId="10920" priority="4593" operator="equal">
      <formula>$O$13</formula>
    </cfRule>
    <cfRule type="cellIs" dxfId="10919" priority="4594" operator="equal">
      <formula>$O$12</formula>
    </cfRule>
    <cfRule type="cellIs" dxfId="10918" priority="4595" operator="equal">
      <formula>$O$11</formula>
    </cfRule>
  </conditionalFormatting>
  <conditionalFormatting sqref="F50">
    <cfRule type="cellIs" dxfId="10917" priority="4596" operator="equal">
      <formula>$O$10</formula>
    </cfRule>
    <cfRule type="cellIs" dxfId="10916" priority="4597" operator="equal">
      <formula>$O$18</formula>
    </cfRule>
    <cfRule type="cellIs" dxfId="10915" priority="4598" operator="equal">
      <formula>$O$17</formula>
    </cfRule>
  </conditionalFormatting>
  <conditionalFormatting sqref="F50">
    <cfRule type="cellIs" dxfId="10914" priority="4599" operator="equal">
      <formula>$O$13</formula>
    </cfRule>
    <cfRule type="cellIs" dxfId="10913" priority="4600" operator="equal">
      <formula>$O$12</formula>
    </cfRule>
    <cfRule type="cellIs" dxfId="10912" priority="4601" operator="equal">
      <formula>$O$11</formula>
    </cfRule>
    <cfRule type="cellIs" dxfId="10911" priority="4602" operator="equal">
      <formula>$O$10</formula>
    </cfRule>
    <cfRule type="cellIs" dxfId="10910" priority="4603" operator="equal">
      <formula>$O$9</formula>
    </cfRule>
    <cfRule type="cellIs" dxfId="10909" priority="4604" operator="equal">
      <formula>$O$8</formula>
    </cfRule>
    <cfRule type="cellIs" dxfId="10908" priority="4605" operator="equal">
      <formula>$O$7</formula>
    </cfRule>
    <cfRule type="cellIs" dxfId="10907" priority="4606" operator="equal">
      <formula>$O$6</formula>
    </cfRule>
    <cfRule type="cellIs" dxfId="10906" priority="4607" operator="equal">
      <formula>$O$5</formula>
    </cfRule>
  </conditionalFormatting>
  <conditionalFormatting sqref="F50">
    <cfRule type="duplicateValues" dxfId="10905" priority="4570"/>
  </conditionalFormatting>
  <conditionalFormatting sqref="F50">
    <cfRule type="duplicateValues" dxfId="10904" priority="4568"/>
  </conditionalFormatting>
  <conditionalFormatting sqref="F38:F50">
    <cfRule type="duplicateValues" dxfId="10903" priority="4563"/>
  </conditionalFormatting>
  <conditionalFormatting sqref="F51">
    <cfRule type="cellIs" dxfId="10902" priority="4562" operator="equal">
      <formula>0</formula>
    </cfRule>
  </conditionalFormatting>
  <conditionalFormatting sqref="F51">
    <cfRule type="cellIs" dxfId="10901" priority="4556" operator="equal">
      <formula>$O$16</formula>
    </cfRule>
    <cfRule type="cellIs" dxfId="10900" priority="4557" operator="equal">
      <formula>$O$15</formula>
    </cfRule>
    <cfRule type="cellIs" dxfId="10899" priority="4558" operator="equal">
      <formula>$O$14</formula>
    </cfRule>
    <cfRule type="cellIs" dxfId="10898" priority="4559" operator="equal">
      <formula>$O$13</formula>
    </cfRule>
    <cfRule type="cellIs" dxfId="10897" priority="4560" operator="equal">
      <formula>$O$12</formula>
    </cfRule>
    <cfRule type="cellIs" dxfId="10896" priority="4561" operator="equal">
      <formula>$O$11</formula>
    </cfRule>
  </conditionalFormatting>
  <conditionalFormatting sqref="F51">
    <cfRule type="duplicateValues" dxfId="10895" priority="4555"/>
  </conditionalFormatting>
  <conditionalFormatting sqref="F51">
    <cfRule type="cellIs" dxfId="10894" priority="4529" operator="equal">
      <formula>0</formula>
    </cfRule>
  </conditionalFormatting>
  <conditionalFormatting sqref="F51">
    <cfRule type="duplicateValues" dxfId="10893" priority="4528"/>
  </conditionalFormatting>
  <conditionalFormatting sqref="F51">
    <cfRule type="duplicateValues" dxfId="10892" priority="4521"/>
    <cfRule type="duplicateValues" dxfId="10891" priority="4523"/>
  </conditionalFormatting>
  <conditionalFormatting sqref="F51">
    <cfRule type="duplicateValues" dxfId="10890" priority="4522"/>
  </conditionalFormatting>
  <conditionalFormatting sqref="F51">
    <cfRule type="duplicateValues" dxfId="10889" priority="4520"/>
  </conditionalFormatting>
  <conditionalFormatting sqref="F51">
    <cfRule type="duplicateValues" dxfId="10888" priority="4530"/>
  </conditionalFormatting>
  <conditionalFormatting sqref="F51">
    <cfRule type="cellIs" dxfId="10887" priority="4532" operator="equal">
      <formula>$O$16</formula>
    </cfRule>
    <cfRule type="cellIs" dxfId="10886" priority="4533" operator="equal">
      <formula>$O$15</formula>
    </cfRule>
    <cfRule type="cellIs" dxfId="10885" priority="4534" operator="equal">
      <formula>$O$14</formula>
    </cfRule>
    <cfRule type="cellIs" dxfId="10884" priority="4535" operator="equal">
      <formula>$O$13</formula>
    </cfRule>
    <cfRule type="cellIs" dxfId="10883" priority="4536" operator="equal">
      <formula>$O$12</formula>
    </cfRule>
    <cfRule type="cellIs" dxfId="10882" priority="4537" operator="equal">
      <formula>$O$11</formula>
    </cfRule>
  </conditionalFormatting>
  <conditionalFormatting sqref="F51">
    <cfRule type="cellIs" dxfId="10881" priority="4538" operator="equal">
      <formula>$O$10</formula>
    </cfRule>
    <cfRule type="cellIs" dxfId="10880" priority="4539" operator="equal">
      <formula>$O$18</formula>
    </cfRule>
    <cfRule type="cellIs" dxfId="10879" priority="4540" operator="equal">
      <formula>$O$17</formula>
    </cfRule>
  </conditionalFormatting>
  <conditionalFormatting sqref="F51">
    <cfRule type="cellIs" dxfId="10878" priority="4541" operator="equal">
      <formula>$O$13</formula>
    </cfRule>
    <cfRule type="cellIs" dxfId="10877" priority="4542" operator="equal">
      <formula>$O$12</formula>
    </cfRule>
    <cfRule type="cellIs" dxfId="10876" priority="4543" operator="equal">
      <formula>$O$11</formula>
    </cfRule>
    <cfRule type="cellIs" dxfId="10875" priority="4544" operator="equal">
      <formula>$O$10</formula>
    </cfRule>
    <cfRule type="cellIs" dxfId="10874" priority="4545" operator="equal">
      <formula>$O$9</formula>
    </cfRule>
    <cfRule type="cellIs" dxfId="10873" priority="4546" operator="equal">
      <formula>$O$8</formula>
    </cfRule>
    <cfRule type="cellIs" dxfId="10872" priority="4547" operator="equal">
      <formula>$O$7</formula>
    </cfRule>
    <cfRule type="cellIs" dxfId="10871" priority="4548" operator="equal">
      <formula>$O$6</formula>
    </cfRule>
    <cfRule type="cellIs" dxfId="10870" priority="4549" operator="equal">
      <formula>$O$5</formula>
    </cfRule>
  </conditionalFormatting>
  <conditionalFormatting sqref="F51">
    <cfRule type="duplicateValues" dxfId="10869" priority="4512"/>
  </conditionalFormatting>
  <conditionalFormatting sqref="F51">
    <cfRule type="duplicateValues" dxfId="10868" priority="4510"/>
  </conditionalFormatting>
  <conditionalFormatting sqref="F51">
    <cfRule type="duplicateValues" dxfId="10867" priority="4509"/>
  </conditionalFormatting>
  <conditionalFormatting sqref="F38:F51">
    <cfRule type="duplicateValues" dxfId="10866" priority="4508"/>
  </conditionalFormatting>
  <conditionalFormatting sqref="H38:H50 J38:J50">
    <cfRule type="cellIs" dxfId="10865" priority="1967" operator="equal">
      <formula>0</formula>
    </cfRule>
  </conditionalFormatting>
  <conditionalFormatting sqref="H38:H49">
    <cfRule type="duplicateValues" dxfId="10864" priority="1966"/>
  </conditionalFormatting>
  <conditionalFormatting sqref="J38:J49">
    <cfRule type="duplicateValues" dxfId="10863" priority="1965"/>
  </conditionalFormatting>
  <conditionalFormatting sqref="H38:H50 J38:J50">
    <cfRule type="cellIs" dxfId="10862" priority="1959" operator="equal">
      <formula>$O$16</formula>
    </cfRule>
    <cfRule type="cellIs" dxfId="10861" priority="1960" operator="equal">
      <formula>$O$15</formula>
    </cfRule>
    <cfRule type="cellIs" dxfId="10860" priority="1961" operator="equal">
      <formula>$O$14</formula>
    </cfRule>
    <cfRule type="cellIs" dxfId="10859" priority="1962" operator="equal">
      <formula>$O$13</formula>
    </cfRule>
    <cfRule type="cellIs" dxfId="10858" priority="1963" operator="equal">
      <formula>$O$12</formula>
    </cfRule>
    <cfRule type="cellIs" dxfId="10857" priority="1964" operator="equal">
      <formula>$O$11</formula>
    </cfRule>
  </conditionalFormatting>
  <conditionalFormatting sqref="H38:H49 J38:J49">
    <cfRule type="cellIs" dxfId="10856" priority="1956" operator="equal">
      <formula>$O$10</formula>
    </cfRule>
    <cfRule type="cellIs" dxfId="10855" priority="1957" operator="equal">
      <formula>$O$18</formula>
    </cfRule>
    <cfRule type="cellIs" dxfId="10854" priority="1958" operator="equal">
      <formula>$O$17</formula>
    </cfRule>
  </conditionalFormatting>
  <conditionalFormatting sqref="H38:H50 J38:J50">
    <cfRule type="cellIs" dxfId="10853" priority="1947" operator="equal">
      <formula>$O$13</formula>
    </cfRule>
    <cfRule type="cellIs" dxfId="10852" priority="1948" operator="equal">
      <formula>$O$12</formula>
    </cfRule>
    <cfRule type="cellIs" dxfId="10851" priority="1949" operator="equal">
      <formula>$O$11</formula>
    </cfRule>
    <cfRule type="cellIs" dxfId="10850" priority="1950" operator="equal">
      <formula>$O$10</formula>
    </cfRule>
    <cfRule type="cellIs" dxfId="10849" priority="1951" operator="equal">
      <formula>$O$9</formula>
    </cfRule>
    <cfRule type="cellIs" dxfId="10848" priority="1952" operator="equal">
      <formula>$O$8</formula>
    </cfRule>
    <cfRule type="cellIs" dxfId="10847" priority="1953" operator="equal">
      <formula>$O$7</formula>
    </cfRule>
    <cfRule type="cellIs" dxfId="10846" priority="1954" operator="equal">
      <formula>$O$6</formula>
    </cfRule>
    <cfRule type="cellIs" dxfId="10845" priority="1955" operator="equal">
      <formula>$O$5</formula>
    </cfRule>
  </conditionalFormatting>
  <conditionalFormatting sqref="H38:H49">
    <cfRule type="duplicateValues" dxfId="10844" priority="1944"/>
  </conditionalFormatting>
  <conditionalFormatting sqref="J38:J49">
    <cfRule type="duplicateValues" dxfId="10843" priority="1943"/>
  </conditionalFormatting>
  <conditionalFormatting sqref="H38 J38">
    <cfRule type="duplicateValues" dxfId="10842" priority="1942"/>
  </conditionalFormatting>
  <conditionalFormatting sqref="H39 J39">
    <cfRule type="duplicateValues" dxfId="10841" priority="1941"/>
  </conditionalFormatting>
  <conditionalFormatting sqref="H40 J40">
    <cfRule type="duplicateValues" dxfId="10840" priority="1940"/>
  </conditionalFormatting>
  <conditionalFormatting sqref="H41 J41">
    <cfRule type="duplicateValues" dxfId="10839" priority="1939"/>
  </conditionalFormatting>
  <conditionalFormatting sqref="H42 J42">
    <cfRule type="duplicateValues" dxfId="10838" priority="1938"/>
  </conditionalFormatting>
  <conditionalFormatting sqref="H43 J43">
    <cfRule type="duplicateValues" dxfId="10837" priority="1937"/>
  </conditionalFormatting>
  <conditionalFormatting sqref="H44 J44">
    <cfRule type="duplicateValues" dxfId="10836" priority="1936"/>
  </conditionalFormatting>
  <conditionalFormatting sqref="H45 J45">
    <cfRule type="duplicateValues" dxfId="10835" priority="1935"/>
  </conditionalFormatting>
  <conditionalFormatting sqref="H46 J46">
    <cfRule type="duplicateValues" dxfId="10834" priority="1934"/>
  </conditionalFormatting>
  <conditionalFormatting sqref="H47 J47">
    <cfRule type="duplicateValues" dxfId="10833" priority="1933"/>
  </conditionalFormatting>
  <conditionalFormatting sqref="H48 J48">
    <cfRule type="duplicateValues" dxfId="10832" priority="1932"/>
  </conditionalFormatting>
  <conditionalFormatting sqref="H49">
    <cfRule type="cellIs" dxfId="10831" priority="1908" operator="equal">
      <formula>0</formula>
    </cfRule>
  </conditionalFormatting>
  <conditionalFormatting sqref="H49">
    <cfRule type="duplicateValues" dxfId="10830" priority="1907"/>
  </conditionalFormatting>
  <conditionalFormatting sqref="H49">
    <cfRule type="duplicateValues" dxfId="10829" priority="1900"/>
    <cfRule type="duplicateValues" dxfId="10828" priority="1902"/>
  </conditionalFormatting>
  <conditionalFormatting sqref="H49">
    <cfRule type="duplicateValues" dxfId="10827" priority="1901"/>
  </conditionalFormatting>
  <conditionalFormatting sqref="H49">
    <cfRule type="duplicateValues" dxfId="10826" priority="1899"/>
  </conditionalFormatting>
  <conditionalFormatting sqref="H49">
    <cfRule type="duplicateValues" dxfId="10825" priority="1909"/>
  </conditionalFormatting>
  <conditionalFormatting sqref="H49">
    <cfRule type="cellIs" dxfId="10824" priority="1910" operator="equal">
      <formula>$O$16</formula>
    </cfRule>
    <cfRule type="cellIs" dxfId="10823" priority="1911" operator="equal">
      <formula>$O$15</formula>
    </cfRule>
    <cfRule type="cellIs" dxfId="10822" priority="1912" operator="equal">
      <formula>$O$14</formula>
    </cfRule>
    <cfRule type="cellIs" dxfId="10821" priority="1913" operator="equal">
      <formula>$O$13</formula>
    </cfRule>
    <cfRule type="cellIs" dxfId="10820" priority="1914" operator="equal">
      <formula>$O$12</formula>
    </cfRule>
    <cfRule type="cellIs" dxfId="10819" priority="1915" operator="equal">
      <formula>$O$11</formula>
    </cfRule>
  </conditionalFormatting>
  <conditionalFormatting sqref="H49">
    <cfRule type="cellIs" dxfId="10818" priority="1916" operator="equal">
      <formula>$O$10</formula>
    </cfRule>
    <cfRule type="cellIs" dxfId="10817" priority="1917" operator="equal">
      <formula>$O$18</formula>
    </cfRule>
    <cfRule type="cellIs" dxfId="10816" priority="1918" operator="equal">
      <formula>$O$17</formula>
    </cfRule>
  </conditionalFormatting>
  <conditionalFormatting sqref="H49">
    <cfRule type="cellIs" dxfId="10815" priority="1919" operator="equal">
      <formula>$O$13</formula>
    </cfRule>
    <cfRule type="cellIs" dxfId="10814" priority="1920" operator="equal">
      <formula>$O$12</formula>
    </cfRule>
    <cfRule type="cellIs" dxfId="10813" priority="1921" operator="equal">
      <formula>$O$11</formula>
    </cfRule>
    <cfRule type="cellIs" dxfId="10812" priority="1922" operator="equal">
      <formula>$O$10</formula>
    </cfRule>
    <cfRule type="cellIs" dxfId="10811" priority="1923" operator="equal">
      <formula>$O$9</formula>
    </cfRule>
    <cfRule type="cellIs" dxfId="10810" priority="1924" operator="equal">
      <formula>$O$8</formula>
    </cfRule>
    <cfRule type="cellIs" dxfId="10809" priority="1925" operator="equal">
      <formula>$O$7</formula>
    </cfRule>
    <cfRule type="cellIs" dxfId="10808" priority="1926" operator="equal">
      <formula>$O$6</formula>
    </cfRule>
    <cfRule type="cellIs" dxfId="10807" priority="1927" operator="equal">
      <formula>$O$5</formula>
    </cfRule>
  </conditionalFormatting>
  <conditionalFormatting sqref="H49">
    <cfRule type="duplicateValues" dxfId="10806" priority="1896"/>
  </conditionalFormatting>
  <conditionalFormatting sqref="J49">
    <cfRule type="cellIs" dxfId="10805" priority="1872" operator="equal">
      <formula>0</formula>
    </cfRule>
  </conditionalFormatting>
  <conditionalFormatting sqref="J49">
    <cfRule type="duplicateValues" dxfId="10804" priority="1871"/>
  </conditionalFormatting>
  <conditionalFormatting sqref="J49">
    <cfRule type="duplicateValues" dxfId="10803" priority="1864"/>
    <cfRule type="duplicateValues" dxfId="10802" priority="1866"/>
  </conditionalFormatting>
  <conditionalFormatting sqref="J49">
    <cfRule type="duplicateValues" dxfId="10801" priority="1865"/>
  </conditionalFormatting>
  <conditionalFormatting sqref="J49">
    <cfRule type="duplicateValues" dxfId="10800" priority="1863"/>
  </conditionalFormatting>
  <conditionalFormatting sqref="J49">
    <cfRule type="duplicateValues" dxfId="10799" priority="1873"/>
  </conditionalFormatting>
  <conditionalFormatting sqref="J49">
    <cfRule type="cellIs" dxfId="10798" priority="1874" operator="equal">
      <formula>$O$16</formula>
    </cfRule>
    <cfRule type="cellIs" dxfId="10797" priority="1875" operator="equal">
      <formula>$O$15</formula>
    </cfRule>
    <cfRule type="cellIs" dxfId="10796" priority="1876" operator="equal">
      <formula>$O$14</formula>
    </cfRule>
    <cfRule type="cellIs" dxfId="10795" priority="1877" operator="equal">
      <formula>$O$13</formula>
    </cfRule>
    <cfRule type="cellIs" dxfId="10794" priority="1878" operator="equal">
      <formula>$O$12</formula>
    </cfRule>
    <cfRule type="cellIs" dxfId="10793" priority="1879" operator="equal">
      <formula>$O$11</formula>
    </cfRule>
  </conditionalFormatting>
  <conditionalFormatting sqref="J49">
    <cfRule type="cellIs" dxfId="10792" priority="1880" operator="equal">
      <formula>$O$10</formula>
    </cfRule>
    <cfRule type="cellIs" dxfId="10791" priority="1881" operator="equal">
      <formula>$O$18</formula>
    </cfRule>
    <cfRule type="cellIs" dxfId="10790" priority="1882" operator="equal">
      <formula>$O$17</formula>
    </cfRule>
  </conditionalFormatting>
  <conditionalFormatting sqref="J49">
    <cfRule type="cellIs" dxfId="10789" priority="1883" operator="equal">
      <formula>$O$13</formula>
    </cfRule>
    <cfRule type="cellIs" dxfId="10788" priority="1884" operator="equal">
      <formula>$O$12</formula>
    </cfRule>
    <cfRule type="cellIs" dxfId="10787" priority="1885" operator="equal">
      <formula>$O$11</formula>
    </cfRule>
    <cfRule type="cellIs" dxfId="10786" priority="1886" operator="equal">
      <formula>$O$10</formula>
    </cfRule>
    <cfRule type="cellIs" dxfId="10785" priority="1887" operator="equal">
      <formula>$O$9</formula>
    </cfRule>
    <cfRule type="cellIs" dxfId="10784" priority="1888" operator="equal">
      <formula>$O$8</formula>
    </cfRule>
    <cfRule type="cellIs" dxfId="10783" priority="1889" operator="equal">
      <formula>$O$7</formula>
    </cfRule>
    <cfRule type="cellIs" dxfId="10782" priority="1890" operator="equal">
      <formula>$O$6</formula>
    </cfRule>
    <cfRule type="cellIs" dxfId="10781" priority="1891" operator="equal">
      <formula>$O$5</formula>
    </cfRule>
  </conditionalFormatting>
  <conditionalFormatting sqref="J49">
    <cfRule type="duplicateValues" dxfId="10780" priority="1860"/>
  </conditionalFormatting>
  <conditionalFormatting sqref="H49 J49">
    <cfRule type="duplicateValues" dxfId="10779" priority="1859"/>
  </conditionalFormatting>
  <conditionalFormatting sqref="H38:H50">
    <cfRule type="duplicateValues" dxfId="10778" priority="1858"/>
  </conditionalFormatting>
  <conditionalFormatting sqref="J38:J50">
    <cfRule type="duplicateValues" dxfId="10777" priority="1857"/>
  </conditionalFormatting>
  <conditionalFormatting sqref="H38 J38">
    <cfRule type="duplicateValues" dxfId="10776" priority="1856"/>
  </conditionalFormatting>
  <conditionalFormatting sqref="H39 J39">
    <cfRule type="duplicateValues" dxfId="10775" priority="1855"/>
  </conditionalFormatting>
  <conditionalFormatting sqref="H40 J40">
    <cfRule type="duplicateValues" dxfId="10774" priority="1854"/>
  </conditionalFormatting>
  <conditionalFormatting sqref="H41 J41">
    <cfRule type="duplicateValues" dxfId="10773" priority="1853"/>
  </conditionalFormatting>
  <conditionalFormatting sqref="H42 J42">
    <cfRule type="duplicateValues" dxfId="10772" priority="1852"/>
  </conditionalFormatting>
  <conditionalFormatting sqref="H43 J43">
    <cfRule type="duplicateValues" dxfId="10771" priority="1851"/>
  </conditionalFormatting>
  <conditionalFormatting sqref="H44 J44">
    <cfRule type="duplicateValues" dxfId="10770" priority="1850"/>
  </conditionalFormatting>
  <conditionalFormatting sqref="H45 J45">
    <cfRule type="duplicateValues" dxfId="10769" priority="1849"/>
  </conditionalFormatting>
  <conditionalFormatting sqref="H46 J46">
    <cfRule type="duplicateValues" dxfId="10768" priority="1848"/>
  </conditionalFormatting>
  <conditionalFormatting sqref="H47 J47">
    <cfRule type="duplicateValues" dxfId="10767" priority="1847"/>
  </conditionalFormatting>
  <conditionalFormatting sqref="H48 J48">
    <cfRule type="duplicateValues" dxfId="10766" priority="1846"/>
  </conditionalFormatting>
  <conditionalFormatting sqref="H49 J49">
    <cfRule type="duplicateValues" dxfId="10765" priority="1845"/>
  </conditionalFormatting>
  <conditionalFormatting sqref="H50">
    <cfRule type="cellIs" dxfId="10764" priority="1821" operator="equal">
      <formula>0</formula>
    </cfRule>
  </conditionalFormatting>
  <conditionalFormatting sqref="H50">
    <cfRule type="duplicateValues" dxfId="10763" priority="1820"/>
  </conditionalFormatting>
  <conditionalFormatting sqref="H50">
    <cfRule type="duplicateValues" dxfId="10762" priority="1813"/>
    <cfRule type="duplicateValues" dxfId="10761" priority="1815"/>
  </conditionalFormatting>
  <conditionalFormatting sqref="H50">
    <cfRule type="duplicateValues" dxfId="10760" priority="1814"/>
  </conditionalFormatting>
  <conditionalFormatting sqref="H50">
    <cfRule type="duplicateValues" dxfId="10759" priority="1812"/>
  </conditionalFormatting>
  <conditionalFormatting sqref="H50">
    <cfRule type="duplicateValues" dxfId="10758" priority="1822"/>
  </conditionalFormatting>
  <conditionalFormatting sqref="H50">
    <cfRule type="cellIs" dxfId="10757" priority="1823" operator="equal">
      <formula>$O$16</formula>
    </cfRule>
    <cfRule type="cellIs" dxfId="10756" priority="1824" operator="equal">
      <formula>$O$15</formula>
    </cfRule>
    <cfRule type="cellIs" dxfId="10755" priority="1825" operator="equal">
      <formula>$O$14</formula>
    </cfRule>
    <cfRule type="cellIs" dxfId="10754" priority="1826" operator="equal">
      <formula>$O$13</formula>
    </cfRule>
    <cfRule type="cellIs" dxfId="10753" priority="1827" operator="equal">
      <formula>$O$12</formula>
    </cfRule>
    <cfRule type="cellIs" dxfId="10752" priority="1828" operator="equal">
      <formula>$O$11</formula>
    </cfRule>
  </conditionalFormatting>
  <conditionalFormatting sqref="H50">
    <cfRule type="cellIs" dxfId="10751" priority="1829" operator="equal">
      <formula>$O$10</formula>
    </cfRule>
    <cfRule type="cellIs" dxfId="10750" priority="1830" operator="equal">
      <formula>$O$18</formula>
    </cfRule>
    <cfRule type="cellIs" dxfId="10749" priority="1831" operator="equal">
      <formula>$O$17</formula>
    </cfRule>
  </conditionalFormatting>
  <conditionalFormatting sqref="H50">
    <cfRule type="cellIs" dxfId="10748" priority="1832" operator="equal">
      <formula>$O$13</formula>
    </cfRule>
    <cfRule type="cellIs" dxfId="10747" priority="1833" operator="equal">
      <formula>$O$12</formula>
    </cfRule>
    <cfRule type="cellIs" dxfId="10746" priority="1834" operator="equal">
      <formula>$O$11</formula>
    </cfRule>
    <cfRule type="cellIs" dxfId="10745" priority="1835" operator="equal">
      <formula>$O$10</formula>
    </cfRule>
    <cfRule type="cellIs" dxfId="10744" priority="1836" operator="equal">
      <formula>$O$9</formula>
    </cfRule>
    <cfRule type="cellIs" dxfId="10743" priority="1837" operator="equal">
      <formula>$O$8</formula>
    </cfRule>
    <cfRule type="cellIs" dxfId="10742" priority="1838" operator="equal">
      <formula>$O$7</formula>
    </cfRule>
    <cfRule type="cellIs" dxfId="10741" priority="1839" operator="equal">
      <formula>$O$6</formula>
    </cfRule>
    <cfRule type="cellIs" dxfId="10740" priority="1840" operator="equal">
      <formula>$O$5</formula>
    </cfRule>
  </conditionalFormatting>
  <conditionalFormatting sqref="H50">
    <cfRule type="duplicateValues" dxfId="10739" priority="1809"/>
  </conditionalFormatting>
  <conditionalFormatting sqref="J50">
    <cfRule type="cellIs" dxfId="10738" priority="1785" operator="equal">
      <formula>0</formula>
    </cfRule>
  </conditionalFormatting>
  <conditionalFormatting sqref="J50">
    <cfRule type="duplicateValues" dxfId="10737" priority="1784"/>
  </conditionalFormatting>
  <conditionalFormatting sqref="J50">
    <cfRule type="duplicateValues" dxfId="10736" priority="1777"/>
    <cfRule type="duplicateValues" dxfId="10735" priority="1779"/>
  </conditionalFormatting>
  <conditionalFormatting sqref="J50">
    <cfRule type="duplicateValues" dxfId="10734" priority="1778"/>
  </conditionalFormatting>
  <conditionalFormatting sqref="J50">
    <cfRule type="duplicateValues" dxfId="10733" priority="1776"/>
  </conditionalFormatting>
  <conditionalFormatting sqref="J50">
    <cfRule type="duplicateValues" dxfId="10732" priority="1786"/>
  </conditionalFormatting>
  <conditionalFormatting sqref="J50">
    <cfRule type="cellIs" dxfId="10731" priority="1787" operator="equal">
      <formula>$O$16</formula>
    </cfRule>
    <cfRule type="cellIs" dxfId="10730" priority="1788" operator="equal">
      <formula>$O$15</formula>
    </cfRule>
    <cfRule type="cellIs" dxfId="10729" priority="1789" operator="equal">
      <formula>$O$14</formula>
    </cfRule>
    <cfRule type="cellIs" dxfId="10728" priority="1790" operator="equal">
      <formula>$O$13</formula>
    </cfRule>
    <cfRule type="cellIs" dxfId="10727" priority="1791" operator="equal">
      <formula>$O$12</formula>
    </cfRule>
    <cfRule type="cellIs" dxfId="10726" priority="1792" operator="equal">
      <formula>$O$11</formula>
    </cfRule>
  </conditionalFormatting>
  <conditionalFormatting sqref="J50">
    <cfRule type="cellIs" dxfId="10725" priority="1793" operator="equal">
      <formula>$O$10</formula>
    </cfRule>
    <cfRule type="cellIs" dxfId="10724" priority="1794" operator="equal">
      <formula>$O$18</formula>
    </cfRule>
    <cfRule type="cellIs" dxfId="10723" priority="1795" operator="equal">
      <formula>$O$17</formula>
    </cfRule>
  </conditionalFormatting>
  <conditionalFormatting sqref="J50">
    <cfRule type="cellIs" dxfId="10722" priority="1796" operator="equal">
      <formula>$O$13</formula>
    </cfRule>
    <cfRule type="cellIs" dxfId="10721" priority="1797" operator="equal">
      <formula>$O$12</formula>
    </cfRule>
    <cfRule type="cellIs" dxfId="10720" priority="1798" operator="equal">
      <formula>$O$11</formula>
    </cfRule>
    <cfRule type="cellIs" dxfId="10719" priority="1799" operator="equal">
      <formula>$O$10</formula>
    </cfRule>
    <cfRule type="cellIs" dxfId="10718" priority="1800" operator="equal">
      <formula>$O$9</formula>
    </cfRule>
    <cfRule type="cellIs" dxfId="10717" priority="1801" operator="equal">
      <formula>$O$8</formula>
    </cfRule>
    <cfRule type="cellIs" dxfId="10716" priority="1802" operator="equal">
      <formula>$O$7</formula>
    </cfRule>
    <cfRule type="cellIs" dxfId="10715" priority="1803" operator="equal">
      <formula>$O$6</formula>
    </cfRule>
    <cfRule type="cellIs" dxfId="10714" priority="1804" operator="equal">
      <formula>$O$5</formula>
    </cfRule>
  </conditionalFormatting>
  <conditionalFormatting sqref="J50">
    <cfRule type="duplicateValues" dxfId="10713" priority="1773"/>
  </conditionalFormatting>
  <conditionalFormatting sqref="H50 J50">
    <cfRule type="duplicateValues" dxfId="10712" priority="1772"/>
  </conditionalFormatting>
  <conditionalFormatting sqref="H51 J51">
    <cfRule type="cellIs" dxfId="10711" priority="1767" operator="equal">
      <formula>0</formula>
    </cfRule>
  </conditionalFormatting>
  <conditionalFormatting sqref="H51 J51">
    <cfRule type="cellIs" dxfId="10710" priority="1761" operator="equal">
      <formula>$O$16</formula>
    </cfRule>
    <cfRule type="cellIs" dxfId="10709" priority="1762" operator="equal">
      <formula>$O$15</formula>
    </cfRule>
    <cfRule type="cellIs" dxfId="10708" priority="1763" operator="equal">
      <formula>$O$14</formula>
    </cfRule>
    <cfRule type="cellIs" dxfId="10707" priority="1764" operator="equal">
      <formula>$O$13</formula>
    </cfRule>
    <cfRule type="cellIs" dxfId="10706" priority="1765" operator="equal">
      <formula>$O$12</formula>
    </cfRule>
    <cfRule type="cellIs" dxfId="10705" priority="1766" operator="equal">
      <formula>$O$11</formula>
    </cfRule>
  </conditionalFormatting>
  <conditionalFormatting sqref="H51 J51">
    <cfRule type="cellIs" dxfId="10704" priority="1752" operator="equal">
      <formula>$O$13</formula>
    </cfRule>
    <cfRule type="cellIs" dxfId="10703" priority="1753" operator="equal">
      <formula>$O$12</formula>
    </cfRule>
    <cfRule type="cellIs" dxfId="10702" priority="1754" operator="equal">
      <formula>$O$11</formula>
    </cfRule>
    <cfRule type="cellIs" dxfId="10701" priority="1755" operator="equal">
      <formula>$O$10</formula>
    </cfRule>
    <cfRule type="cellIs" dxfId="10700" priority="1756" operator="equal">
      <formula>$O$9</formula>
    </cfRule>
    <cfRule type="cellIs" dxfId="10699" priority="1757" operator="equal">
      <formula>$O$8</formula>
    </cfRule>
    <cfRule type="cellIs" dxfId="10698" priority="1758" operator="equal">
      <formula>$O$7</formula>
    </cfRule>
    <cfRule type="cellIs" dxfId="10697" priority="1759" operator="equal">
      <formula>$O$6</formula>
    </cfRule>
    <cfRule type="cellIs" dxfId="10696" priority="1760" operator="equal">
      <formula>$O$5</formula>
    </cfRule>
  </conditionalFormatting>
  <conditionalFormatting sqref="H51">
    <cfRule type="duplicateValues" dxfId="10695" priority="1751"/>
  </conditionalFormatting>
  <conditionalFormatting sqref="J51">
    <cfRule type="duplicateValues" dxfId="10694" priority="1750"/>
  </conditionalFormatting>
  <conditionalFormatting sqref="H51">
    <cfRule type="cellIs" dxfId="10693" priority="1726" operator="equal">
      <formula>0</formula>
    </cfRule>
  </conditionalFormatting>
  <conditionalFormatting sqref="H51">
    <cfRule type="duplicateValues" dxfId="10692" priority="1725"/>
  </conditionalFormatting>
  <conditionalFormatting sqref="H51">
    <cfRule type="duplicateValues" dxfId="10691" priority="1718"/>
    <cfRule type="duplicateValues" dxfId="10690" priority="1720"/>
  </conditionalFormatting>
  <conditionalFormatting sqref="H51">
    <cfRule type="duplicateValues" dxfId="10689" priority="1719"/>
  </conditionalFormatting>
  <conditionalFormatting sqref="H51">
    <cfRule type="duplicateValues" dxfId="10688" priority="1717"/>
  </conditionalFormatting>
  <conditionalFormatting sqref="H51">
    <cfRule type="duplicateValues" dxfId="10687" priority="1727"/>
  </conditionalFormatting>
  <conditionalFormatting sqref="H51">
    <cfRule type="cellIs" dxfId="10686" priority="1728" operator="equal">
      <formula>$O$16</formula>
    </cfRule>
    <cfRule type="cellIs" dxfId="10685" priority="1729" operator="equal">
      <formula>$O$15</formula>
    </cfRule>
    <cfRule type="cellIs" dxfId="10684" priority="1730" operator="equal">
      <formula>$O$14</formula>
    </cfRule>
    <cfRule type="cellIs" dxfId="10683" priority="1731" operator="equal">
      <formula>$O$13</formula>
    </cfRule>
    <cfRule type="cellIs" dxfId="10682" priority="1732" operator="equal">
      <formula>$O$12</formula>
    </cfRule>
    <cfRule type="cellIs" dxfId="10681" priority="1733" operator="equal">
      <formula>$O$11</formula>
    </cfRule>
  </conditionalFormatting>
  <conditionalFormatting sqref="H51">
    <cfRule type="cellIs" dxfId="10680" priority="1734" operator="equal">
      <formula>$O$10</formula>
    </cfRule>
    <cfRule type="cellIs" dxfId="10679" priority="1735" operator="equal">
      <formula>$O$18</formula>
    </cfRule>
    <cfRule type="cellIs" dxfId="10678" priority="1736" operator="equal">
      <formula>$O$17</formula>
    </cfRule>
  </conditionalFormatting>
  <conditionalFormatting sqref="H51">
    <cfRule type="cellIs" dxfId="10677" priority="1737" operator="equal">
      <formula>$O$13</formula>
    </cfRule>
    <cfRule type="cellIs" dxfId="10676" priority="1738" operator="equal">
      <formula>$O$12</formula>
    </cfRule>
    <cfRule type="cellIs" dxfId="10675" priority="1739" operator="equal">
      <formula>$O$11</formula>
    </cfRule>
    <cfRule type="cellIs" dxfId="10674" priority="1740" operator="equal">
      <formula>$O$10</formula>
    </cfRule>
    <cfRule type="cellIs" dxfId="10673" priority="1741" operator="equal">
      <formula>$O$9</formula>
    </cfRule>
    <cfRule type="cellIs" dxfId="10672" priority="1742" operator="equal">
      <formula>$O$8</formula>
    </cfRule>
    <cfRule type="cellIs" dxfId="10671" priority="1743" operator="equal">
      <formula>$O$7</formula>
    </cfRule>
    <cfRule type="cellIs" dxfId="10670" priority="1744" operator="equal">
      <formula>$O$6</formula>
    </cfRule>
    <cfRule type="cellIs" dxfId="10669" priority="1745" operator="equal">
      <formula>$O$5</formula>
    </cfRule>
  </conditionalFormatting>
  <conditionalFormatting sqref="H51">
    <cfRule type="duplicateValues" dxfId="10668" priority="1714"/>
  </conditionalFormatting>
  <conditionalFormatting sqref="J51">
    <cfRule type="cellIs" dxfId="10667" priority="1690" operator="equal">
      <formula>0</formula>
    </cfRule>
  </conditionalFormatting>
  <conditionalFormatting sqref="J51">
    <cfRule type="duplicateValues" dxfId="10666" priority="1689"/>
  </conditionalFormatting>
  <conditionalFormatting sqref="J51">
    <cfRule type="duplicateValues" dxfId="10665" priority="1682"/>
    <cfRule type="duplicateValues" dxfId="10664" priority="1684"/>
  </conditionalFormatting>
  <conditionalFormatting sqref="J51">
    <cfRule type="duplicateValues" dxfId="10663" priority="1683"/>
  </conditionalFormatting>
  <conditionalFormatting sqref="J51">
    <cfRule type="duplicateValues" dxfId="10662" priority="1681"/>
  </conditionalFormatting>
  <conditionalFormatting sqref="J51">
    <cfRule type="duplicateValues" dxfId="10661" priority="1691"/>
  </conditionalFormatting>
  <conditionalFormatting sqref="J51">
    <cfRule type="cellIs" dxfId="10660" priority="1692" operator="equal">
      <formula>$O$16</formula>
    </cfRule>
    <cfRule type="cellIs" dxfId="10659" priority="1693" operator="equal">
      <formula>$O$15</formula>
    </cfRule>
    <cfRule type="cellIs" dxfId="10658" priority="1694" operator="equal">
      <formula>$O$14</formula>
    </cfRule>
    <cfRule type="cellIs" dxfId="10657" priority="1695" operator="equal">
      <formula>$O$13</formula>
    </cfRule>
    <cfRule type="cellIs" dxfId="10656" priority="1696" operator="equal">
      <formula>$O$12</formula>
    </cfRule>
    <cfRule type="cellIs" dxfId="10655" priority="1697" operator="equal">
      <formula>$O$11</formula>
    </cfRule>
  </conditionalFormatting>
  <conditionalFormatting sqref="J51">
    <cfRule type="cellIs" dxfId="10654" priority="1698" operator="equal">
      <formula>$O$10</formula>
    </cfRule>
    <cfRule type="cellIs" dxfId="10653" priority="1699" operator="equal">
      <formula>$O$18</formula>
    </cfRule>
    <cfRule type="cellIs" dxfId="10652" priority="1700" operator="equal">
      <formula>$O$17</formula>
    </cfRule>
  </conditionalFormatting>
  <conditionalFormatting sqref="J51">
    <cfRule type="cellIs" dxfId="10651" priority="1701" operator="equal">
      <formula>$O$13</formula>
    </cfRule>
    <cfRule type="cellIs" dxfId="10650" priority="1702" operator="equal">
      <formula>$O$12</formula>
    </cfRule>
    <cfRule type="cellIs" dxfId="10649" priority="1703" operator="equal">
      <formula>$O$11</formula>
    </cfRule>
    <cfRule type="cellIs" dxfId="10648" priority="1704" operator="equal">
      <formula>$O$10</formula>
    </cfRule>
    <cfRule type="cellIs" dxfId="10647" priority="1705" operator="equal">
      <formula>$O$9</formula>
    </cfRule>
    <cfRule type="cellIs" dxfId="10646" priority="1706" operator="equal">
      <formula>$O$8</formula>
    </cfRule>
    <cfRule type="cellIs" dxfId="10645" priority="1707" operator="equal">
      <formula>$O$7</formula>
    </cfRule>
    <cfRule type="cellIs" dxfId="10644" priority="1708" operator="equal">
      <formula>$O$6</formula>
    </cfRule>
    <cfRule type="cellIs" dxfId="10643" priority="1709" operator="equal">
      <formula>$O$5</formula>
    </cfRule>
  </conditionalFormatting>
  <conditionalFormatting sqref="J51">
    <cfRule type="duplicateValues" dxfId="10642" priority="1678"/>
  </conditionalFormatting>
  <conditionalFormatting sqref="H51 J51">
    <cfRule type="duplicateValues" dxfId="10641" priority="1677"/>
  </conditionalFormatting>
  <conditionalFormatting sqref="H38:H51">
    <cfRule type="duplicateValues" dxfId="10640" priority="1676"/>
  </conditionalFormatting>
  <conditionalFormatting sqref="J38:J51">
    <cfRule type="duplicateValues" dxfId="10639" priority="1674"/>
    <cfRule type="duplicateValues" dxfId="10638" priority="1675"/>
  </conditionalFormatting>
  <conditionalFormatting sqref="F22:F23">
    <cfRule type="duplicateValues" dxfId="10637" priority="1610"/>
  </conditionalFormatting>
  <conditionalFormatting sqref="F21 F24:F31">
    <cfRule type="duplicateValues" dxfId="10636" priority="1609"/>
  </conditionalFormatting>
  <conditionalFormatting sqref="H21:H31">
    <cfRule type="duplicateValues" dxfId="10635" priority="1608"/>
  </conditionalFormatting>
  <conditionalFormatting sqref="L21:L31">
    <cfRule type="duplicateValues" dxfId="10634" priority="1607"/>
  </conditionalFormatting>
  <conditionalFormatting sqref="N21:N31">
    <cfRule type="duplicateValues" dxfId="10633" priority="1606"/>
  </conditionalFormatting>
  <conditionalFormatting sqref="F32:F33">
    <cfRule type="duplicateValues" dxfId="10632" priority="1605"/>
  </conditionalFormatting>
  <conditionalFormatting sqref="H32:H33">
    <cfRule type="duplicateValues" dxfId="10631" priority="1604"/>
  </conditionalFormatting>
  <conditionalFormatting sqref="L32:L33">
    <cfRule type="duplicateValues" dxfId="10630" priority="1603"/>
  </conditionalFormatting>
  <conditionalFormatting sqref="N32:N33">
    <cfRule type="duplicateValues" dxfId="10629" priority="1602"/>
  </conditionalFormatting>
  <conditionalFormatting sqref="F22:F23">
    <cfRule type="duplicateValues" dxfId="10628" priority="1600"/>
    <cfRule type="duplicateValues" dxfId="10627" priority="1601"/>
  </conditionalFormatting>
  <conditionalFormatting sqref="H22:H23">
    <cfRule type="duplicateValues" dxfId="10626" priority="1591"/>
  </conditionalFormatting>
  <conditionalFormatting sqref="H21 H24:H31">
    <cfRule type="duplicateValues" dxfId="10625" priority="1590"/>
  </conditionalFormatting>
  <conditionalFormatting sqref="H22:H23">
    <cfRule type="duplicateValues" dxfId="10624" priority="1588"/>
    <cfRule type="duplicateValues" dxfId="10623" priority="1589"/>
  </conditionalFormatting>
  <conditionalFormatting sqref="L22:L23">
    <cfRule type="duplicateValues" dxfId="10622" priority="1587"/>
  </conditionalFormatting>
  <conditionalFormatting sqref="L21 L24:L31">
    <cfRule type="duplicateValues" dxfId="10621" priority="1586"/>
  </conditionalFormatting>
  <conditionalFormatting sqref="L22:L23">
    <cfRule type="duplicateValues" dxfId="10620" priority="1584"/>
    <cfRule type="duplicateValues" dxfId="10619" priority="1585"/>
  </conditionalFormatting>
  <conditionalFormatting sqref="N22:N23">
    <cfRule type="duplicateValues" dxfId="10618" priority="1583"/>
  </conditionalFormatting>
  <conditionalFormatting sqref="N21 N24:N31">
    <cfRule type="duplicateValues" dxfId="10617" priority="1582"/>
  </conditionalFormatting>
  <conditionalFormatting sqref="N22:N23">
    <cfRule type="duplicateValues" dxfId="10616" priority="1580"/>
    <cfRule type="duplicateValues" dxfId="10615" priority="1581"/>
  </conditionalFormatting>
  <conditionalFormatting sqref="L21">
    <cfRule type="duplicateValues" dxfId="10614" priority="1579"/>
  </conditionalFormatting>
  <conditionalFormatting sqref="N21">
    <cfRule type="duplicateValues" dxfId="10613" priority="1578"/>
  </conditionalFormatting>
  <conditionalFormatting sqref="H21">
    <cfRule type="duplicateValues" dxfId="10612" priority="1577"/>
  </conditionalFormatting>
  <conditionalFormatting sqref="F21:F33">
    <cfRule type="duplicateValues" dxfId="10611" priority="1576"/>
  </conditionalFormatting>
  <conditionalFormatting sqref="E21:H21 K21:N21">
    <cfRule type="duplicateValues" dxfId="10610" priority="1573"/>
  </conditionalFormatting>
  <conditionalFormatting sqref="E22:H22 K22:N22">
    <cfRule type="duplicateValues" dxfId="10609" priority="1572"/>
  </conditionalFormatting>
  <conditionalFormatting sqref="K23:N23 E23:H23">
    <cfRule type="duplicateValues" dxfId="10608" priority="1571"/>
  </conditionalFormatting>
  <conditionalFormatting sqref="F24:H24 K24:N24">
    <cfRule type="duplicateValues" dxfId="10607" priority="1570"/>
  </conditionalFormatting>
  <conditionalFormatting sqref="E25:H25 K25:N25">
    <cfRule type="duplicateValues" dxfId="10606" priority="1569"/>
  </conditionalFormatting>
  <conditionalFormatting sqref="E26:H26 K26:N26">
    <cfRule type="duplicateValues" dxfId="10605" priority="1568"/>
  </conditionalFormatting>
  <conditionalFormatting sqref="E27:H27 K27:N27">
    <cfRule type="duplicateValues" dxfId="10604" priority="1567"/>
  </conditionalFormatting>
  <conditionalFormatting sqref="E28:H28 K28:N28">
    <cfRule type="duplicateValues" dxfId="10603" priority="1566"/>
  </conditionalFormatting>
  <conditionalFormatting sqref="E29:H29 K29:N29">
    <cfRule type="duplicateValues" dxfId="10602" priority="1565"/>
  </conditionalFormatting>
  <conditionalFormatting sqref="E30:H30 K30:N30 F31">
    <cfRule type="duplicateValues" dxfId="10601" priority="1564"/>
  </conditionalFormatting>
  <conditionalFormatting sqref="K31:N31 E31:H31">
    <cfRule type="duplicateValues" dxfId="10600" priority="1563"/>
  </conditionalFormatting>
  <conditionalFormatting sqref="E32:H32 K32:N32">
    <cfRule type="duplicateValues" dxfId="10599" priority="1562"/>
  </conditionalFormatting>
  <conditionalFormatting sqref="E33:H33 K33:N33">
    <cfRule type="duplicateValues" dxfId="10598" priority="1561"/>
  </conditionalFormatting>
  <conditionalFormatting sqref="I21 E21:H34 K21:N34 M20:N20 M35:N36">
    <cfRule type="cellIs" dxfId="10597" priority="1560" operator="equal">
      <formula>0</formula>
    </cfRule>
  </conditionalFormatting>
  <conditionalFormatting sqref="F21:F34">
    <cfRule type="duplicateValues" dxfId="10596" priority="1613"/>
  </conditionalFormatting>
  <conditionalFormatting sqref="L21:L34">
    <cfRule type="duplicateValues" dxfId="10595" priority="1614"/>
  </conditionalFormatting>
  <conditionalFormatting sqref="H21:H34">
    <cfRule type="duplicateValues" dxfId="10594" priority="1615"/>
  </conditionalFormatting>
  <conditionalFormatting sqref="H21:H33">
    <cfRule type="duplicateValues" dxfId="10593" priority="1559"/>
  </conditionalFormatting>
  <conditionalFormatting sqref="L21:L33">
    <cfRule type="duplicateValues" dxfId="10592" priority="1558"/>
  </conditionalFormatting>
  <conditionalFormatting sqref="M20:N20 E21:I21 E22:H34 K21:N34 M35:N35">
    <cfRule type="cellIs" dxfId="10591" priority="1552" operator="equal">
      <formula>$O$11</formula>
    </cfRule>
    <cfRule type="cellIs" dxfId="10590" priority="1553" operator="equal">
      <formula>$O$9</formula>
    </cfRule>
    <cfRule type="cellIs" dxfId="10589" priority="1554" operator="equal">
      <formula>$O$8</formula>
    </cfRule>
    <cfRule type="cellIs" dxfId="10588" priority="1555" operator="equal">
      <formula>$O$7</formula>
    </cfRule>
    <cfRule type="cellIs" dxfId="10587" priority="1556" operator="equal">
      <formula>$O$6</formula>
    </cfRule>
    <cfRule type="cellIs" dxfId="10586" priority="1557" operator="equal">
      <formula>$O$5</formula>
    </cfRule>
  </conditionalFormatting>
  <conditionalFormatting sqref="L21:L33 H21:H33 N21:N33 F21:F33">
    <cfRule type="cellIs" dxfId="10585" priority="1546" operator="equal">
      <formula>$O$16</formula>
    </cfRule>
    <cfRule type="cellIs" dxfId="10584" priority="1547" operator="equal">
      <formula>$O$15</formula>
    </cfRule>
    <cfRule type="cellIs" dxfId="10583" priority="1548" operator="equal">
      <formula>$O$14</formula>
    </cfRule>
    <cfRule type="cellIs" dxfId="10582" priority="1549" operator="equal">
      <formula>$O$13</formula>
    </cfRule>
    <cfRule type="cellIs" dxfId="10581" priority="1550" operator="equal">
      <formula>$O$12</formula>
    </cfRule>
    <cfRule type="cellIs" dxfId="10580" priority="1551" operator="equal">
      <formula>$O$11</formula>
    </cfRule>
  </conditionalFormatting>
  <conditionalFormatting sqref="H21:H33 F21:F33 L21:L34 N21:N34">
    <cfRule type="cellIs" dxfId="10579" priority="1543" operator="equal">
      <formula>$O$10</formula>
    </cfRule>
    <cfRule type="cellIs" dxfId="10578" priority="1544" operator="equal">
      <formula>$O$18</formula>
    </cfRule>
    <cfRule type="cellIs" dxfId="10577" priority="1545" operator="equal">
      <formula>$O$17</formula>
    </cfRule>
  </conditionalFormatting>
  <conditionalFormatting sqref="L21:L33 H21:H33 N21:N33 F21:F34">
    <cfRule type="cellIs" dxfId="10576" priority="1534" operator="equal">
      <formula>$O$13</formula>
    </cfRule>
    <cfRule type="cellIs" dxfId="10575" priority="1535" operator="equal">
      <formula>$O$12</formula>
    </cfRule>
    <cfRule type="cellIs" dxfId="10574" priority="1536" operator="equal">
      <formula>$O$11</formula>
    </cfRule>
    <cfRule type="cellIs" dxfId="10573" priority="1537" operator="equal">
      <formula>$O$10</formula>
    </cfRule>
    <cfRule type="cellIs" dxfId="10572" priority="1538" operator="equal">
      <formula>$O$9</formula>
    </cfRule>
    <cfRule type="cellIs" dxfId="10571" priority="1539" operator="equal">
      <formula>$O$8</formula>
    </cfRule>
    <cfRule type="cellIs" dxfId="10570" priority="1540" operator="equal">
      <formula>$O$7</formula>
    </cfRule>
    <cfRule type="cellIs" dxfId="10569" priority="1541" operator="equal">
      <formula>$O$6</formula>
    </cfRule>
    <cfRule type="cellIs" dxfId="10568" priority="1542" operator="equal">
      <formula>$O$5</formula>
    </cfRule>
  </conditionalFormatting>
  <conditionalFormatting sqref="N21:N33">
    <cfRule type="duplicateValues" dxfId="10567" priority="1529"/>
    <cfRule type="duplicateValues" dxfId="10566" priority="1533"/>
  </conditionalFormatting>
  <conditionalFormatting sqref="H21:H33">
    <cfRule type="duplicateValues" dxfId="10565" priority="1532"/>
  </conditionalFormatting>
  <conditionalFormatting sqref="L21:L33">
    <cfRule type="duplicateValues" dxfId="10564" priority="1531"/>
  </conditionalFormatting>
  <conditionalFormatting sqref="N21:N33">
    <cfRule type="duplicateValues" dxfId="10563" priority="1530"/>
  </conditionalFormatting>
  <conditionalFormatting sqref="M36:N36">
    <cfRule type="cellIs" dxfId="10562" priority="1522" operator="equal">
      <formula>$O$11</formula>
    </cfRule>
    <cfRule type="cellIs" dxfId="10561" priority="1523" operator="equal">
      <formula>$O$9</formula>
    </cfRule>
    <cfRule type="cellIs" dxfId="10560" priority="1524" operator="equal">
      <formula>$O$8</formula>
    </cfRule>
    <cfRule type="cellIs" dxfId="10559" priority="1525" operator="equal">
      <formula>$O$7</formula>
    </cfRule>
    <cfRule type="cellIs" dxfId="10558" priority="1526" operator="equal">
      <formula>$O$6</formula>
    </cfRule>
    <cfRule type="cellIs" dxfId="10557" priority="1527" operator="equal">
      <formula>$O$5</formula>
    </cfRule>
  </conditionalFormatting>
  <conditionalFormatting sqref="E34">
    <cfRule type="duplicateValues" dxfId="10556" priority="1521"/>
  </conditionalFormatting>
  <conditionalFormatting sqref="H34">
    <cfRule type="duplicateValues" dxfId="10555" priority="1520"/>
  </conditionalFormatting>
  <conditionalFormatting sqref="H34">
    <cfRule type="cellIs" dxfId="10554" priority="1511" operator="equal">
      <formula>$O$13</formula>
    </cfRule>
    <cfRule type="cellIs" dxfId="10553" priority="1512" operator="equal">
      <formula>$O$12</formula>
    </cfRule>
    <cfRule type="cellIs" dxfId="10552" priority="1513" operator="equal">
      <formula>$O$11</formula>
    </cfRule>
    <cfRule type="cellIs" dxfId="10551" priority="1514" operator="equal">
      <formula>$O$10</formula>
    </cfRule>
    <cfRule type="cellIs" dxfId="10550" priority="1515" operator="equal">
      <formula>$O$9</formula>
    </cfRule>
    <cfRule type="cellIs" dxfId="10549" priority="1516" operator="equal">
      <formula>$O$8</formula>
    </cfRule>
    <cfRule type="cellIs" dxfId="10548" priority="1517" operator="equal">
      <formula>$O$7</formula>
    </cfRule>
    <cfRule type="cellIs" dxfId="10547" priority="1518" operator="equal">
      <formula>$O$6</formula>
    </cfRule>
    <cfRule type="cellIs" dxfId="10546" priority="1519" operator="equal">
      <formula>$O$5</formula>
    </cfRule>
  </conditionalFormatting>
  <conditionalFormatting sqref="G34">
    <cfRule type="duplicateValues" dxfId="10545" priority="1510"/>
  </conditionalFormatting>
  <conditionalFormatting sqref="L34">
    <cfRule type="duplicateValues" dxfId="10544" priority="1509"/>
  </conditionalFormatting>
  <conditionalFormatting sqref="L34">
    <cfRule type="cellIs" dxfId="10543" priority="1500" operator="equal">
      <formula>$O$13</formula>
    </cfRule>
    <cfRule type="cellIs" dxfId="10542" priority="1501" operator="equal">
      <formula>$O$12</formula>
    </cfRule>
    <cfRule type="cellIs" dxfId="10541" priority="1502" operator="equal">
      <formula>$O$11</formula>
    </cfRule>
    <cfRule type="cellIs" dxfId="10540" priority="1503" operator="equal">
      <formula>$O$10</formula>
    </cfRule>
    <cfRule type="cellIs" dxfId="10539" priority="1504" operator="equal">
      <formula>$O$9</formula>
    </cfRule>
    <cfRule type="cellIs" dxfId="10538" priority="1505" operator="equal">
      <formula>$O$8</formula>
    </cfRule>
    <cfRule type="cellIs" dxfId="10537" priority="1506" operator="equal">
      <formula>$O$7</formula>
    </cfRule>
    <cfRule type="cellIs" dxfId="10536" priority="1507" operator="equal">
      <formula>$O$6</formula>
    </cfRule>
    <cfRule type="cellIs" dxfId="10535" priority="1508" operator="equal">
      <formula>$O$5</formula>
    </cfRule>
  </conditionalFormatting>
  <conditionalFormatting sqref="K34">
    <cfRule type="duplicateValues" dxfId="10534" priority="1499"/>
  </conditionalFormatting>
  <conditionalFormatting sqref="N34">
    <cfRule type="duplicateValues" dxfId="10533" priority="1498"/>
  </conditionalFormatting>
  <conditionalFormatting sqref="N34">
    <cfRule type="cellIs" dxfId="10532" priority="1489" operator="equal">
      <formula>$O$13</formula>
    </cfRule>
    <cfRule type="cellIs" dxfId="10531" priority="1490" operator="equal">
      <formula>$O$12</formula>
    </cfRule>
    <cfRule type="cellIs" dxfId="10530" priority="1491" operator="equal">
      <formula>$O$11</formula>
    </cfRule>
    <cfRule type="cellIs" dxfId="10529" priority="1492" operator="equal">
      <formula>$O$10</formula>
    </cfRule>
    <cfRule type="cellIs" dxfId="10528" priority="1493" operator="equal">
      <formula>$O$9</formula>
    </cfRule>
    <cfRule type="cellIs" dxfId="10527" priority="1494" operator="equal">
      <formula>$O$8</formula>
    </cfRule>
    <cfRule type="cellIs" dxfId="10526" priority="1495" operator="equal">
      <formula>$O$7</formula>
    </cfRule>
    <cfRule type="cellIs" dxfId="10525" priority="1496" operator="equal">
      <formula>$O$6</formula>
    </cfRule>
    <cfRule type="cellIs" dxfId="10524" priority="1497" operator="equal">
      <formula>$O$5</formula>
    </cfRule>
  </conditionalFormatting>
  <conditionalFormatting sqref="M34">
    <cfRule type="duplicateValues" dxfId="10523" priority="1488"/>
  </conditionalFormatting>
  <conditionalFormatting sqref="H34">
    <cfRule type="duplicateValues" dxfId="10522" priority="1487"/>
  </conditionalFormatting>
  <conditionalFormatting sqref="H34">
    <cfRule type="cellIs" dxfId="10521" priority="1478" operator="equal">
      <formula>$O$13</formula>
    </cfRule>
    <cfRule type="cellIs" dxfId="10520" priority="1479" operator="equal">
      <formula>$O$12</formula>
    </cfRule>
    <cfRule type="cellIs" dxfId="10519" priority="1480" operator="equal">
      <formula>$O$11</formula>
    </cfRule>
    <cfRule type="cellIs" dxfId="10518" priority="1481" operator="equal">
      <formula>$O$10</formula>
    </cfRule>
    <cfRule type="cellIs" dxfId="10517" priority="1482" operator="equal">
      <formula>$O$9</formula>
    </cfRule>
    <cfRule type="cellIs" dxfId="10516" priority="1483" operator="equal">
      <formula>$O$8</formula>
    </cfRule>
    <cfRule type="cellIs" dxfId="10515" priority="1484" operator="equal">
      <formula>$O$7</formula>
    </cfRule>
    <cfRule type="cellIs" dxfId="10514" priority="1485" operator="equal">
      <formula>$O$6</formula>
    </cfRule>
    <cfRule type="cellIs" dxfId="10513" priority="1486" operator="equal">
      <formula>$O$5</formula>
    </cfRule>
  </conditionalFormatting>
  <conditionalFormatting sqref="L34">
    <cfRule type="duplicateValues" dxfId="10512" priority="1477"/>
  </conditionalFormatting>
  <conditionalFormatting sqref="L34">
    <cfRule type="cellIs" dxfId="10511" priority="1468" operator="equal">
      <formula>$O$13</formula>
    </cfRule>
    <cfRule type="cellIs" dxfId="10510" priority="1469" operator="equal">
      <formula>$O$12</formula>
    </cfRule>
    <cfRule type="cellIs" dxfId="10509" priority="1470" operator="equal">
      <formula>$O$11</formula>
    </cfRule>
    <cfRule type="cellIs" dxfId="10508" priority="1471" operator="equal">
      <formula>$O$10</formula>
    </cfRule>
    <cfRule type="cellIs" dxfId="10507" priority="1472" operator="equal">
      <formula>$O$9</formula>
    </cfRule>
    <cfRule type="cellIs" dxfId="10506" priority="1473" operator="equal">
      <formula>$O$8</formula>
    </cfRule>
    <cfRule type="cellIs" dxfId="10505" priority="1474" operator="equal">
      <formula>$O$7</formula>
    </cfRule>
    <cfRule type="cellIs" dxfId="10504" priority="1475" operator="equal">
      <formula>$O$6</formula>
    </cfRule>
    <cfRule type="cellIs" dxfId="10503" priority="1476" operator="equal">
      <formula>$O$5</formula>
    </cfRule>
  </conditionalFormatting>
  <conditionalFormatting sqref="N34">
    <cfRule type="duplicateValues" dxfId="10502" priority="1467"/>
  </conditionalFormatting>
  <conditionalFormatting sqref="N34">
    <cfRule type="cellIs" dxfId="10501" priority="1458" operator="equal">
      <formula>$O$13</formula>
    </cfRule>
    <cfRule type="cellIs" dxfId="10500" priority="1459" operator="equal">
      <formula>$O$12</formula>
    </cfRule>
    <cfRule type="cellIs" dxfId="10499" priority="1460" operator="equal">
      <formula>$O$11</formula>
    </cfRule>
    <cfRule type="cellIs" dxfId="10498" priority="1461" operator="equal">
      <formula>$O$10</formula>
    </cfRule>
    <cfRule type="cellIs" dxfId="10497" priority="1462" operator="equal">
      <formula>$O$9</formula>
    </cfRule>
    <cfRule type="cellIs" dxfId="10496" priority="1463" operator="equal">
      <formula>$O$8</formula>
    </cfRule>
    <cfRule type="cellIs" dxfId="10495" priority="1464" operator="equal">
      <formula>$O$7</formula>
    </cfRule>
    <cfRule type="cellIs" dxfId="10494" priority="1465" operator="equal">
      <formula>$O$6</formula>
    </cfRule>
    <cfRule type="cellIs" dxfId="10493" priority="1466" operator="equal">
      <formula>$O$5</formula>
    </cfRule>
  </conditionalFormatting>
  <conditionalFormatting sqref="H34">
    <cfRule type="duplicateValues" dxfId="10492" priority="1457"/>
  </conditionalFormatting>
  <conditionalFormatting sqref="H34">
    <cfRule type="cellIs" dxfId="10491" priority="1448" operator="equal">
      <formula>$O$13</formula>
    </cfRule>
    <cfRule type="cellIs" dxfId="10490" priority="1449" operator="equal">
      <formula>$O$12</formula>
    </cfRule>
    <cfRule type="cellIs" dxfId="10489" priority="1450" operator="equal">
      <formula>$O$11</formula>
    </cfRule>
    <cfRule type="cellIs" dxfId="10488" priority="1451" operator="equal">
      <formula>$O$10</formula>
    </cfRule>
    <cfRule type="cellIs" dxfId="10487" priority="1452" operator="equal">
      <formula>$O$9</formula>
    </cfRule>
    <cfRule type="cellIs" dxfId="10486" priority="1453" operator="equal">
      <formula>$O$8</formula>
    </cfRule>
    <cfRule type="cellIs" dxfId="10485" priority="1454" operator="equal">
      <formula>$O$7</formula>
    </cfRule>
    <cfRule type="cellIs" dxfId="10484" priority="1455" operator="equal">
      <formula>$O$6</formula>
    </cfRule>
    <cfRule type="cellIs" dxfId="10483" priority="1456" operator="equal">
      <formula>$O$5</formula>
    </cfRule>
  </conditionalFormatting>
  <conditionalFormatting sqref="L34">
    <cfRule type="duplicateValues" dxfId="10482" priority="1447"/>
  </conditionalFormatting>
  <conditionalFormatting sqref="L34">
    <cfRule type="cellIs" dxfId="10481" priority="1438" operator="equal">
      <formula>$O$13</formula>
    </cfRule>
    <cfRule type="cellIs" dxfId="10480" priority="1439" operator="equal">
      <formula>$O$12</formula>
    </cfRule>
    <cfRule type="cellIs" dxfId="10479" priority="1440" operator="equal">
      <formula>$O$11</formula>
    </cfRule>
    <cfRule type="cellIs" dxfId="10478" priority="1441" operator="equal">
      <formula>$O$10</formula>
    </cfRule>
    <cfRule type="cellIs" dxfId="10477" priority="1442" operator="equal">
      <formula>$O$9</formula>
    </cfRule>
    <cfRule type="cellIs" dxfId="10476" priority="1443" operator="equal">
      <formula>$O$8</formula>
    </cfRule>
    <cfRule type="cellIs" dxfId="10475" priority="1444" operator="equal">
      <formula>$O$7</formula>
    </cfRule>
    <cfRule type="cellIs" dxfId="10474" priority="1445" operator="equal">
      <formula>$O$6</formula>
    </cfRule>
    <cfRule type="cellIs" dxfId="10473" priority="1446" operator="equal">
      <formula>$O$5</formula>
    </cfRule>
  </conditionalFormatting>
  <conditionalFormatting sqref="N34">
    <cfRule type="duplicateValues" dxfId="10472" priority="1437"/>
  </conditionalFormatting>
  <conditionalFormatting sqref="N34">
    <cfRule type="cellIs" dxfId="10471" priority="1428" operator="equal">
      <formula>$O$13</formula>
    </cfRule>
    <cfRule type="cellIs" dxfId="10470" priority="1429" operator="equal">
      <formula>$O$12</formula>
    </cfRule>
    <cfRule type="cellIs" dxfId="10469" priority="1430" operator="equal">
      <formula>$O$11</formula>
    </cfRule>
    <cfRule type="cellIs" dxfId="10468" priority="1431" operator="equal">
      <formula>$O$10</formula>
    </cfRule>
    <cfRule type="cellIs" dxfId="10467" priority="1432" operator="equal">
      <formula>$O$9</formula>
    </cfRule>
    <cfRule type="cellIs" dxfId="10466" priority="1433" operator="equal">
      <formula>$O$8</formula>
    </cfRule>
    <cfRule type="cellIs" dxfId="10465" priority="1434" operator="equal">
      <formula>$O$7</formula>
    </cfRule>
    <cfRule type="cellIs" dxfId="10464" priority="1435" operator="equal">
      <formula>$O$6</formula>
    </cfRule>
    <cfRule type="cellIs" dxfId="10463" priority="1436" operator="equal">
      <formula>$O$5</formula>
    </cfRule>
  </conditionalFormatting>
  <conditionalFormatting sqref="E34:H34 K34:N34">
    <cfRule type="duplicateValues" dxfId="10462" priority="1427"/>
  </conditionalFormatting>
  <conditionalFormatting sqref="H21:H34">
    <cfRule type="duplicateValues" dxfId="10461" priority="1426"/>
  </conditionalFormatting>
  <conditionalFormatting sqref="L21:L34">
    <cfRule type="duplicateValues" dxfId="10460" priority="1425"/>
  </conditionalFormatting>
  <conditionalFormatting sqref="N21:N36">
    <cfRule type="duplicateValues" dxfId="10459" priority="1424"/>
  </conditionalFormatting>
  <conditionalFormatting sqref="F5:F16">
    <cfRule type="duplicateValues" dxfId="10458" priority="1380"/>
    <cfRule type="duplicateValues" dxfId="10457" priority="1381"/>
  </conditionalFormatting>
  <conditionalFormatting sqref="H5:H16">
    <cfRule type="duplicateValues" dxfId="10456" priority="1379"/>
  </conditionalFormatting>
  <conditionalFormatting sqref="L5:L10 L12:L16">
    <cfRule type="duplicateValues" dxfId="10455" priority="1378"/>
  </conditionalFormatting>
  <conditionalFormatting sqref="H5">
    <cfRule type="duplicateValues" dxfId="10454" priority="1376"/>
    <cfRule type="duplicateValues" dxfId="10453" priority="1377"/>
  </conditionalFormatting>
  <conditionalFormatting sqref="L5">
    <cfRule type="duplicateValues" dxfId="10452" priority="1374"/>
    <cfRule type="duplicateValues" dxfId="10451" priority="1375"/>
  </conditionalFormatting>
  <conditionalFormatting sqref="H5:H16">
    <cfRule type="duplicateValues" dxfId="10450" priority="1372"/>
    <cfRule type="duplicateValues" dxfId="10449" priority="1373"/>
  </conditionalFormatting>
  <conditionalFormatting sqref="L5:L10 L12:L16">
    <cfRule type="duplicateValues" dxfId="10448" priority="1370"/>
    <cfRule type="duplicateValues" dxfId="10447" priority="1371"/>
  </conditionalFormatting>
  <conditionalFormatting sqref="N5:N14 N16">
    <cfRule type="duplicateValues" dxfId="10446" priority="1368"/>
    <cfRule type="duplicateValues" dxfId="10445" priority="1369"/>
  </conditionalFormatting>
  <conditionalFormatting sqref="L11">
    <cfRule type="duplicateValues" dxfId="10444" priority="1366"/>
    <cfRule type="duplicateValues" dxfId="10443" priority="1367"/>
  </conditionalFormatting>
  <conditionalFormatting sqref="H15">
    <cfRule type="duplicateValues" dxfId="10442" priority="1364"/>
    <cfRule type="duplicateValues" dxfId="10441" priority="1365"/>
  </conditionalFormatting>
  <conditionalFormatting sqref="L15">
    <cfRule type="duplicateValues" dxfId="10440" priority="1362"/>
    <cfRule type="duplicateValues" dxfId="10439" priority="1363"/>
  </conditionalFormatting>
  <conditionalFormatting sqref="N15">
    <cfRule type="duplicateValues" dxfId="10438" priority="1360"/>
    <cfRule type="duplicateValues" dxfId="10437" priority="1361"/>
  </conditionalFormatting>
  <conditionalFormatting sqref="H5 F5 L5 N5">
    <cfRule type="duplicateValues" dxfId="10436" priority="1359"/>
  </conditionalFormatting>
  <conditionalFormatting sqref="E5:H16 K5:N16">
    <cfRule type="cellIs" dxfId="10435" priority="1358" operator="equal">
      <formula>0</formula>
    </cfRule>
  </conditionalFormatting>
  <conditionalFormatting sqref="M18:N19">
    <cfRule type="cellIs" dxfId="10434" priority="1357" operator="equal">
      <formula>0</formula>
    </cfRule>
  </conditionalFormatting>
  <conditionalFormatting sqref="K5:N5 E5:H5">
    <cfRule type="duplicateValues" dxfId="10433" priority="1382"/>
  </conditionalFormatting>
  <conditionalFormatting sqref="K6:N6 E6:H6">
    <cfRule type="duplicateValues" dxfId="10432" priority="1383"/>
  </conditionalFormatting>
  <conditionalFormatting sqref="K7:N7 E7:H7">
    <cfRule type="duplicateValues" dxfId="10431" priority="1384"/>
  </conditionalFormatting>
  <conditionalFormatting sqref="K8:N8 E8:H8">
    <cfRule type="duplicateValues" dxfId="10430" priority="1385"/>
  </conditionalFormatting>
  <conditionalFormatting sqref="K9:N9 E9:H9">
    <cfRule type="duplicateValues" dxfId="10429" priority="1386"/>
  </conditionalFormatting>
  <conditionalFormatting sqref="K10:N10 E10:H10">
    <cfRule type="duplicateValues" dxfId="10428" priority="1387"/>
  </conditionalFormatting>
  <conditionalFormatting sqref="K11:N11 E11:H11">
    <cfRule type="duplicateValues" dxfId="10427" priority="1388"/>
  </conditionalFormatting>
  <conditionalFormatting sqref="K12:N12 E12:H12">
    <cfRule type="duplicateValues" dxfId="10426" priority="1389"/>
  </conditionalFormatting>
  <conditionalFormatting sqref="K13:N13 E13:H13">
    <cfRule type="duplicateValues" dxfId="10425" priority="1390"/>
  </conditionalFormatting>
  <conditionalFormatting sqref="K14:N14 E14:H14">
    <cfRule type="duplicateValues" dxfId="10424" priority="1391"/>
  </conditionalFormatting>
  <conditionalFormatting sqref="K15:N15 E15:H15">
    <cfRule type="duplicateValues" dxfId="10423" priority="1392"/>
  </conditionalFormatting>
  <conditionalFormatting sqref="K16:N16 E16:H16">
    <cfRule type="duplicateValues" dxfId="10422" priority="1393"/>
  </conditionalFormatting>
  <conditionalFormatting sqref="H5:H16">
    <cfRule type="duplicateValues" dxfId="10421" priority="1354"/>
  </conditionalFormatting>
  <conditionalFormatting sqref="N5:N16 N18:N19">
    <cfRule type="duplicateValues" dxfId="10420" priority="1353"/>
  </conditionalFormatting>
  <conditionalFormatting sqref="H16">
    <cfRule type="duplicateValues" dxfId="10419" priority="1351"/>
    <cfRule type="duplicateValues" dxfId="10418" priority="1352"/>
  </conditionalFormatting>
  <conditionalFormatting sqref="H5:H17 L5:L17 N5:N17 F5:F16">
    <cfRule type="cellIs" dxfId="10417" priority="1337" operator="equal">
      <formula>$O$18</formula>
    </cfRule>
    <cfRule type="cellIs" dxfId="10416" priority="1338" operator="equal">
      <formula>$O$17</formula>
    </cfRule>
    <cfRule type="cellIs" dxfId="10415" priority="1339" operator="equal">
      <formula>$O$16</formula>
    </cfRule>
    <cfRule type="cellIs" dxfId="10414" priority="1340" operator="equal">
      <formula>$O$15</formula>
    </cfRule>
    <cfRule type="cellIs" dxfId="10413" priority="1341" operator="equal">
      <formula>$O$14</formula>
    </cfRule>
    <cfRule type="cellIs" dxfId="10412" priority="1342" operator="equal">
      <formula>$O$13</formula>
    </cfRule>
    <cfRule type="cellIs" dxfId="10411" priority="1343" operator="equal">
      <formula>$O$12</formula>
    </cfRule>
    <cfRule type="cellIs" dxfId="10410" priority="1344" operator="equal">
      <formula>$O$11</formula>
    </cfRule>
    <cfRule type="cellIs" dxfId="10409" priority="1345" operator="equal">
      <formula>$O$10</formula>
    </cfRule>
    <cfRule type="cellIs" dxfId="10408" priority="1346" operator="equal">
      <formula>$O$9</formula>
    </cfRule>
    <cfRule type="cellIs" dxfId="10407" priority="1347" operator="equal">
      <formula>$O$8</formula>
    </cfRule>
    <cfRule type="cellIs" dxfId="10406" priority="1348" operator="equal">
      <formula>$O$7</formula>
    </cfRule>
    <cfRule type="cellIs" dxfId="10405" priority="1349" operator="equal">
      <formula>$O$6</formula>
    </cfRule>
    <cfRule type="cellIs" dxfId="10404" priority="1350" operator="equal">
      <formula>$O$5</formula>
    </cfRule>
  </conditionalFormatting>
  <conditionalFormatting sqref="H5:H17">
    <cfRule type="duplicateValues" dxfId="10403" priority="1336"/>
  </conditionalFormatting>
  <conditionalFormatting sqref="L5:L17">
    <cfRule type="duplicateValues" dxfId="10402" priority="1335"/>
  </conditionalFormatting>
  <conditionalFormatting sqref="N5:N17">
    <cfRule type="duplicateValues" dxfId="10401" priority="1334"/>
  </conditionalFormatting>
  <conditionalFormatting sqref="H17">
    <cfRule type="cellIs" dxfId="10400" priority="1323" operator="equal">
      <formula>$O$13</formula>
    </cfRule>
    <cfRule type="cellIs" dxfId="10399" priority="1324" operator="equal">
      <formula>$O$12</formula>
    </cfRule>
    <cfRule type="cellIs" dxfId="10398" priority="1325" operator="equal">
      <formula>$O$11</formula>
    </cfRule>
    <cfRule type="cellIs" dxfId="10397" priority="1326" operator="equal">
      <formula>$O$11</formula>
    </cfRule>
    <cfRule type="cellIs" dxfId="10396" priority="1327" operator="equal">
      <formula>$O$10</formula>
    </cfRule>
    <cfRule type="cellIs" dxfId="10395" priority="1328" operator="equal">
      <formula>$O$9</formula>
    </cfRule>
    <cfRule type="cellIs" dxfId="10394" priority="1329" operator="equal">
      <formula>$O$9</formula>
    </cfRule>
    <cfRule type="cellIs" dxfId="10393" priority="1330" operator="equal">
      <formula>$O$8</formula>
    </cfRule>
    <cfRule type="cellIs" dxfId="10392" priority="1331" operator="equal">
      <formula>$O$7</formula>
    </cfRule>
    <cfRule type="cellIs" dxfId="10391" priority="1332" operator="equal">
      <formula>$O$6</formula>
    </cfRule>
    <cfRule type="cellIs" dxfId="10390" priority="1333" operator="equal">
      <formula>$O$5</formula>
    </cfRule>
  </conditionalFormatting>
  <conditionalFormatting sqref="H17">
    <cfRule type="cellIs" dxfId="10389" priority="1319" operator="equal">
      <formula>$O$17</formula>
    </cfRule>
    <cfRule type="cellIs" dxfId="10388" priority="1320" operator="equal">
      <formula>$O$16</formula>
    </cfRule>
    <cfRule type="cellIs" dxfId="10387" priority="1321" operator="equal">
      <formula>$O$15</formula>
    </cfRule>
    <cfRule type="cellIs" dxfId="10386" priority="1322" operator="equal">
      <formula>$O$14</formula>
    </cfRule>
  </conditionalFormatting>
  <conditionalFormatting sqref="H17">
    <cfRule type="cellIs" dxfId="10385" priority="1318" operator="equal">
      <formula>$O$10</formula>
    </cfRule>
  </conditionalFormatting>
  <conditionalFormatting sqref="H17">
    <cfRule type="cellIs" dxfId="10384" priority="1317" operator="equal">
      <formula>$O$18</formula>
    </cfRule>
  </conditionalFormatting>
  <conditionalFormatting sqref="H17">
    <cfRule type="duplicateValues" dxfId="10383" priority="1316"/>
  </conditionalFormatting>
  <conditionalFormatting sqref="H17">
    <cfRule type="duplicateValues" dxfId="10382" priority="1315"/>
  </conditionalFormatting>
  <conditionalFormatting sqref="H17">
    <cfRule type="cellIs" dxfId="10381" priority="1314" operator="equal">
      <formula>$O$5</formula>
    </cfRule>
  </conditionalFormatting>
  <conditionalFormatting sqref="H17">
    <cfRule type="cellIs" dxfId="10380" priority="1313" operator="equal">
      <formula>$O$6</formula>
    </cfRule>
  </conditionalFormatting>
  <conditionalFormatting sqref="H17">
    <cfRule type="cellIs" dxfId="10379" priority="1312" operator="equal">
      <formula>$O$7</formula>
    </cfRule>
  </conditionalFormatting>
  <conditionalFormatting sqref="H17">
    <cfRule type="cellIs" dxfId="10378" priority="1311" operator="equal">
      <formula>$O$8</formula>
    </cfRule>
  </conditionalFormatting>
  <conditionalFormatting sqref="H17">
    <cfRule type="cellIs" dxfId="10377" priority="1310" operator="equal">
      <formula>$O$9</formula>
    </cfRule>
  </conditionalFormatting>
  <conditionalFormatting sqref="H17">
    <cfRule type="cellIs" dxfId="10376" priority="1309" operator="equal">
      <formula>$O$10</formula>
    </cfRule>
  </conditionalFormatting>
  <conditionalFormatting sqref="H17">
    <cfRule type="cellIs" dxfId="10375" priority="1308" operator="equal">
      <formula>$O$11</formula>
    </cfRule>
  </conditionalFormatting>
  <conditionalFormatting sqref="H17">
    <cfRule type="cellIs" dxfId="10374" priority="1307" operator="equal">
      <formula>$O$11</formula>
    </cfRule>
  </conditionalFormatting>
  <conditionalFormatting sqref="H17">
    <cfRule type="cellIs" dxfId="10373" priority="1306" operator="equal">
      <formula>$O$12</formula>
    </cfRule>
  </conditionalFormatting>
  <conditionalFormatting sqref="H17">
    <cfRule type="cellIs" dxfId="10372" priority="1305" operator="equal">
      <formula>$O$13</formula>
    </cfRule>
  </conditionalFormatting>
  <conditionalFormatting sqref="H17">
    <cfRule type="cellIs" dxfId="10371" priority="1304" operator="equal">
      <formula>$O$14</formula>
    </cfRule>
  </conditionalFormatting>
  <conditionalFormatting sqref="H17">
    <cfRule type="cellIs" dxfId="10370" priority="1303" operator="equal">
      <formula>$O$14</formula>
    </cfRule>
  </conditionalFormatting>
  <conditionalFormatting sqref="H17">
    <cfRule type="cellIs" dxfId="10369" priority="1302" operator="equal">
      <formula>$O$15</formula>
    </cfRule>
  </conditionalFormatting>
  <conditionalFormatting sqref="H17">
    <cfRule type="cellIs" dxfId="10368" priority="1301" operator="equal">
      <formula>$O$16</formula>
    </cfRule>
  </conditionalFormatting>
  <conditionalFormatting sqref="H17">
    <cfRule type="cellIs" dxfId="10367" priority="1300" operator="equal">
      <formula>$O$17</formula>
    </cfRule>
  </conditionalFormatting>
  <conditionalFormatting sqref="H17">
    <cfRule type="cellIs" dxfId="10366" priority="1299" operator="equal">
      <formula>$O$18</formula>
    </cfRule>
  </conditionalFormatting>
  <conditionalFormatting sqref="H17">
    <cfRule type="duplicateValues" dxfId="10365" priority="1298"/>
  </conditionalFormatting>
  <conditionalFormatting sqref="H17">
    <cfRule type="duplicateValues" dxfId="10364" priority="1297"/>
  </conditionalFormatting>
  <conditionalFormatting sqref="H17">
    <cfRule type="cellIs" dxfId="10363" priority="1291" operator="equal">
      <formula>$O$11</formula>
    </cfRule>
    <cfRule type="cellIs" dxfId="10362" priority="1292" operator="equal">
      <formula>$O$9</formula>
    </cfRule>
    <cfRule type="cellIs" dxfId="10361" priority="1293" operator="equal">
      <formula>$O$8</formula>
    </cfRule>
    <cfRule type="cellIs" dxfId="10360" priority="1294" operator="equal">
      <formula>$O$7</formula>
    </cfRule>
    <cfRule type="cellIs" dxfId="10359" priority="1295" operator="equal">
      <formula>$O$6</formula>
    </cfRule>
    <cfRule type="cellIs" dxfId="10358" priority="1296" operator="equal">
      <formula>$O$5</formula>
    </cfRule>
  </conditionalFormatting>
  <conditionalFormatting sqref="H17">
    <cfRule type="cellIs" dxfId="10357" priority="1285" operator="equal">
      <formula>$O$16</formula>
    </cfRule>
    <cfRule type="cellIs" dxfId="10356" priority="1286" operator="equal">
      <formula>$O$15</formula>
    </cfRule>
    <cfRule type="cellIs" dxfId="10355" priority="1287" operator="equal">
      <formula>$O$14</formula>
    </cfRule>
    <cfRule type="cellIs" dxfId="10354" priority="1288" operator="equal">
      <formula>$O$13</formula>
    </cfRule>
    <cfRule type="cellIs" dxfId="10353" priority="1289" operator="equal">
      <formula>$O$12</formula>
    </cfRule>
    <cfRule type="cellIs" dxfId="10352" priority="1290" operator="equal">
      <formula>$O$11</formula>
    </cfRule>
  </conditionalFormatting>
  <conditionalFormatting sqref="H17">
    <cfRule type="cellIs" dxfId="10351" priority="1282" operator="equal">
      <formula>$O$10</formula>
    </cfRule>
    <cfRule type="cellIs" dxfId="10350" priority="1283" operator="equal">
      <formula>$O$18</formula>
    </cfRule>
    <cfRule type="cellIs" dxfId="10349" priority="1284" operator="equal">
      <formula>$O$17</formula>
    </cfRule>
  </conditionalFormatting>
  <conditionalFormatting sqref="H17">
    <cfRule type="cellIs" dxfId="10348" priority="1273" operator="equal">
      <formula>$O$13</formula>
    </cfRule>
    <cfRule type="cellIs" dxfId="10347" priority="1274" operator="equal">
      <formula>$O$12</formula>
    </cfRule>
    <cfRule type="cellIs" dxfId="10346" priority="1275" operator="equal">
      <formula>$O$11</formula>
    </cfRule>
    <cfRule type="cellIs" dxfId="10345" priority="1276" operator="equal">
      <formula>$O$10</formula>
    </cfRule>
    <cfRule type="cellIs" dxfId="10344" priority="1277" operator="equal">
      <formula>$O$9</formula>
    </cfRule>
    <cfRule type="cellIs" dxfId="10343" priority="1278" operator="equal">
      <formula>$O$8</formula>
    </cfRule>
    <cfRule type="cellIs" dxfId="10342" priority="1279" operator="equal">
      <formula>$O$7</formula>
    </cfRule>
    <cfRule type="cellIs" dxfId="10341" priority="1280" operator="equal">
      <formula>$O$6</formula>
    </cfRule>
    <cfRule type="cellIs" dxfId="10340" priority="1281" operator="equal">
      <formula>$O$5</formula>
    </cfRule>
  </conditionalFormatting>
  <conditionalFormatting sqref="H17">
    <cfRule type="duplicateValues" dxfId="10339" priority="1272"/>
  </conditionalFormatting>
  <conditionalFormatting sqref="H17">
    <cfRule type="cellIs" dxfId="10338" priority="1271" operator="equal">
      <formula>0</formula>
    </cfRule>
  </conditionalFormatting>
  <conditionalFormatting sqref="H17">
    <cfRule type="duplicateValues" dxfId="10337" priority="1270"/>
  </conditionalFormatting>
  <conditionalFormatting sqref="L17">
    <cfRule type="cellIs" dxfId="10336" priority="1259" operator="equal">
      <formula>$O$13</formula>
    </cfRule>
    <cfRule type="cellIs" dxfId="10335" priority="1260" operator="equal">
      <formula>$O$12</formula>
    </cfRule>
    <cfRule type="cellIs" dxfId="10334" priority="1261" operator="equal">
      <formula>$O$11</formula>
    </cfRule>
    <cfRule type="cellIs" dxfId="10333" priority="1262" operator="equal">
      <formula>$O$11</formula>
    </cfRule>
    <cfRule type="cellIs" dxfId="10332" priority="1263" operator="equal">
      <formula>$O$10</formula>
    </cfRule>
    <cfRule type="cellIs" dxfId="10331" priority="1264" operator="equal">
      <formula>$O$9</formula>
    </cfRule>
    <cfRule type="cellIs" dxfId="10330" priority="1265" operator="equal">
      <formula>$O$9</formula>
    </cfRule>
    <cfRule type="cellIs" dxfId="10329" priority="1266" operator="equal">
      <formula>$O$8</formula>
    </cfRule>
    <cfRule type="cellIs" dxfId="10328" priority="1267" operator="equal">
      <formula>$O$7</formula>
    </cfRule>
    <cfRule type="cellIs" dxfId="10327" priority="1268" operator="equal">
      <formula>$O$6</formula>
    </cfRule>
    <cfRule type="cellIs" dxfId="10326" priority="1269" operator="equal">
      <formula>$O$5</formula>
    </cfRule>
  </conditionalFormatting>
  <conditionalFormatting sqref="L17">
    <cfRule type="cellIs" dxfId="10325" priority="1255" operator="equal">
      <formula>$O$17</formula>
    </cfRule>
    <cfRule type="cellIs" dxfId="10324" priority="1256" operator="equal">
      <formula>$O$16</formula>
    </cfRule>
    <cfRule type="cellIs" dxfId="10323" priority="1257" operator="equal">
      <formula>$O$15</formula>
    </cfRule>
    <cfRule type="cellIs" dxfId="10322" priority="1258" operator="equal">
      <formula>$O$14</formula>
    </cfRule>
  </conditionalFormatting>
  <conditionalFormatting sqref="L17">
    <cfRule type="cellIs" dxfId="10321" priority="1254" operator="equal">
      <formula>$O$10</formula>
    </cfRule>
  </conditionalFormatting>
  <conditionalFormatting sqref="L17">
    <cfRule type="cellIs" dxfId="10320" priority="1253" operator="equal">
      <formula>$O$18</formula>
    </cfRule>
  </conditionalFormatting>
  <conditionalFormatting sqref="L17">
    <cfRule type="duplicateValues" dxfId="10319" priority="1252"/>
  </conditionalFormatting>
  <conditionalFormatting sqref="L17">
    <cfRule type="duplicateValues" dxfId="10318" priority="1251"/>
  </conditionalFormatting>
  <conditionalFormatting sqref="L17">
    <cfRule type="cellIs" dxfId="10317" priority="1250" operator="equal">
      <formula>$O$5</formula>
    </cfRule>
  </conditionalFormatting>
  <conditionalFormatting sqref="L17">
    <cfRule type="cellIs" dxfId="10316" priority="1249" operator="equal">
      <formula>$O$6</formula>
    </cfRule>
  </conditionalFormatting>
  <conditionalFormatting sqref="L17">
    <cfRule type="cellIs" dxfId="10315" priority="1248" operator="equal">
      <formula>$O$7</formula>
    </cfRule>
  </conditionalFormatting>
  <conditionalFormatting sqref="L17">
    <cfRule type="cellIs" dxfId="10314" priority="1247" operator="equal">
      <formula>$O$8</formula>
    </cfRule>
  </conditionalFormatting>
  <conditionalFormatting sqref="L17">
    <cfRule type="cellIs" dxfId="10313" priority="1246" operator="equal">
      <formula>$O$9</formula>
    </cfRule>
  </conditionalFormatting>
  <conditionalFormatting sqref="L17">
    <cfRule type="cellIs" dxfId="10312" priority="1245" operator="equal">
      <formula>$O$10</formula>
    </cfRule>
  </conditionalFormatting>
  <conditionalFormatting sqref="L17">
    <cfRule type="cellIs" dxfId="10311" priority="1244" operator="equal">
      <formula>$O$11</formula>
    </cfRule>
  </conditionalFormatting>
  <conditionalFormatting sqref="L17">
    <cfRule type="cellIs" dxfId="10310" priority="1243" operator="equal">
      <formula>$O$11</formula>
    </cfRule>
  </conditionalFormatting>
  <conditionalFormatting sqref="L17">
    <cfRule type="cellIs" dxfId="10309" priority="1242" operator="equal">
      <formula>$O$12</formula>
    </cfRule>
  </conditionalFormatting>
  <conditionalFormatting sqref="L17">
    <cfRule type="cellIs" dxfId="10308" priority="1241" operator="equal">
      <formula>$O$13</formula>
    </cfRule>
  </conditionalFormatting>
  <conditionalFormatting sqref="L17">
    <cfRule type="cellIs" dxfId="10307" priority="1240" operator="equal">
      <formula>$O$14</formula>
    </cfRule>
  </conditionalFormatting>
  <conditionalFormatting sqref="L17">
    <cfRule type="cellIs" dxfId="10306" priority="1239" operator="equal">
      <formula>$O$14</formula>
    </cfRule>
  </conditionalFormatting>
  <conditionalFormatting sqref="L17">
    <cfRule type="cellIs" dxfId="10305" priority="1238" operator="equal">
      <formula>$O$15</formula>
    </cfRule>
  </conditionalFormatting>
  <conditionalFormatting sqref="L17">
    <cfRule type="cellIs" dxfId="10304" priority="1237" operator="equal">
      <formula>$O$16</formula>
    </cfRule>
  </conditionalFormatting>
  <conditionalFormatting sqref="L17">
    <cfRule type="cellIs" dxfId="10303" priority="1236" operator="equal">
      <formula>$O$17</formula>
    </cfRule>
  </conditionalFormatting>
  <conditionalFormatting sqref="L17">
    <cfRule type="cellIs" dxfId="10302" priority="1235" operator="equal">
      <formula>$O$18</formula>
    </cfRule>
  </conditionalFormatting>
  <conditionalFormatting sqref="L17">
    <cfRule type="duplicateValues" dxfId="10301" priority="1234"/>
  </conditionalFormatting>
  <conditionalFormatting sqref="L17">
    <cfRule type="duplicateValues" dxfId="10300" priority="1233"/>
  </conditionalFormatting>
  <conditionalFormatting sqref="L17">
    <cfRule type="cellIs" dxfId="10299" priority="1227" operator="equal">
      <formula>$O$11</formula>
    </cfRule>
    <cfRule type="cellIs" dxfId="10298" priority="1228" operator="equal">
      <formula>$O$9</formula>
    </cfRule>
    <cfRule type="cellIs" dxfId="10297" priority="1229" operator="equal">
      <formula>$O$8</formula>
    </cfRule>
    <cfRule type="cellIs" dxfId="10296" priority="1230" operator="equal">
      <formula>$O$7</formula>
    </cfRule>
    <cfRule type="cellIs" dxfId="10295" priority="1231" operator="equal">
      <formula>$O$6</formula>
    </cfRule>
    <cfRule type="cellIs" dxfId="10294" priority="1232" operator="equal">
      <formula>$O$5</formula>
    </cfRule>
  </conditionalFormatting>
  <conditionalFormatting sqref="L17">
    <cfRule type="cellIs" dxfId="10293" priority="1221" operator="equal">
      <formula>$O$16</formula>
    </cfRule>
    <cfRule type="cellIs" dxfId="10292" priority="1222" operator="equal">
      <formula>$O$15</formula>
    </cfRule>
    <cfRule type="cellIs" dxfId="10291" priority="1223" operator="equal">
      <formula>$O$14</formula>
    </cfRule>
    <cfRule type="cellIs" dxfId="10290" priority="1224" operator="equal">
      <formula>$O$13</formula>
    </cfRule>
    <cfRule type="cellIs" dxfId="10289" priority="1225" operator="equal">
      <formula>$O$12</formula>
    </cfRule>
    <cfRule type="cellIs" dxfId="10288" priority="1226" operator="equal">
      <formula>$O$11</formula>
    </cfRule>
  </conditionalFormatting>
  <conditionalFormatting sqref="L17">
    <cfRule type="cellIs" dxfId="10287" priority="1218" operator="equal">
      <formula>$O$10</formula>
    </cfRule>
    <cfRule type="cellIs" dxfId="10286" priority="1219" operator="equal">
      <formula>$O$18</formula>
    </cfRule>
    <cfRule type="cellIs" dxfId="10285" priority="1220" operator="equal">
      <formula>$O$17</formula>
    </cfRule>
  </conditionalFormatting>
  <conditionalFormatting sqref="L17">
    <cfRule type="cellIs" dxfId="10284" priority="1209" operator="equal">
      <formula>$O$13</formula>
    </cfRule>
    <cfRule type="cellIs" dxfId="10283" priority="1210" operator="equal">
      <formula>$O$12</formula>
    </cfRule>
    <cfRule type="cellIs" dxfId="10282" priority="1211" operator="equal">
      <formula>$O$11</formula>
    </cfRule>
    <cfRule type="cellIs" dxfId="10281" priority="1212" operator="equal">
      <formula>$O$10</formula>
    </cfRule>
    <cfRule type="cellIs" dxfId="10280" priority="1213" operator="equal">
      <formula>$O$9</formula>
    </cfRule>
    <cfRule type="cellIs" dxfId="10279" priority="1214" operator="equal">
      <formula>$O$8</formula>
    </cfRule>
    <cfRule type="cellIs" dxfId="10278" priority="1215" operator="equal">
      <formula>$O$7</formula>
    </cfRule>
    <cfRule type="cellIs" dxfId="10277" priority="1216" operator="equal">
      <formula>$O$6</formula>
    </cfRule>
    <cfRule type="cellIs" dxfId="10276" priority="1217" operator="equal">
      <formula>$O$5</formula>
    </cfRule>
  </conditionalFormatting>
  <conditionalFormatting sqref="L17">
    <cfRule type="duplicateValues" dxfId="10275" priority="1208"/>
  </conditionalFormatting>
  <conditionalFormatting sqref="L17">
    <cfRule type="cellIs" dxfId="10274" priority="1207" operator="equal">
      <formula>0</formula>
    </cfRule>
  </conditionalFormatting>
  <conditionalFormatting sqref="L17">
    <cfRule type="duplicateValues" dxfId="10273" priority="1206"/>
  </conditionalFormatting>
  <conditionalFormatting sqref="N17">
    <cfRule type="cellIs" dxfId="10272" priority="1195" operator="equal">
      <formula>$O$13</formula>
    </cfRule>
    <cfRule type="cellIs" dxfId="10271" priority="1196" operator="equal">
      <formula>$O$12</formula>
    </cfRule>
    <cfRule type="cellIs" dxfId="10270" priority="1197" operator="equal">
      <formula>$O$11</formula>
    </cfRule>
    <cfRule type="cellIs" dxfId="10269" priority="1198" operator="equal">
      <formula>$O$11</formula>
    </cfRule>
    <cfRule type="cellIs" dxfId="10268" priority="1199" operator="equal">
      <formula>$O$10</formula>
    </cfRule>
    <cfRule type="cellIs" dxfId="10267" priority="1200" operator="equal">
      <formula>$O$9</formula>
    </cfRule>
    <cfRule type="cellIs" dxfId="10266" priority="1201" operator="equal">
      <formula>$O$9</formula>
    </cfRule>
    <cfRule type="cellIs" dxfId="10265" priority="1202" operator="equal">
      <formula>$O$8</formula>
    </cfRule>
    <cfRule type="cellIs" dxfId="10264" priority="1203" operator="equal">
      <formula>$O$7</formula>
    </cfRule>
    <cfRule type="cellIs" dxfId="10263" priority="1204" operator="equal">
      <formula>$O$6</formula>
    </cfRule>
    <cfRule type="cellIs" dxfId="10262" priority="1205" operator="equal">
      <formula>$O$5</formula>
    </cfRule>
  </conditionalFormatting>
  <conditionalFormatting sqref="N17">
    <cfRule type="cellIs" dxfId="10261" priority="1191" operator="equal">
      <formula>$O$17</formula>
    </cfRule>
    <cfRule type="cellIs" dxfId="10260" priority="1192" operator="equal">
      <formula>$O$16</formula>
    </cfRule>
    <cfRule type="cellIs" dxfId="10259" priority="1193" operator="equal">
      <formula>$O$15</formula>
    </cfRule>
    <cfRule type="cellIs" dxfId="10258" priority="1194" operator="equal">
      <formula>$O$14</formula>
    </cfRule>
  </conditionalFormatting>
  <conditionalFormatting sqref="N17">
    <cfRule type="cellIs" dxfId="10257" priority="1190" operator="equal">
      <formula>$O$10</formula>
    </cfRule>
  </conditionalFormatting>
  <conditionalFormatting sqref="N17">
    <cfRule type="cellIs" dxfId="10256" priority="1189" operator="equal">
      <formula>$O$18</formula>
    </cfRule>
  </conditionalFormatting>
  <conditionalFormatting sqref="N17">
    <cfRule type="duplicateValues" dxfId="10255" priority="1188"/>
  </conditionalFormatting>
  <conditionalFormatting sqref="N17">
    <cfRule type="duplicateValues" dxfId="10254" priority="1187"/>
  </conditionalFormatting>
  <conditionalFormatting sqref="N17">
    <cfRule type="cellIs" dxfId="10253" priority="1186" operator="equal">
      <formula>$O$5</formula>
    </cfRule>
  </conditionalFormatting>
  <conditionalFormatting sqref="N17">
    <cfRule type="cellIs" dxfId="10252" priority="1185" operator="equal">
      <formula>$O$6</formula>
    </cfRule>
  </conditionalFormatting>
  <conditionalFormatting sqref="N17">
    <cfRule type="cellIs" dxfId="10251" priority="1184" operator="equal">
      <formula>$O$7</formula>
    </cfRule>
  </conditionalFormatting>
  <conditionalFormatting sqref="N17">
    <cfRule type="cellIs" dxfId="10250" priority="1183" operator="equal">
      <formula>$O$8</formula>
    </cfRule>
  </conditionalFormatting>
  <conditionalFormatting sqref="N17">
    <cfRule type="cellIs" dxfId="10249" priority="1182" operator="equal">
      <formula>$O$9</formula>
    </cfRule>
  </conditionalFormatting>
  <conditionalFormatting sqref="N17">
    <cfRule type="cellIs" dxfId="10248" priority="1181" operator="equal">
      <formula>$O$10</formula>
    </cfRule>
  </conditionalFormatting>
  <conditionalFormatting sqref="N17">
    <cfRule type="cellIs" dxfId="10247" priority="1180" operator="equal">
      <formula>$O$11</formula>
    </cfRule>
  </conditionalFormatting>
  <conditionalFormatting sqref="N17">
    <cfRule type="cellIs" dxfId="10246" priority="1179" operator="equal">
      <formula>$O$11</formula>
    </cfRule>
  </conditionalFormatting>
  <conditionalFormatting sqref="N17">
    <cfRule type="cellIs" dxfId="10245" priority="1178" operator="equal">
      <formula>$O$12</formula>
    </cfRule>
  </conditionalFormatting>
  <conditionalFormatting sqref="N17">
    <cfRule type="cellIs" dxfId="10244" priority="1177" operator="equal">
      <formula>$O$13</formula>
    </cfRule>
  </conditionalFormatting>
  <conditionalFormatting sqref="N17">
    <cfRule type="cellIs" dxfId="10243" priority="1176" operator="equal">
      <formula>$O$14</formula>
    </cfRule>
  </conditionalFormatting>
  <conditionalFormatting sqref="N17">
    <cfRule type="cellIs" dxfId="10242" priority="1175" operator="equal">
      <formula>$O$14</formula>
    </cfRule>
  </conditionalFormatting>
  <conditionalFormatting sqref="N17">
    <cfRule type="cellIs" dxfId="10241" priority="1174" operator="equal">
      <formula>$O$15</formula>
    </cfRule>
  </conditionalFormatting>
  <conditionalFormatting sqref="N17">
    <cfRule type="cellIs" dxfId="10240" priority="1173" operator="equal">
      <formula>$O$16</formula>
    </cfRule>
  </conditionalFormatting>
  <conditionalFormatting sqref="N17">
    <cfRule type="cellIs" dxfId="10239" priority="1172" operator="equal">
      <formula>$O$17</formula>
    </cfRule>
  </conditionalFormatting>
  <conditionalFormatting sqref="N17">
    <cfRule type="cellIs" dxfId="10238" priority="1171" operator="equal">
      <formula>$O$18</formula>
    </cfRule>
  </conditionalFormatting>
  <conditionalFormatting sqref="N17">
    <cfRule type="duplicateValues" dxfId="10237" priority="1170"/>
  </conditionalFormatting>
  <conditionalFormatting sqref="N17">
    <cfRule type="duplicateValues" dxfId="10236" priority="1169"/>
  </conditionalFormatting>
  <conditionalFormatting sqref="N17">
    <cfRule type="cellIs" dxfId="10235" priority="1163" operator="equal">
      <formula>$O$11</formula>
    </cfRule>
    <cfRule type="cellIs" dxfId="10234" priority="1164" operator="equal">
      <formula>$O$9</formula>
    </cfRule>
    <cfRule type="cellIs" dxfId="10233" priority="1165" operator="equal">
      <formula>$O$8</formula>
    </cfRule>
    <cfRule type="cellIs" dxfId="10232" priority="1166" operator="equal">
      <formula>$O$7</formula>
    </cfRule>
    <cfRule type="cellIs" dxfId="10231" priority="1167" operator="equal">
      <formula>$O$6</formula>
    </cfRule>
    <cfRule type="cellIs" dxfId="10230" priority="1168" operator="equal">
      <formula>$O$5</formula>
    </cfRule>
  </conditionalFormatting>
  <conditionalFormatting sqref="N17">
    <cfRule type="cellIs" dxfId="10229" priority="1157" operator="equal">
      <formula>$O$16</formula>
    </cfRule>
    <cfRule type="cellIs" dxfId="10228" priority="1158" operator="equal">
      <formula>$O$15</formula>
    </cfRule>
    <cfRule type="cellIs" dxfId="10227" priority="1159" operator="equal">
      <formula>$O$14</formula>
    </cfRule>
    <cfRule type="cellIs" dxfId="10226" priority="1160" operator="equal">
      <formula>$O$13</formula>
    </cfRule>
    <cfRule type="cellIs" dxfId="10225" priority="1161" operator="equal">
      <formula>$O$12</formula>
    </cfRule>
    <cfRule type="cellIs" dxfId="10224" priority="1162" operator="equal">
      <formula>$O$11</formula>
    </cfRule>
  </conditionalFormatting>
  <conditionalFormatting sqref="N17">
    <cfRule type="cellIs" dxfId="10223" priority="1154" operator="equal">
      <formula>$O$10</formula>
    </cfRule>
    <cfRule type="cellIs" dxfId="10222" priority="1155" operator="equal">
      <formula>$O$18</formula>
    </cfRule>
    <cfRule type="cellIs" dxfId="10221" priority="1156" operator="equal">
      <formula>$O$17</formula>
    </cfRule>
  </conditionalFormatting>
  <conditionalFormatting sqref="N17">
    <cfRule type="cellIs" dxfId="10220" priority="1145" operator="equal">
      <formula>$O$13</formula>
    </cfRule>
    <cfRule type="cellIs" dxfId="10219" priority="1146" operator="equal">
      <formula>$O$12</formula>
    </cfRule>
    <cfRule type="cellIs" dxfId="10218" priority="1147" operator="equal">
      <formula>$O$11</formula>
    </cfRule>
    <cfRule type="cellIs" dxfId="10217" priority="1148" operator="equal">
      <formula>$O$10</formula>
    </cfRule>
    <cfRule type="cellIs" dxfId="10216" priority="1149" operator="equal">
      <formula>$O$9</formula>
    </cfRule>
    <cfRule type="cellIs" dxfId="10215" priority="1150" operator="equal">
      <formula>$O$8</formula>
    </cfRule>
    <cfRule type="cellIs" dxfId="10214" priority="1151" operator="equal">
      <formula>$O$7</formula>
    </cfRule>
    <cfRule type="cellIs" dxfId="10213" priority="1152" operator="equal">
      <formula>$O$6</formula>
    </cfRule>
    <cfRule type="cellIs" dxfId="10212" priority="1153" operator="equal">
      <formula>$O$5</formula>
    </cfRule>
  </conditionalFormatting>
  <conditionalFormatting sqref="N17">
    <cfRule type="duplicateValues" dxfId="10211" priority="1144"/>
  </conditionalFormatting>
  <conditionalFormatting sqref="N17">
    <cfRule type="cellIs" dxfId="10210" priority="1143" operator="equal">
      <formula>0</formula>
    </cfRule>
  </conditionalFormatting>
  <conditionalFormatting sqref="N17">
    <cfRule type="duplicateValues" dxfId="10209" priority="1142"/>
  </conditionalFormatting>
  <conditionalFormatting sqref="H17">
    <cfRule type="cellIs" dxfId="10208" priority="1131" operator="equal">
      <formula>$O$13</formula>
    </cfRule>
    <cfRule type="cellIs" dxfId="10207" priority="1132" operator="equal">
      <formula>$O$12</formula>
    </cfRule>
    <cfRule type="cellIs" dxfId="10206" priority="1133" operator="equal">
      <formula>$O$11</formula>
    </cfRule>
    <cfRule type="cellIs" dxfId="10205" priority="1134" operator="equal">
      <formula>$O$11</formula>
    </cfRule>
    <cfRule type="cellIs" dxfId="10204" priority="1135" operator="equal">
      <formula>$O$10</formula>
    </cfRule>
    <cfRule type="cellIs" dxfId="10203" priority="1136" operator="equal">
      <formula>$O$9</formula>
    </cfRule>
    <cfRule type="cellIs" dxfId="10202" priority="1137" operator="equal">
      <formula>$O$9</formula>
    </cfRule>
    <cfRule type="cellIs" dxfId="10201" priority="1138" operator="equal">
      <formula>$O$8</formula>
    </cfRule>
    <cfRule type="cellIs" dxfId="10200" priority="1139" operator="equal">
      <formula>$O$7</formula>
    </cfRule>
    <cfRule type="cellIs" dxfId="10199" priority="1140" operator="equal">
      <formula>$O$6</formula>
    </cfRule>
    <cfRule type="cellIs" dxfId="10198" priority="1141" operator="equal">
      <formula>$O$5</formula>
    </cfRule>
  </conditionalFormatting>
  <conditionalFormatting sqref="H17">
    <cfRule type="cellIs" dxfId="10197" priority="1127" operator="equal">
      <formula>$O$17</formula>
    </cfRule>
    <cfRule type="cellIs" dxfId="10196" priority="1128" operator="equal">
      <formula>$O$16</formula>
    </cfRule>
    <cfRule type="cellIs" dxfId="10195" priority="1129" operator="equal">
      <formula>$O$15</formula>
    </cfRule>
    <cfRule type="cellIs" dxfId="10194" priority="1130" operator="equal">
      <formula>$O$14</formula>
    </cfRule>
  </conditionalFormatting>
  <conditionalFormatting sqref="H17">
    <cfRule type="cellIs" dxfId="10193" priority="1126" operator="equal">
      <formula>$O$10</formula>
    </cfRule>
  </conditionalFormatting>
  <conditionalFormatting sqref="H17">
    <cfRule type="cellIs" dxfId="10192" priority="1125" operator="equal">
      <formula>$O$18</formula>
    </cfRule>
  </conditionalFormatting>
  <conditionalFormatting sqref="H17">
    <cfRule type="duplicateValues" dxfId="10191" priority="1124"/>
  </conditionalFormatting>
  <conditionalFormatting sqref="H17">
    <cfRule type="duplicateValues" dxfId="10190" priority="1123"/>
  </conditionalFormatting>
  <conditionalFormatting sqref="H17">
    <cfRule type="cellIs" dxfId="10189" priority="1122" operator="equal">
      <formula>$O$5</formula>
    </cfRule>
  </conditionalFormatting>
  <conditionalFormatting sqref="H17">
    <cfRule type="cellIs" dxfId="10188" priority="1121" operator="equal">
      <formula>$O$6</formula>
    </cfRule>
  </conditionalFormatting>
  <conditionalFormatting sqref="H17">
    <cfRule type="cellIs" dxfId="10187" priority="1120" operator="equal">
      <formula>$O$7</formula>
    </cfRule>
  </conditionalFormatting>
  <conditionalFormatting sqref="H17">
    <cfRule type="cellIs" dxfId="10186" priority="1119" operator="equal">
      <formula>$O$8</formula>
    </cfRule>
  </conditionalFormatting>
  <conditionalFormatting sqref="H17">
    <cfRule type="cellIs" dxfId="10185" priority="1118" operator="equal">
      <formula>$O$9</formula>
    </cfRule>
  </conditionalFormatting>
  <conditionalFormatting sqref="H17">
    <cfRule type="cellIs" dxfId="10184" priority="1117" operator="equal">
      <formula>$O$10</formula>
    </cfRule>
  </conditionalFormatting>
  <conditionalFormatting sqref="H17">
    <cfRule type="cellIs" dxfId="10183" priority="1116" operator="equal">
      <formula>$O$11</formula>
    </cfRule>
  </conditionalFormatting>
  <conditionalFormatting sqref="H17">
    <cfRule type="cellIs" dxfId="10182" priority="1115" operator="equal">
      <formula>$O$11</formula>
    </cfRule>
  </conditionalFormatting>
  <conditionalFormatting sqref="H17">
    <cfRule type="cellIs" dxfId="10181" priority="1114" operator="equal">
      <formula>$O$12</formula>
    </cfRule>
  </conditionalFormatting>
  <conditionalFormatting sqref="H17">
    <cfRule type="cellIs" dxfId="10180" priority="1113" operator="equal">
      <formula>$O$13</formula>
    </cfRule>
  </conditionalFormatting>
  <conditionalFormatting sqref="H17">
    <cfRule type="cellIs" dxfId="10179" priority="1112" operator="equal">
      <formula>$O$14</formula>
    </cfRule>
  </conditionalFormatting>
  <conditionalFormatting sqref="H17">
    <cfRule type="cellIs" dxfId="10178" priority="1111" operator="equal">
      <formula>$O$14</formula>
    </cfRule>
  </conditionalFormatting>
  <conditionalFormatting sqref="H17">
    <cfRule type="cellIs" dxfId="10177" priority="1110" operator="equal">
      <formula>$O$15</formula>
    </cfRule>
  </conditionalFormatting>
  <conditionalFormatting sqref="H17">
    <cfRule type="cellIs" dxfId="10176" priority="1109" operator="equal">
      <formula>$O$16</formula>
    </cfRule>
  </conditionalFormatting>
  <conditionalFormatting sqref="H17">
    <cfRule type="cellIs" dxfId="10175" priority="1108" operator="equal">
      <formula>$O$17</formula>
    </cfRule>
  </conditionalFormatting>
  <conditionalFormatting sqref="H17">
    <cfRule type="cellIs" dxfId="10174" priority="1107" operator="equal">
      <formula>$O$18</formula>
    </cfRule>
  </conditionalFormatting>
  <conditionalFormatting sqref="H17">
    <cfRule type="duplicateValues" dxfId="10173" priority="1106"/>
  </conditionalFormatting>
  <conditionalFormatting sqref="H17">
    <cfRule type="duplicateValues" dxfId="10172" priority="1105"/>
  </conditionalFormatting>
  <conditionalFormatting sqref="H17">
    <cfRule type="cellIs" dxfId="10171" priority="1099" operator="equal">
      <formula>$O$11</formula>
    </cfRule>
    <cfRule type="cellIs" dxfId="10170" priority="1100" operator="equal">
      <formula>$O$9</formula>
    </cfRule>
    <cfRule type="cellIs" dxfId="10169" priority="1101" operator="equal">
      <formula>$O$8</formula>
    </cfRule>
    <cfRule type="cellIs" dxfId="10168" priority="1102" operator="equal">
      <formula>$O$7</formula>
    </cfRule>
    <cfRule type="cellIs" dxfId="10167" priority="1103" operator="equal">
      <formula>$O$6</formula>
    </cfRule>
    <cfRule type="cellIs" dxfId="10166" priority="1104" operator="equal">
      <formula>$O$5</formula>
    </cfRule>
  </conditionalFormatting>
  <conditionalFormatting sqref="H17">
    <cfRule type="cellIs" dxfId="10165" priority="1093" operator="equal">
      <formula>$O$16</formula>
    </cfRule>
    <cfRule type="cellIs" dxfId="10164" priority="1094" operator="equal">
      <formula>$O$15</formula>
    </cfRule>
    <cfRule type="cellIs" dxfId="10163" priority="1095" operator="equal">
      <formula>$O$14</formula>
    </cfRule>
    <cfRule type="cellIs" dxfId="10162" priority="1096" operator="equal">
      <formula>$O$13</formula>
    </cfRule>
    <cfRule type="cellIs" dxfId="10161" priority="1097" operator="equal">
      <formula>$O$12</formula>
    </cfRule>
    <cfRule type="cellIs" dxfId="10160" priority="1098" operator="equal">
      <formula>$O$11</formula>
    </cfRule>
  </conditionalFormatting>
  <conditionalFormatting sqref="H17">
    <cfRule type="cellIs" dxfId="10159" priority="1090" operator="equal">
      <formula>$O$10</formula>
    </cfRule>
    <cfRule type="cellIs" dxfId="10158" priority="1091" operator="equal">
      <formula>$O$18</formula>
    </cfRule>
    <cfRule type="cellIs" dxfId="10157" priority="1092" operator="equal">
      <formula>$O$17</formula>
    </cfRule>
  </conditionalFormatting>
  <conditionalFormatting sqref="H17">
    <cfRule type="cellIs" dxfId="10156" priority="1081" operator="equal">
      <formula>$O$13</formula>
    </cfRule>
    <cfRule type="cellIs" dxfId="10155" priority="1082" operator="equal">
      <formula>$O$12</formula>
    </cfRule>
    <cfRule type="cellIs" dxfId="10154" priority="1083" operator="equal">
      <formula>$O$11</formula>
    </cfRule>
    <cfRule type="cellIs" dxfId="10153" priority="1084" operator="equal">
      <formula>$O$10</formula>
    </cfRule>
    <cfRule type="cellIs" dxfId="10152" priority="1085" operator="equal">
      <formula>$O$9</formula>
    </cfRule>
    <cfRule type="cellIs" dxfId="10151" priority="1086" operator="equal">
      <formula>$O$8</formula>
    </cfRule>
    <cfRule type="cellIs" dxfId="10150" priority="1087" operator="equal">
      <formula>$O$7</formula>
    </cfRule>
    <cfRule type="cellIs" dxfId="10149" priority="1088" operator="equal">
      <formula>$O$6</formula>
    </cfRule>
    <cfRule type="cellIs" dxfId="10148" priority="1089" operator="equal">
      <formula>$O$5</formula>
    </cfRule>
  </conditionalFormatting>
  <conditionalFormatting sqref="H17">
    <cfRule type="duplicateValues" dxfId="10147" priority="1080"/>
  </conditionalFormatting>
  <conditionalFormatting sqref="H17">
    <cfRule type="cellIs" dxfId="10146" priority="1079" operator="equal">
      <formula>0</formula>
    </cfRule>
  </conditionalFormatting>
  <conditionalFormatting sqref="H17">
    <cfRule type="duplicateValues" dxfId="10145" priority="1078"/>
  </conditionalFormatting>
  <conditionalFormatting sqref="L17">
    <cfRule type="cellIs" dxfId="10144" priority="1067" operator="equal">
      <formula>$O$13</formula>
    </cfRule>
    <cfRule type="cellIs" dxfId="10143" priority="1068" operator="equal">
      <formula>$O$12</formula>
    </cfRule>
    <cfRule type="cellIs" dxfId="10142" priority="1069" operator="equal">
      <formula>$O$11</formula>
    </cfRule>
    <cfRule type="cellIs" dxfId="10141" priority="1070" operator="equal">
      <formula>$O$11</formula>
    </cfRule>
    <cfRule type="cellIs" dxfId="10140" priority="1071" operator="equal">
      <formula>$O$10</formula>
    </cfRule>
    <cfRule type="cellIs" dxfId="10139" priority="1072" operator="equal">
      <formula>$O$9</formula>
    </cfRule>
    <cfRule type="cellIs" dxfId="10138" priority="1073" operator="equal">
      <formula>$O$9</formula>
    </cfRule>
    <cfRule type="cellIs" dxfId="10137" priority="1074" operator="equal">
      <formula>$O$8</formula>
    </cfRule>
    <cfRule type="cellIs" dxfId="10136" priority="1075" operator="equal">
      <formula>$O$7</formula>
    </cfRule>
    <cfRule type="cellIs" dxfId="10135" priority="1076" operator="equal">
      <formula>$O$6</formula>
    </cfRule>
    <cfRule type="cellIs" dxfId="10134" priority="1077" operator="equal">
      <formula>$O$5</formula>
    </cfRule>
  </conditionalFormatting>
  <conditionalFormatting sqref="L17">
    <cfRule type="cellIs" dxfId="10133" priority="1063" operator="equal">
      <formula>$O$17</formula>
    </cfRule>
    <cfRule type="cellIs" dxfId="10132" priority="1064" operator="equal">
      <formula>$O$16</formula>
    </cfRule>
    <cfRule type="cellIs" dxfId="10131" priority="1065" operator="equal">
      <formula>$O$15</formula>
    </cfRule>
    <cfRule type="cellIs" dxfId="10130" priority="1066" operator="equal">
      <formula>$O$14</formula>
    </cfRule>
  </conditionalFormatting>
  <conditionalFormatting sqref="L17">
    <cfRule type="cellIs" dxfId="10129" priority="1062" operator="equal">
      <formula>$O$10</formula>
    </cfRule>
  </conditionalFormatting>
  <conditionalFormatting sqref="L17">
    <cfRule type="cellIs" dxfId="10128" priority="1061" operator="equal">
      <formula>$O$18</formula>
    </cfRule>
  </conditionalFormatting>
  <conditionalFormatting sqref="L17">
    <cfRule type="duplicateValues" dxfId="10127" priority="1060"/>
  </conditionalFormatting>
  <conditionalFormatting sqref="L17">
    <cfRule type="duplicateValues" dxfId="10126" priority="1059"/>
  </conditionalFormatting>
  <conditionalFormatting sqref="L17">
    <cfRule type="cellIs" dxfId="10125" priority="1058" operator="equal">
      <formula>$O$5</formula>
    </cfRule>
  </conditionalFormatting>
  <conditionalFormatting sqref="L17">
    <cfRule type="cellIs" dxfId="10124" priority="1057" operator="equal">
      <formula>$O$6</formula>
    </cfRule>
  </conditionalFormatting>
  <conditionalFormatting sqref="L17">
    <cfRule type="cellIs" dxfId="10123" priority="1056" operator="equal">
      <formula>$O$7</formula>
    </cfRule>
  </conditionalFormatting>
  <conditionalFormatting sqref="L17">
    <cfRule type="cellIs" dxfId="10122" priority="1055" operator="equal">
      <formula>$O$8</formula>
    </cfRule>
  </conditionalFormatting>
  <conditionalFormatting sqref="L17">
    <cfRule type="cellIs" dxfId="10121" priority="1054" operator="equal">
      <formula>$O$9</formula>
    </cfRule>
  </conditionalFormatting>
  <conditionalFormatting sqref="L17">
    <cfRule type="cellIs" dxfId="10120" priority="1053" operator="equal">
      <formula>$O$10</formula>
    </cfRule>
  </conditionalFormatting>
  <conditionalFormatting sqref="L17">
    <cfRule type="cellIs" dxfId="10119" priority="1052" operator="equal">
      <formula>$O$11</formula>
    </cfRule>
  </conditionalFormatting>
  <conditionalFormatting sqref="L17">
    <cfRule type="cellIs" dxfId="10118" priority="1051" operator="equal">
      <formula>$O$11</formula>
    </cfRule>
  </conditionalFormatting>
  <conditionalFormatting sqref="L17">
    <cfRule type="cellIs" dxfId="10117" priority="1050" operator="equal">
      <formula>$O$12</formula>
    </cfRule>
  </conditionalFormatting>
  <conditionalFormatting sqref="L17">
    <cfRule type="cellIs" dxfId="10116" priority="1049" operator="equal">
      <formula>$O$13</formula>
    </cfRule>
  </conditionalFormatting>
  <conditionalFormatting sqref="L17">
    <cfRule type="cellIs" dxfId="10115" priority="1048" operator="equal">
      <formula>$O$14</formula>
    </cfRule>
  </conditionalFormatting>
  <conditionalFormatting sqref="L17">
    <cfRule type="cellIs" dxfId="10114" priority="1047" operator="equal">
      <formula>$O$14</formula>
    </cfRule>
  </conditionalFormatting>
  <conditionalFormatting sqref="L17">
    <cfRule type="cellIs" dxfId="10113" priority="1046" operator="equal">
      <formula>$O$15</formula>
    </cfRule>
  </conditionalFormatting>
  <conditionalFormatting sqref="L17">
    <cfRule type="cellIs" dxfId="10112" priority="1045" operator="equal">
      <formula>$O$16</formula>
    </cfRule>
  </conditionalFormatting>
  <conditionalFormatting sqref="L17">
    <cfRule type="cellIs" dxfId="10111" priority="1044" operator="equal">
      <formula>$O$17</formula>
    </cfRule>
  </conditionalFormatting>
  <conditionalFormatting sqref="L17">
    <cfRule type="cellIs" dxfId="10110" priority="1043" operator="equal">
      <formula>$O$18</formula>
    </cfRule>
  </conditionalFormatting>
  <conditionalFormatting sqref="L17">
    <cfRule type="duplicateValues" dxfId="10109" priority="1042"/>
  </conditionalFormatting>
  <conditionalFormatting sqref="L17">
    <cfRule type="duplicateValues" dxfId="10108" priority="1041"/>
  </conditionalFormatting>
  <conditionalFormatting sqref="L17">
    <cfRule type="cellIs" dxfId="10107" priority="1035" operator="equal">
      <formula>$O$11</formula>
    </cfRule>
    <cfRule type="cellIs" dxfId="10106" priority="1036" operator="equal">
      <formula>$O$9</formula>
    </cfRule>
    <cfRule type="cellIs" dxfId="10105" priority="1037" operator="equal">
      <formula>$O$8</formula>
    </cfRule>
    <cfRule type="cellIs" dxfId="10104" priority="1038" operator="equal">
      <formula>$O$7</formula>
    </cfRule>
    <cfRule type="cellIs" dxfId="10103" priority="1039" operator="equal">
      <formula>$O$6</formula>
    </cfRule>
    <cfRule type="cellIs" dxfId="10102" priority="1040" operator="equal">
      <formula>$O$5</formula>
    </cfRule>
  </conditionalFormatting>
  <conditionalFormatting sqref="L17">
    <cfRule type="cellIs" dxfId="10101" priority="1029" operator="equal">
      <formula>$O$16</formula>
    </cfRule>
    <cfRule type="cellIs" dxfId="10100" priority="1030" operator="equal">
      <formula>$O$15</formula>
    </cfRule>
    <cfRule type="cellIs" dxfId="10099" priority="1031" operator="equal">
      <formula>$O$14</formula>
    </cfRule>
    <cfRule type="cellIs" dxfId="10098" priority="1032" operator="equal">
      <formula>$O$13</formula>
    </cfRule>
    <cfRule type="cellIs" dxfId="10097" priority="1033" operator="equal">
      <formula>$O$12</formula>
    </cfRule>
    <cfRule type="cellIs" dxfId="10096" priority="1034" operator="equal">
      <formula>$O$11</formula>
    </cfRule>
  </conditionalFormatting>
  <conditionalFormatting sqref="L17">
    <cfRule type="cellIs" dxfId="10095" priority="1026" operator="equal">
      <formula>$O$10</formula>
    </cfRule>
    <cfRule type="cellIs" dxfId="10094" priority="1027" operator="equal">
      <formula>$O$18</formula>
    </cfRule>
    <cfRule type="cellIs" dxfId="10093" priority="1028" operator="equal">
      <formula>$O$17</formula>
    </cfRule>
  </conditionalFormatting>
  <conditionalFormatting sqref="L17">
    <cfRule type="cellIs" dxfId="10092" priority="1017" operator="equal">
      <formula>$O$13</formula>
    </cfRule>
    <cfRule type="cellIs" dxfId="10091" priority="1018" operator="equal">
      <formula>$O$12</formula>
    </cfRule>
    <cfRule type="cellIs" dxfId="10090" priority="1019" operator="equal">
      <formula>$O$11</formula>
    </cfRule>
    <cfRule type="cellIs" dxfId="10089" priority="1020" operator="equal">
      <formula>$O$10</formula>
    </cfRule>
    <cfRule type="cellIs" dxfId="10088" priority="1021" operator="equal">
      <formula>$O$9</formula>
    </cfRule>
    <cfRule type="cellIs" dxfId="10087" priority="1022" operator="equal">
      <formula>$O$8</formula>
    </cfRule>
    <cfRule type="cellIs" dxfId="10086" priority="1023" operator="equal">
      <formula>$O$7</formula>
    </cfRule>
    <cfRule type="cellIs" dxfId="10085" priority="1024" operator="equal">
      <formula>$O$6</formula>
    </cfRule>
    <cfRule type="cellIs" dxfId="10084" priority="1025" operator="equal">
      <formula>$O$5</formula>
    </cfRule>
  </conditionalFormatting>
  <conditionalFormatting sqref="L17">
    <cfRule type="duplicateValues" dxfId="10083" priority="1016"/>
  </conditionalFormatting>
  <conditionalFormatting sqref="L17">
    <cfRule type="cellIs" dxfId="10082" priority="1015" operator="equal">
      <formula>0</formula>
    </cfRule>
  </conditionalFormatting>
  <conditionalFormatting sqref="L17">
    <cfRule type="duplicateValues" dxfId="10081" priority="1014"/>
  </conditionalFormatting>
  <conditionalFormatting sqref="N17">
    <cfRule type="cellIs" dxfId="10080" priority="1003" operator="equal">
      <formula>$O$13</formula>
    </cfRule>
    <cfRule type="cellIs" dxfId="10079" priority="1004" operator="equal">
      <formula>$O$12</formula>
    </cfRule>
    <cfRule type="cellIs" dxfId="10078" priority="1005" operator="equal">
      <formula>$O$11</formula>
    </cfRule>
    <cfRule type="cellIs" dxfId="10077" priority="1006" operator="equal">
      <formula>$O$11</formula>
    </cfRule>
    <cfRule type="cellIs" dxfId="10076" priority="1007" operator="equal">
      <formula>$O$10</formula>
    </cfRule>
    <cfRule type="cellIs" dxfId="10075" priority="1008" operator="equal">
      <formula>$O$9</formula>
    </cfRule>
    <cfRule type="cellIs" dxfId="10074" priority="1009" operator="equal">
      <formula>$O$9</formula>
    </cfRule>
    <cfRule type="cellIs" dxfId="10073" priority="1010" operator="equal">
      <formula>$O$8</formula>
    </cfRule>
    <cfRule type="cellIs" dxfId="10072" priority="1011" operator="equal">
      <formula>$O$7</formula>
    </cfRule>
    <cfRule type="cellIs" dxfId="10071" priority="1012" operator="equal">
      <formula>$O$6</formula>
    </cfRule>
    <cfRule type="cellIs" dxfId="10070" priority="1013" operator="equal">
      <formula>$O$5</formula>
    </cfRule>
  </conditionalFormatting>
  <conditionalFormatting sqref="N17">
    <cfRule type="cellIs" dxfId="10069" priority="999" operator="equal">
      <formula>$O$17</formula>
    </cfRule>
    <cfRule type="cellIs" dxfId="10068" priority="1000" operator="equal">
      <formula>$O$16</formula>
    </cfRule>
    <cfRule type="cellIs" dxfId="10067" priority="1001" operator="equal">
      <formula>$O$15</formula>
    </cfRule>
    <cfRule type="cellIs" dxfId="10066" priority="1002" operator="equal">
      <formula>$O$14</formula>
    </cfRule>
  </conditionalFormatting>
  <conditionalFormatting sqref="N17">
    <cfRule type="cellIs" dxfId="10065" priority="998" operator="equal">
      <formula>$O$10</formula>
    </cfRule>
  </conditionalFormatting>
  <conditionalFormatting sqref="N17">
    <cfRule type="cellIs" dxfId="10064" priority="997" operator="equal">
      <formula>$O$18</formula>
    </cfRule>
  </conditionalFormatting>
  <conditionalFormatting sqref="N17">
    <cfRule type="duplicateValues" dxfId="10063" priority="996"/>
  </conditionalFormatting>
  <conditionalFormatting sqref="N17">
    <cfRule type="duplicateValues" dxfId="10062" priority="995"/>
  </conditionalFormatting>
  <conditionalFormatting sqref="N17">
    <cfRule type="cellIs" dxfId="10061" priority="994" operator="equal">
      <formula>$O$5</formula>
    </cfRule>
  </conditionalFormatting>
  <conditionalFormatting sqref="N17">
    <cfRule type="cellIs" dxfId="10060" priority="993" operator="equal">
      <formula>$O$6</formula>
    </cfRule>
  </conditionalFormatting>
  <conditionalFormatting sqref="N17">
    <cfRule type="cellIs" dxfId="10059" priority="992" operator="equal">
      <formula>$O$7</formula>
    </cfRule>
  </conditionalFormatting>
  <conditionalFormatting sqref="N17">
    <cfRule type="cellIs" dxfId="10058" priority="991" operator="equal">
      <formula>$O$8</formula>
    </cfRule>
  </conditionalFormatting>
  <conditionalFormatting sqref="N17">
    <cfRule type="cellIs" dxfId="10057" priority="990" operator="equal">
      <formula>$O$9</formula>
    </cfRule>
  </conditionalFormatting>
  <conditionalFormatting sqref="N17">
    <cfRule type="cellIs" dxfId="10056" priority="989" operator="equal">
      <formula>$O$10</formula>
    </cfRule>
  </conditionalFormatting>
  <conditionalFormatting sqref="N17">
    <cfRule type="cellIs" dxfId="10055" priority="988" operator="equal">
      <formula>$O$11</formula>
    </cfRule>
  </conditionalFormatting>
  <conditionalFormatting sqref="N17">
    <cfRule type="cellIs" dxfId="10054" priority="987" operator="equal">
      <formula>$O$11</formula>
    </cfRule>
  </conditionalFormatting>
  <conditionalFormatting sqref="N17">
    <cfRule type="cellIs" dxfId="10053" priority="986" operator="equal">
      <formula>$O$12</formula>
    </cfRule>
  </conditionalFormatting>
  <conditionalFormatting sqref="N17">
    <cfRule type="cellIs" dxfId="10052" priority="985" operator="equal">
      <formula>$O$13</formula>
    </cfRule>
  </conditionalFormatting>
  <conditionalFormatting sqref="N17">
    <cfRule type="cellIs" dxfId="10051" priority="984" operator="equal">
      <formula>$O$14</formula>
    </cfRule>
  </conditionalFormatting>
  <conditionalFormatting sqref="N17">
    <cfRule type="cellIs" dxfId="10050" priority="983" operator="equal">
      <formula>$O$14</formula>
    </cfRule>
  </conditionalFormatting>
  <conditionalFormatting sqref="N17">
    <cfRule type="cellIs" dxfId="10049" priority="982" operator="equal">
      <formula>$O$15</formula>
    </cfRule>
  </conditionalFormatting>
  <conditionalFormatting sqref="N17">
    <cfRule type="cellIs" dxfId="10048" priority="981" operator="equal">
      <formula>$O$16</formula>
    </cfRule>
  </conditionalFormatting>
  <conditionalFormatting sqref="N17">
    <cfRule type="cellIs" dxfId="10047" priority="980" operator="equal">
      <formula>$O$17</formula>
    </cfRule>
  </conditionalFormatting>
  <conditionalFormatting sqref="N17">
    <cfRule type="cellIs" dxfId="10046" priority="979" operator="equal">
      <formula>$O$18</formula>
    </cfRule>
  </conditionalFormatting>
  <conditionalFormatting sqref="N17">
    <cfRule type="duplicateValues" dxfId="10045" priority="978"/>
  </conditionalFormatting>
  <conditionalFormatting sqref="N17">
    <cfRule type="duplicateValues" dxfId="10044" priority="977"/>
  </conditionalFormatting>
  <conditionalFormatting sqref="N17">
    <cfRule type="cellIs" dxfId="10043" priority="971" operator="equal">
      <formula>$O$11</formula>
    </cfRule>
    <cfRule type="cellIs" dxfId="10042" priority="972" operator="equal">
      <formula>$O$9</formula>
    </cfRule>
    <cfRule type="cellIs" dxfId="10041" priority="973" operator="equal">
      <formula>$O$8</formula>
    </cfRule>
    <cfRule type="cellIs" dxfId="10040" priority="974" operator="equal">
      <formula>$O$7</formula>
    </cfRule>
    <cfRule type="cellIs" dxfId="10039" priority="975" operator="equal">
      <formula>$O$6</formula>
    </cfRule>
    <cfRule type="cellIs" dxfId="10038" priority="976" operator="equal">
      <formula>$O$5</formula>
    </cfRule>
  </conditionalFormatting>
  <conditionalFormatting sqref="N17">
    <cfRule type="cellIs" dxfId="10037" priority="965" operator="equal">
      <formula>$O$16</formula>
    </cfRule>
    <cfRule type="cellIs" dxfId="10036" priority="966" operator="equal">
      <formula>$O$15</formula>
    </cfRule>
    <cfRule type="cellIs" dxfId="10035" priority="967" operator="equal">
      <formula>$O$14</formula>
    </cfRule>
    <cfRule type="cellIs" dxfId="10034" priority="968" operator="equal">
      <formula>$O$13</formula>
    </cfRule>
    <cfRule type="cellIs" dxfId="10033" priority="969" operator="equal">
      <formula>$O$12</formula>
    </cfRule>
    <cfRule type="cellIs" dxfId="10032" priority="970" operator="equal">
      <formula>$O$11</formula>
    </cfRule>
  </conditionalFormatting>
  <conditionalFormatting sqref="N17">
    <cfRule type="cellIs" dxfId="10031" priority="962" operator="equal">
      <formula>$O$10</formula>
    </cfRule>
    <cfRule type="cellIs" dxfId="10030" priority="963" operator="equal">
      <formula>$O$18</formula>
    </cfRule>
    <cfRule type="cellIs" dxfId="10029" priority="964" operator="equal">
      <formula>$O$17</formula>
    </cfRule>
  </conditionalFormatting>
  <conditionalFormatting sqref="N17">
    <cfRule type="cellIs" dxfId="10028" priority="953" operator="equal">
      <formula>$O$13</formula>
    </cfRule>
    <cfRule type="cellIs" dxfId="10027" priority="954" operator="equal">
      <formula>$O$12</formula>
    </cfRule>
    <cfRule type="cellIs" dxfId="10026" priority="955" operator="equal">
      <formula>$O$11</formula>
    </cfRule>
    <cfRule type="cellIs" dxfId="10025" priority="956" operator="equal">
      <formula>$O$10</formula>
    </cfRule>
    <cfRule type="cellIs" dxfId="10024" priority="957" operator="equal">
      <formula>$O$9</formula>
    </cfRule>
    <cfRule type="cellIs" dxfId="10023" priority="958" operator="equal">
      <formula>$O$8</formula>
    </cfRule>
    <cfRule type="cellIs" dxfId="10022" priority="959" operator="equal">
      <formula>$O$7</formula>
    </cfRule>
    <cfRule type="cellIs" dxfId="10021" priority="960" operator="equal">
      <formula>$O$6</formula>
    </cfRule>
    <cfRule type="cellIs" dxfId="10020" priority="961" operator="equal">
      <formula>$O$5</formula>
    </cfRule>
  </conditionalFormatting>
  <conditionalFormatting sqref="N17">
    <cfRule type="duplicateValues" dxfId="10019" priority="952"/>
  </conditionalFormatting>
  <conditionalFormatting sqref="N17">
    <cfRule type="cellIs" dxfId="10018" priority="951" operator="equal">
      <formula>0</formula>
    </cfRule>
  </conditionalFormatting>
  <conditionalFormatting sqref="N17">
    <cfRule type="duplicateValues" dxfId="10017" priority="950"/>
  </conditionalFormatting>
  <conditionalFormatting sqref="F5:F16">
    <cfRule type="duplicateValues" dxfId="10016" priority="949"/>
  </conditionalFormatting>
  <conditionalFormatting sqref="N21:N36">
    <cfRule type="duplicateValues" dxfId="10015" priority="948"/>
  </conditionalFormatting>
  <conditionalFormatting sqref="H32">
    <cfRule type="duplicateValues" dxfId="10014" priority="946"/>
  </conditionalFormatting>
  <conditionalFormatting sqref="H32">
    <cfRule type="duplicateValues" dxfId="10013" priority="944"/>
  </conditionalFormatting>
  <conditionalFormatting sqref="H32">
    <cfRule type="duplicateValues" dxfId="10012" priority="947"/>
  </conditionalFormatting>
  <conditionalFormatting sqref="L32">
    <cfRule type="duplicateValues" dxfId="10011" priority="942"/>
  </conditionalFormatting>
  <conditionalFormatting sqref="L32">
    <cfRule type="duplicateValues" dxfId="10010" priority="941"/>
  </conditionalFormatting>
  <conditionalFormatting sqref="L32">
    <cfRule type="duplicateValues" dxfId="10009" priority="943"/>
  </conditionalFormatting>
  <conditionalFormatting sqref="N32">
    <cfRule type="duplicateValues" dxfId="10008" priority="939"/>
  </conditionalFormatting>
  <conditionalFormatting sqref="N32">
    <cfRule type="duplicateValues" dxfId="10007" priority="938"/>
  </conditionalFormatting>
  <conditionalFormatting sqref="N32">
    <cfRule type="duplicateValues" dxfId="10006" priority="940"/>
  </conditionalFormatting>
  <conditionalFormatting sqref="H27">
    <cfRule type="duplicateValues" dxfId="10005" priority="936"/>
  </conditionalFormatting>
  <conditionalFormatting sqref="H27">
    <cfRule type="duplicateValues" dxfId="10004" priority="934"/>
  </conditionalFormatting>
  <conditionalFormatting sqref="H27">
    <cfRule type="duplicateValues" dxfId="10003" priority="937"/>
  </conditionalFormatting>
  <conditionalFormatting sqref="L27">
    <cfRule type="duplicateValues" dxfId="10002" priority="932"/>
  </conditionalFormatting>
  <conditionalFormatting sqref="L27">
    <cfRule type="duplicateValues" dxfId="10001" priority="931"/>
  </conditionalFormatting>
  <conditionalFormatting sqref="L27">
    <cfRule type="duplicateValues" dxfId="10000" priority="933"/>
  </conditionalFormatting>
  <conditionalFormatting sqref="N27">
    <cfRule type="duplicateValues" dxfId="9999" priority="929"/>
  </conditionalFormatting>
  <conditionalFormatting sqref="N27">
    <cfRule type="duplicateValues" dxfId="9998" priority="928"/>
  </conditionalFormatting>
  <conditionalFormatting sqref="N27">
    <cfRule type="duplicateValues" dxfId="9997" priority="930"/>
  </conditionalFormatting>
  <conditionalFormatting sqref="F31">
    <cfRule type="duplicateValues" dxfId="9996" priority="925"/>
  </conditionalFormatting>
  <conditionalFormatting sqref="F31">
    <cfRule type="duplicateValues" dxfId="9995" priority="924"/>
  </conditionalFormatting>
  <conditionalFormatting sqref="F31">
    <cfRule type="duplicateValues" dxfId="9994" priority="922"/>
  </conditionalFormatting>
  <conditionalFormatting sqref="F31">
    <cfRule type="duplicateValues" dxfId="9993" priority="926"/>
  </conditionalFormatting>
  <conditionalFormatting sqref="F31">
    <cfRule type="duplicateValues" dxfId="9992" priority="921"/>
  </conditionalFormatting>
  <conditionalFormatting sqref="F31">
    <cfRule type="duplicateValues" dxfId="9991" priority="920"/>
  </conditionalFormatting>
  <conditionalFormatting sqref="F31">
    <cfRule type="duplicateValues" dxfId="9990" priority="919"/>
  </conditionalFormatting>
  <conditionalFormatting sqref="F31">
    <cfRule type="duplicateValues" dxfId="9989" priority="918"/>
  </conditionalFormatting>
  <conditionalFormatting sqref="H23">
    <cfRule type="duplicateValues" dxfId="9988" priority="916"/>
  </conditionalFormatting>
  <conditionalFormatting sqref="H23">
    <cfRule type="duplicateValues" dxfId="9987" priority="914"/>
    <cfRule type="duplicateValues" dxfId="9986" priority="915"/>
  </conditionalFormatting>
  <conditionalFormatting sqref="H23">
    <cfRule type="duplicateValues" dxfId="9985" priority="912"/>
  </conditionalFormatting>
  <conditionalFormatting sqref="H23">
    <cfRule type="duplicateValues" dxfId="9984" priority="917"/>
  </conditionalFormatting>
  <conditionalFormatting sqref="H23">
    <cfRule type="duplicateValues" dxfId="9983" priority="911"/>
  </conditionalFormatting>
  <conditionalFormatting sqref="N21">
    <cfRule type="duplicateValues" dxfId="9982" priority="909"/>
  </conditionalFormatting>
  <conditionalFormatting sqref="N21">
    <cfRule type="duplicateValues" dxfId="9981" priority="908"/>
  </conditionalFormatting>
  <conditionalFormatting sqref="N21">
    <cfRule type="duplicateValues" dxfId="9980" priority="907"/>
  </conditionalFormatting>
  <conditionalFormatting sqref="N21">
    <cfRule type="duplicateValues" dxfId="9979" priority="910"/>
  </conditionalFormatting>
  <conditionalFormatting sqref="N21">
    <cfRule type="duplicateValues" dxfId="9978" priority="905"/>
  </conditionalFormatting>
  <conditionalFormatting sqref="N21">
    <cfRule type="duplicateValues" dxfId="9977" priority="904"/>
  </conditionalFormatting>
  <conditionalFormatting sqref="N21">
    <cfRule type="duplicateValues" dxfId="9976" priority="903"/>
  </conditionalFormatting>
  <conditionalFormatting sqref="F31">
    <cfRule type="duplicateValues" dxfId="9975" priority="900"/>
  </conditionalFormatting>
  <conditionalFormatting sqref="F31">
    <cfRule type="duplicateValues" dxfId="9974" priority="899"/>
  </conditionalFormatting>
  <conditionalFormatting sqref="F31">
    <cfRule type="duplicateValues" dxfId="9973" priority="901"/>
  </conditionalFormatting>
  <conditionalFormatting sqref="F31">
    <cfRule type="duplicateValues" dxfId="9972" priority="897"/>
  </conditionalFormatting>
  <conditionalFormatting sqref="E34:F34">
    <cfRule type="duplicateValues" dxfId="9971" priority="886"/>
  </conditionalFormatting>
  <conditionalFormatting sqref="F34">
    <cfRule type="cellIs" dxfId="9970" priority="880" operator="equal">
      <formula>$O$16</formula>
    </cfRule>
    <cfRule type="cellIs" dxfId="9969" priority="881" operator="equal">
      <formula>$O$15</formula>
    </cfRule>
    <cfRule type="cellIs" dxfId="9968" priority="882" operator="equal">
      <formula>$O$14</formula>
    </cfRule>
    <cfRule type="cellIs" dxfId="9967" priority="883" operator="equal">
      <formula>$O$13</formula>
    </cfRule>
    <cfRule type="cellIs" dxfId="9966" priority="884" operator="equal">
      <formula>$O$12</formula>
    </cfRule>
    <cfRule type="cellIs" dxfId="9965" priority="885" operator="equal">
      <formula>$O$11</formula>
    </cfRule>
  </conditionalFormatting>
  <conditionalFormatting sqref="F34">
    <cfRule type="cellIs" dxfId="9964" priority="877" operator="equal">
      <formula>$O$10</formula>
    </cfRule>
    <cfRule type="cellIs" dxfId="9963" priority="878" operator="equal">
      <formula>$O$18</formula>
    </cfRule>
    <cfRule type="cellIs" dxfId="9962" priority="879" operator="equal">
      <formula>$O$17</formula>
    </cfRule>
  </conditionalFormatting>
  <conditionalFormatting sqref="G34:H34">
    <cfRule type="duplicateValues" dxfId="9961" priority="865"/>
  </conditionalFormatting>
  <conditionalFormatting sqref="H34">
    <cfRule type="cellIs" dxfId="9960" priority="859" operator="equal">
      <formula>$O$16</formula>
    </cfRule>
    <cfRule type="cellIs" dxfId="9959" priority="860" operator="equal">
      <formula>$O$15</formula>
    </cfRule>
    <cfRule type="cellIs" dxfId="9958" priority="861" operator="equal">
      <formula>$O$14</formula>
    </cfRule>
    <cfRule type="cellIs" dxfId="9957" priority="862" operator="equal">
      <formula>$O$13</formula>
    </cfRule>
    <cfRule type="cellIs" dxfId="9956" priority="863" operator="equal">
      <formula>$O$12</formula>
    </cfRule>
    <cfRule type="cellIs" dxfId="9955" priority="864" operator="equal">
      <formula>$O$11</formula>
    </cfRule>
  </conditionalFormatting>
  <conditionalFormatting sqref="H34">
    <cfRule type="cellIs" dxfId="9954" priority="856" operator="equal">
      <formula>$O$10</formula>
    </cfRule>
    <cfRule type="cellIs" dxfId="9953" priority="857" operator="equal">
      <formula>$O$18</formula>
    </cfRule>
    <cfRule type="cellIs" dxfId="9952" priority="858" operator="equal">
      <formula>$O$17</formula>
    </cfRule>
  </conditionalFormatting>
  <conditionalFormatting sqref="H34">
    <cfRule type="cellIs" dxfId="9951" priority="847" operator="equal">
      <formula>$O$13</formula>
    </cfRule>
    <cfRule type="cellIs" dxfId="9950" priority="848" operator="equal">
      <formula>$O$12</formula>
    </cfRule>
    <cfRule type="cellIs" dxfId="9949" priority="849" operator="equal">
      <formula>$O$11</formula>
    </cfRule>
    <cfRule type="cellIs" dxfId="9948" priority="850" operator="equal">
      <formula>$O$10</formula>
    </cfRule>
    <cfRule type="cellIs" dxfId="9947" priority="851" operator="equal">
      <formula>$O$9</formula>
    </cfRule>
    <cfRule type="cellIs" dxfId="9946" priority="852" operator="equal">
      <formula>$O$8</formula>
    </cfRule>
    <cfRule type="cellIs" dxfId="9945" priority="853" operator="equal">
      <formula>$O$7</formula>
    </cfRule>
    <cfRule type="cellIs" dxfId="9944" priority="854" operator="equal">
      <formula>$O$6</formula>
    </cfRule>
    <cfRule type="cellIs" dxfId="9943" priority="855" operator="equal">
      <formula>$O$5</formula>
    </cfRule>
  </conditionalFormatting>
  <conditionalFormatting sqref="H34">
    <cfRule type="duplicateValues" dxfId="9942" priority="846"/>
  </conditionalFormatting>
  <conditionalFormatting sqref="L34">
    <cfRule type="duplicateValues" dxfId="9941" priority="843"/>
  </conditionalFormatting>
  <conditionalFormatting sqref="N34">
    <cfRule type="duplicateValues" dxfId="9940" priority="842"/>
  </conditionalFormatting>
  <conditionalFormatting sqref="K34:N34">
    <cfRule type="duplicateValues" dxfId="9939" priority="833"/>
  </conditionalFormatting>
  <conditionalFormatting sqref="L34">
    <cfRule type="duplicateValues" dxfId="9938" priority="832"/>
  </conditionalFormatting>
  <conditionalFormatting sqref="L34 N34">
    <cfRule type="cellIs" dxfId="9937" priority="826" operator="equal">
      <formula>$O$16</formula>
    </cfRule>
    <cfRule type="cellIs" dxfId="9936" priority="827" operator="equal">
      <formula>$O$15</formula>
    </cfRule>
    <cfRule type="cellIs" dxfId="9935" priority="828" operator="equal">
      <formula>$O$14</formula>
    </cfRule>
    <cfRule type="cellIs" dxfId="9934" priority="829" operator="equal">
      <formula>$O$13</formula>
    </cfRule>
    <cfRule type="cellIs" dxfId="9933" priority="830" operator="equal">
      <formula>$O$12</formula>
    </cfRule>
    <cfRule type="cellIs" dxfId="9932" priority="831" operator="equal">
      <formula>$O$11</formula>
    </cfRule>
  </conditionalFormatting>
  <conditionalFormatting sqref="L34 N34">
    <cfRule type="cellIs" dxfId="9931" priority="817" operator="equal">
      <formula>$O$13</formula>
    </cfRule>
    <cfRule type="cellIs" dxfId="9930" priority="818" operator="equal">
      <formula>$O$12</formula>
    </cfRule>
    <cfRule type="cellIs" dxfId="9929" priority="819" operator="equal">
      <formula>$O$11</formula>
    </cfRule>
    <cfRule type="cellIs" dxfId="9928" priority="820" operator="equal">
      <formula>$O$10</formula>
    </cfRule>
    <cfRule type="cellIs" dxfId="9927" priority="821" operator="equal">
      <formula>$O$9</formula>
    </cfRule>
    <cfRule type="cellIs" dxfId="9926" priority="822" operator="equal">
      <formula>$O$8</formula>
    </cfRule>
    <cfRule type="cellIs" dxfId="9925" priority="823" operator="equal">
      <formula>$O$7</formula>
    </cfRule>
    <cfRule type="cellIs" dxfId="9924" priority="824" operator="equal">
      <formula>$O$6</formula>
    </cfRule>
    <cfRule type="cellIs" dxfId="9923" priority="825" operator="equal">
      <formula>$O$5</formula>
    </cfRule>
  </conditionalFormatting>
  <conditionalFormatting sqref="N34">
    <cfRule type="duplicateValues" dxfId="9922" priority="813"/>
    <cfRule type="duplicateValues" dxfId="9921" priority="816"/>
  </conditionalFormatting>
  <conditionalFormatting sqref="L34">
    <cfRule type="duplicateValues" dxfId="9920" priority="815"/>
  </conditionalFormatting>
  <conditionalFormatting sqref="N34">
    <cfRule type="duplicateValues" dxfId="9919" priority="814"/>
  </conditionalFormatting>
  <conditionalFormatting sqref="F17">
    <cfRule type="cellIs" dxfId="9918" priority="799" operator="equal">
      <formula>$O$18</formula>
    </cfRule>
    <cfRule type="cellIs" dxfId="9917" priority="800" operator="equal">
      <formula>$O$17</formula>
    </cfRule>
    <cfRule type="cellIs" dxfId="9916" priority="801" operator="equal">
      <formula>$O$16</formula>
    </cfRule>
    <cfRule type="cellIs" dxfId="9915" priority="802" operator="equal">
      <formula>$O$15</formula>
    </cfRule>
    <cfRule type="cellIs" dxfId="9914" priority="803" operator="equal">
      <formula>$O$14</formula>
    </cfRule>
    <cfRule type="cellIs" dxfId="9913" priority="804" operator="equal">
      <formula>$O$13</formula>
    </cfRule>
    <cfRule type="cellIs" dxfId="9912" priority="805" operator="equal">
      <formula>$O$12</formula>
    </cfRule>
    <cfRule type="cellIs" dxfId="9911" priority="806" operator="equal">
      <formula>$O$11</formula>
    </cfRule>
    <cfRule type="cellIs" dxfId="9910" priority="807" operator="equal">
      <formula>$O$10</formula>
    </cfRule>
    <cfRule type="cellIs" dxfId="9909" priority="808" operator="equal">
      <formula>$O$9</formula>
    </cfRule>
    <cfRule type="cellIs" dxfId="9908" priority="809" operator="equal">
      <formula>$O$8</formula>
    </cfRule>
    <cfRule type="cellIs" dxfId="9907" priority="810" operator="equal">
      <formula>$O$7</formula>
    </cfRule>
    <cfRule type="cellIs" dxfId="9906" priority="811" operator="equal">
      <formula>$O$6</formula>
    </cfRule>
    <cfRule type="cellIs" dxfId="9905" priority="812" operator="equal">
      <formula>$O$5</formula>
    </cfRule>
  </conditionalFormatting>
  <conditionalFormatting sqref="F17">
    <cfRule type="cellIs" dxfId="9904" priority="788" operator="equal">
      <formula>$O$13</formula>
    </cfRule>
    <cfRule type="cellIs" dxfId="9903" priority="789" operator="equal">
      <formula>$O$12</formula>
    </cfRule>
    <cfRule type="cellIs" dxfId="9902" priority="790" operator="equal">
      <formula>$O$11</formula>
    </cfRule>
    <cfRule type="cellIs" dxfId="9901" priority="791" operator="equal">
      <formula>$O$11</formula>
    </cfRule>
    <cfRule type="cellIs" dxfId="9900" priority="792" operator="equal">
      <formula>$O$10</formula>
    </cfRule>
    <cfRule type="cellIs" dxfId="9899" priority="793" operator="equal">
      <formula>$O$9</formula>
    </cfRule>
    <cfRule type="cellIs" dxfId="9898" priority="794" operator="equal">
      <formula>$O$9</formula>
    </cfRule>
    <cfRule type="cellIs" dxfId="9897" priority="795" operator="equal">
      <formula>$O$8</formula>
    </cfRule>
    <cfRule type="cellIs" dxfId="9896" priority="796" operator="equal">
      <formula>$O$7</formula>
    </cfRule>
    <cfRule type="cellIs" dxfId="9895" priority="797" operator="equal">
      <formula>$O$6</formula>
    </cfRule>
    <cfRule type="cellIs" dxfId="9894" priority="798" operator="equal">
      <formula>$O$5</formula>
    </cfRule>
  </conditionalFormatting>
  <conditionalFormatting sqref="F17">
    <cfRule type="cellIs" dxfId="9893" priority="784" operator="equal">
      <formula>$O$17</formula>
    </cfRule>
    <cfRule type="cellIs" dxfId="9892" priority="785" operator="equal">
      <formula>$O$16</formula>
    </cfRule>
    <cfRule type="cellIs" dxfId="9891" priority="786" operator="equal">
      <formula>$O$15</formula>
    </cfRule>
    <cfRule type="cellIs" dxfId="9890" priority="787" operator="equal">
      <formula>$O$14</formula>
    </cfRule>
  </conditionalFormatting>
  <conditionalFormatting sqref="F17">
    <cfRule type="cellIs" dxfId="9889" priority="783" operator="equal">
      <formula>$O$10</formula>
    </cfRule>
  </conditionalFormatting>
  <conditionalFormatting sqref="F17">
    <cfRule type="cellIs" dxfId="9888" priority="782" operator="equal">
      <formula>$O$18</formula>
    </cfRule>
  </conditionalFormatting>
  <conditionalFormatting sqref="F17">
    <cfRule type="duplicateValues" dxfId="9887" priority="781"/>
  </conditionalFormatting>
  <conditionalFormatting sqref="F17">
    <cfRule type="duplicateValues" dxfId="9886" priority="780"/>
  </conditionalFormatting>
  <conditionalFormatting sqref="F17">
    <cfRule type="cellIs" dxfId="9885" priority="779" operator="equal">
      <formula>$O$5</formula>
    </cfRule>
  </conditionalFormatting>
  <conditionalFormatting sqref="F17">
    <cfRule type="cellIs" dxfId="9884" priority="778" operator="equal">
      <formula>$O$6</formula>
    </cfRule>
  </conditionalFormatting>
  <conditionalFormatting sqref="F17">
    <cfRule type="cellIs" dxfId="9883" priority="777" operator="equal">
      <formula>$O$7</formula>
    </cfRule>
  </conditionalFormatting>
  <conditionalFormatting sqref="F17">
    <cfRule type="cellIs" dxfId="9882" priority="776" operator="equal">
      <formula>$O$8</formula>
    </cfRule>
  </conditionalFormatting>
  <conditionalFormatting sqref="F17">
    <cfRule type="cellIs" dxfId="9881" priority="775" operator="equal">
      <formula>$O$9</formula>
    </cfRule>
  </conditionalFormatting>
  <conditionalFormatting sqref="F17">
    <cfRule type="cellIs" dxfId="9880" priority="774" operator="equal">
      <formula>$O$10</formula>
    </cfRule>
  </conditionalFormatting>
  <conditionalFormatting sqref="F17">
    <cfRule type="cellIs" dxfId="9879" priority="773" operator="equal">
      <formula>$O$11</formula>
    </cfRule>
  </conditionalFormatting>
  <conditionalFormatting sqref="F17">
    <cfRule type="cellIs" dxfId="9878" priority="772" operator="equal">
      <formula>$O$11</formula>
    </cfRule>
  </conditionalFormatting>
  <conditionalFormatting sqref="F17">
    <cfRule type="cellIs" dxfId="9877" priority="771" operator="equal">
      <formula>$O$12</formula>
    </cfRule>
  </conditionalFormatting>
  <conditionalFormatting sqref="F17">
    <cfRule type="cellIs" dxfId="9876" priority="770" operator="equal">
      <formula>$O$13</formula>
    </cfRule>
  </conditionalFormatting>
  <conditionalFormatting sqref="F17">
    <cfRule type="cellIs" dxfId="9875" priority="769" operator="equal">
      <formula>$O$14</formula>
    </cfRule>
  </conditionalFormatting>
  <conditionalFormatting sqref="F17">
    <cfRule type="cellIs" dxfId="9874" priority="768" operator="equal">
      <formula>$O$14</formula>
    </cfRule>
  </conditionalFormatting>
  <conditionalFormatting sqref="F17">
    <cfRule type="cellIs" dxfId="9873" priority="767" operator="equal">
      <formula>$O$15</formula>
    </cfRule>
  </conditionalFormatting>
  <conditionalFormatting sqref="F17">
    <cfRule type="cellIs" dxfId="9872" priority="766" operator="equal">
      <formula>$O$16</formula>
    </cfRule>
  </conditionalFormatting>
  <conditionalFormatting sqref="F17">
    <cfRule type="cellIs" dxfId="9871" priority="765" operator="equal">
      <formula>$O$17</formula>
    </cfRule>
  </conditionalFormatting>
  <conditionalFormatting sqref="F17">
    <cfRule type="cellIs" dxfId="9870" priority="764" operator="equal">
      <formula>$O$18</formula>
    </cfRule>
  </conditionalFormatting>
  <conditionalFormatting sqref="F17">
    <cfRule type="duplicateValues" dxfId="9869" priority="763"/>
  </conditionalFormatting>
  <conditionalFormatting sqref="F17">
    <cfRule type="duplicateValues" dxfId="9868" priority="762"/>
  </conditionalFormatting>
  <conditionalFormatting sqref="F17">
    <cfRule type="cellIs" dxfId="9867" priority="756" operator="equal">
      <formula>$O$11</formula>
    </cfRule>
    <cfRule type="cellIs" dxfId="9866" priority="757" operator="equal">
      <formula>$O$9</formula>
    </cfRule>
    <cfRule type="cellIs" dxfId="9865" priority="758" operator="equal">
      <formula>$O$8</formula>
    </cfRule>
    <cfRule type="cellIs" dxfId="9864" priority="759" operator="equal">
      <formula>$O$7</formula>
    </cfRule>
    <cfRule type="cellIs" dxfId="9863" priority="760" operator="equal">
      <formula>$O$6</formula>
    </cfRule>
    <cfRule type="cellIs" dxfId="9862" priority="761" operator="equal">
      <formula>$O$5</formula>
    </cfRule>
  </conditionalFormatting>
  <conditionalFormatting sqref="F17">
    <cfRule type="cellIs" dxfId="9861" priority="750" operator="equal">
      <formula>$O$16</formula>
    </cfRule>
    <cfRule type="cellIs" dxfId="9860" priority="751" operator="equal">
      <formula>$O$15</formula>
    </cfRule>
    <cfRule type="cellIs" dxfId="9859" priority="752" operator="equal">
      <formula>$O$14</formula>
    </cfRule>
    <cfRule type="cellIs" dxfId="9858" priority="753" operator="equal">
      <formula>$O$13</formula>
    </cfRule>
    <cfRule type="cellIs" dxfId="9857" priority="754" operator="equal">
      <formula>$O$12</formula>
    </cfRule>
    <cfRule type="cellIs" dxfId="9856" priority="755" operator="equal">
      <formula>$O$11</formula>
    </cfRule>
  </conditionalFormatting>
  <conditionalFormatting sqref="F17">
    <cfRule type="cellIs" dxfId="9855" priority="747" operator="equal">
      <formula>$O$10</formula>
    </cfRule>
    <cfRule type="cellIs" dxfId="9854" priority="748" operator="equal">
      <formula>$O$18</formula>
    </cfRule>
    <cfRule type="cellIs" dxfId="9853" priority="749" operator="equal">
      <formula>$O$17</formula>
    </cfRule>
  </conditionalFormatting>
  <conditionalFormatting sqref="F17">
    <cfRule type="cellIs" dxfId="9852" priority="738" operator="equal">
      <formula>$O$13</formula>
    </cfRule>
    <cfRule type="cellIs" dxfId="9851" priority="739" operator="equal">
      <formula>$O$12</formula>
    </cfRule>
    <cfRule type="cellIs" dxfId="9850" priority="740" operator="equal">
      <formula>$O$11</formula>
    </cfRule>
    <cfRule type="cellIs" dxfId="9849" priority="741" operator="equal">
      <formula>$O$10</formula>
    </cfRule>
    <cfRule type="cellIs" dxfId="9848" priority="742" operator="equal">
      <formula>$O$9</formula>
    </cfRule>
    <cfRule type="cellIs" dxfId="9847" priority="743" operator="equal">
      <formula>$O$8</formula>
    </cfRule>
    <cfRule type="cellIs" dxfId="9846" priority="744" operator="equal">
      <formula>$O$7</formula>
    </cfRule>
    <cfRule type="cellIs" dxfId="9845" priority="745" operator="equal">
      <formula>$O$6</formula>
    </cfRule>
    <cfRule type="cellIs" dxfId="9844" priority="746" operator="equal">
      <formula>$O$5</formula>
    </cfRule>
  </conditionalFormatting>
  <conditionalFormatting sqref="F17">
    <cfRule type="cellIs" dxfId="9843" priority="737" operator="equal">
      <formula>0</formula>
    </cfRule>
  </conditionalFormatting>
  <conditionalFormatting sqref="F5:F17 F21:F34">
    <cfRule type="duplicateValues" dxfId="9842" priority="736"/>
  </conditionalFormatting>
  <conditionalFormatting sqref="H5:H17 H21:H34">
    <cfRule type="duplicateValues" dxfId="9841" priority="735"/>
  </conditionalFormatting>
  <conditionalFormatting sqref="L5:L17 L21:L34">
    <cfRule type="duplicateValues" dxfId="9840" priority="734"/>
  </conditionalFormatting>
  <conditionalFormatting sqref="N21:N36 N5:N19">
    <cfRule type="duplicateValues" dxfId="9839" priority="733"/>
  </conditionalFormatting>
  <conditionalFormatting sqref="E4:L4">
    <cfRule type="cellIs" dxfId="9838" priority="732" operator="equal">
      <formula>0</formula>
    </cfRule>
  </conditionalFormatting>
  <conditionalFormatting sqref="E4:L4">
    <cfRule type="cellIs" dxfId="9837" priority="726" operator="equal">
      <formula>$O$11</formula>
    </cfRule>
    <cfRule type="cellIs" dxfId="9836" priority="727" operator="equal">
      <formula>$O$9</formula>
    </cfRule>
    <cfRule type="cellIs" dxfId="9835" priority="728" operator="equal">
      <formula>$O$8</formula>
    </cfRule>
    <cfRule type="cellIs" dxfId="9834" priority="729" operator="equal">
      <formula>$O$7</formula>
    </cfRule>
    <cfRule type="cellIs" dxfId="9833" priority="730" operator="equal">
      <formula>$O$6</formula>
    </cfRule>
    <cfRule type="cellIs" dxfId="9832" priority="731" operator="equal">
      <formula>$O$5</formula>
    </cfRule>
  </conditionalFormatting>
  <conditionalFormatting sqref="E20:L20">
    <cfRule type="cellIs" dxfId="9831" priority="725" operator="equal">
      <formula>0</formula>
    </cfRule>
  </conditionalFormatting>
  <conditionalFormatting sqref="E20:L20">
    <cfRule type="cellIs" dxfId="9830" priority="719" operator="equal">
      <formula>$O$11</formula>
    </cfRule>
    <cfRule type="cellIs" dxfId="9829" priority="720" operator="equal">
      <formula>$O$9</formula>
    </cfRule>
    <cfRule type="cellIs" dxfId="9828" priority="721" operator="equal">
      <formula>$O$8</formula>
    </cfRule>
    <cfRule type="cellIs" dxfId="9827" priority="722" operator="equal">
      <formula>$O$7</formula>
    </cfRule>
    <cfRule type="cellIs" dxfId="9826" priority="723" operator="equal">
      <formula>$O$6</formula>
    </cfRule>
    <cfRule type="cellIs" dxfId="9825" priority="724" operator="equal">
      <formula>$O$5</formula>
    </cfRule>
  </conditionalFormatting>
  <conditionalFormatting sqref="E52:H53">
    <cfRule type="cellIs" dxfId="9824" priority="718" operator="equal">
      <formula>0</formula>
    </cfRule>
  </conditionalFormatting>
  <conditionalFormatting sqref="F52:F53 H52:H53">
    <cfRule type="cellIs" dxfId="9823" priority="712" operator="equal">
      <formula>$O$16</formula>
    </cfRule>
    <cfRule type="cellIs" dxfId="9822" priority="713" operator="equal">
      <formula>$O$15</formula>
    </cfRule>
    <cfRule type="cellIs" dxfId="9821" priority="714" operator="equal">
      <formula>$O$14</formula>
    </cfRule>
    <cfRule type="cellIs" dxfId="9820" priority="715" operator="equal">
      <formula>$O$13</formula>
    </cfRule>
    <cfRule type="cellIs" dxfId="9819" priority="716" operator="equal">
      <formula>$O$12</formula>
    </cfRule>
    <cfRule type="cellIs" dxfId="9818" priority="717" operator="equal">
      <formula>$O$11</formula>
    </cfRule>
  </conditionalFormatting>
  <conditionalFormatting sqref="F52:F53">
    <cfRule type="duplicateValues" dxfId="9817" priority="711"/>
  </conditionalFormatting>
  <conditionalFormatting sqref="H52:H53">
    <cfRule type="duplicateValues" dxfId="9816" priority="710"/>
  </conditionalFormatting>
  <conditionalFormatting sqref="F52:F53">
    <cfRule type="duplicateValues" dxfId="9815" priority="709"/>
  </conditionalFormatting>
  <conditionalFormatting sqref="F52:F53">
    <cfRule type="duplicateValues" dxfId="9814" priority="708"/>
  </conditionalFormatting>
  <conditionalFormatting sqref="H52:H53">
    <cfRule type="duplicateValues" dxfId="9813" priority="707"/>
  </conditionalFormatting>
  <conditionalFormatting sqref="E52">
    <cfRule type="duplicateValues" dxfId="9812" priority="706"/>
  </conditionalFormatting>
  <conditionalFormatting sqref="E53">
    <cfRule type="duplicateValues" dxfId="9811" priority="705"/>
  </conditionalFormatting>
  <conditionalFormatting sqref="E52">
    <cfRule type="duplicateValues" dxfId="9810" priority="704"/>
  </conditionalFormatting>
  <conditionalFormatting sqref="E53">
    <cfRule type="duplicateValues" dxfId="9809" priority="703"/>
  </conditionalFormatting>
  <conditionalFormatting sqref="G52">
    <cfRule type="duplicateValues" dxfId="9808" priority="702"/>
  </conditionalFormatting>
  <conditionalFormatting sqref="G53">
    <cfRule type="duplicateValues" dxfId="9807" priority="701"/>
  </conditionalFormatting>
  <conditionalFormatting sqref="G52">
    <cfRule type="duplicateValues" dxfId="9806" priority="700"/>
  </conditionalFormatting>
  <conditionalFormatting sqref="G53">
    <cfRule type="duplicateValues" dxfId="9805" priority="699"/>
  </conditionalFormatting>
  <conditionalFormatting sqref="F52:F53">
    <cfRule type="duplicateValues" dxfId="9804" priority="688"/>
  </conditionalFormatting>
  <conditionalFormatting sqref="F52:F53">
    <cfRule type="cellIs" dxfId="9803" priority="685" operator="equal">
      <formula>$O$10</formula>
    </cfRule>
    <cfRule type="cellIs" dxfId="9802" priority="686" operator="equal">
      <formula>$O$18</formula>
    </cfRule>
    <cfRule type="cellIs" dxfId="9801" priority="687" operator="equal">
      <formula>$O$17</formula>
    </cfRule>
  </conditionalFormatting>
  <conditionalFormatting sqref="F52:F53">
    <cfRule type="cellIs" dxfId="9800" priority="676" operator="equal">
      <formula>$O$13</formula>
    </cfRule>
    <cfRule type="cellIs" dxfId="9799" priority="677" operator="equal">
      <formula>$O$12</formula>
    </cfRule>
    <cfRule type="cellIs" dxfId="9798" priority="678" operator="equal">
      <formula>$O$11</formula>
    </cfRule>
    <cfRule type="cellIs" dxfId="9797" priority="679" operator="equal">
      <formula>$O$10</formula>
    </cfRule>
    <cfRule type="cellIs" dxfId="9796" priority="680" operator="equal">
      <formula>$O$9</formula>
    </cfRule>
    <cfRule type="cellIs" dxfId="9795" priority="681" operator="equal">
      <formula>$O$8</formula>
    </cfRule>
    <cfRule type="cellIs" dxfId="9794" priority="682" operator="equal">
      <formula>$O$7</formula>
    </cfRule>
    <cfRule type="cellIs" dxfId="9793" priority="683" operator="equal">
      <formula>$O$6</formula>
    </cfRule>
    <cfRule type="cellIs" dxfId="9792" priority="684" operator="equal">
      <formula>$O$5</formula>
    </cfRule>
  </conditionalFormatting>
  <conditionalFormatting sqref="F52:F53">
    <cfRule type="duplicateValues" dxfId="9791" priority="672"/>
    <cfRule type="duplicateValues" dxfId="9790" priority="675"/>
  </conditionalFormatting>
  <conditionalFormatting sqref="F52">
    <cfRule type="duplicateValues" dxfId="9789" priority="674"/>
  </conditionalFormatting>
  <conditionalFormatting sqref="F53">
    <cfRule type="duplicateValues" dxfId="9788" priority="673"/>
  </conditionalFormatting>
  <conditionalFormatting sqref="F52">
    <cfRule type="duplicateValues" dxfId="9787" priority="671"/>
  </conditionalFormatting>
  <conditionalFormatting sqref="F53">
    <cfRule type="duplicateValues" dxfId="9786" priority="670"/>
  </conditionalFormatting>
  <conditionalFormatting sqref="F52:F53">
    <cfRule type="containsText" dxfId="9785" priority="668" operator="containsText" text="(HEM)">
      <formula>NOT(ISERROR(SEARCH("(HEM)",F52)))</formula>
    </cfRule>
    <cfRule type="containsText" dxfId="9784" priority="669" operator="containsText" text="(SV)">
      <formula>NOT(ISERROR(SEARCH("(SV)",F52)))</formula>
    </cfRule>
  </conditionalFormatting>
  <conditionalFormatting sqref="H52:H53">
    <cfRule type="duplicateValues" dxfId="9783" priority="667"/>
  </conditionalFormatting>
  <conditionalFormatting sqref="H52:H53">
    <cfRule type="duplicateValues" dxfId="9782" priority="666"/>
  </conditionalFormatting>
  <conditionalFormatting sqref="H52:H53">
    <cfRule type="duplicateValues" dxfId="9781" priority="665"/>
  </conditionalFormatting>
  <conditionalFormatting sqref="H52:H53">
    <cfRule type="duplicateValues" dxfId="9780" priority="654"/>
  </conditionalFormatting>
  <conditionalFormatting sqref="H52:H53">
    <cfRule type="cellIs" dxfId="9779" priority="651" operator="equal">
      <formula>$O$10</formula>
    </cfRule>
    <cfRule type="cellIs" dxfId="9778" priority="652" operator="equal">
      <formula>$O$18</formula>
    </cfRule>
    <cfRule type="cellIs" dxfId="9777" priority="653" operator="equal">
      <formula>$O$17</formula>
    </cfRule>
  </conditionalFormatting>
  <conditionalFormatting sqref="H52:H53">
    <cfRule type="cellIs" dxfId="9776" priority="642" operator="equal">
      <formula>$O$13</formula>
    </cfRule>
    <cfRule type="cellIs" dxfId="9775" priority="643" operator="equal">
      <formula>$O$12</formula>
    </cfRule>
    <cfRule type="cellIs" dxfId="9774" priority="644" operator="equal">
      <formula>$O$11</formula>
    </cfRule>
    <cfRule type="cellIs" dxfId="9773" priority="645" operator="equal">
      <formula>$O$10</formula>
    </cfRule>
    <cfRule type="cellIs" dxfId="9772" priority="646" operator="equal">
      <formula>$O$9</formula>
    </cfRule>
    <cfRule type="cellIs" dxfId="9771" priority="647" operator="equal">
      <formula>$O$8</formula>
    </cfRule>
    <cfRule type="cellIs" dxfId="9770" priority="648" operator="equal">
      <formula>$O$7</formula>
    </cfRule>
    <cfRule type="cellIs" dxfId="9769" priority="649" operator="equal">
      <formula>$O$6</formula>
    </cfRule>
    <cfRule type="cellIs" dxfId="9768" priority="650" operator="equal">
      <formula>$O$5</formula>
    </cfRule>
  </conditionalFormatting>
  <conditionalFormatting sqref="H52:H53">
    <cfRule type="duplicateValues" dxfId="9767" priority="638"/>
    <cfRule type="duplicateValues" dxfId="9766" priority="641"/>
  </conditionalFormatting>
  <conditionalFormatting sqref="H52">
    <cfRule type="duplicateValues" dxfId="9765" priority="640"/>
  </conditionalFormatting>
  <conditionalFormatting sqref="H53">
    <cfRule type="duplicateValues" dxfId="9764" priority="639"/>
  </conditionalFormatting>
  <conditionalFormatting sqref="H52">
    <cfRule type="duplicateValues" dxfId="9763" priority="637"/>
  </conditionalFormatting>
  <conditionalFormatting sqref="H53">
    <cfRule type="duplicateValues" dxfId="9762" priority="636"/>
  </conditionalFormatting>
  <conditionalFormatting sqref="H52:H53">
    <cfRule type="containsText" dxfId="9761" priority="634" operator="containsText" text="(HEM)">
      <formula>NOT(ISERROR(SEARCH("(HEM)",H52)))</formula>
    </cfRule>
    <cfRule type="containsText" dxfId="9760" priority="635" operator="containsText" text="(SV)">
      <formula>NOT(ISERROR(SEARCH("(SV)",H52)))</formula>
    </cfRule>
  </conditionalFormatting>
  <conditionalFormatting sqref="I52:J53">
    <cfRule type="cellIs" dxfId="9759" priority="633" operator="equal">
      <formula>0</formula>
    </cfRule>
  </conditionalFormatting>
  <conditionalFormatting sqref="J52:J53">
    <cfRule type="cellIs" dxfId="9758" priority="627" operator="equal">
      <formula>$O$16</formula>
    </cfRule>
    <cfRule type="cellIs" dxfId="9757" priority="628" operator="equal">
      <formula>$O$15</formula>
    </cfRule>
    <cfRule type="cellIs" dxfId="9756" priority="629" operator="equal">
      <formula>$O$14</formula>
    </cfRule>
    <cfRule type="cellIs" dxfId="9755" priority="630" operator="equal">
      <formula>$O$13</formula>
    </cfRule>
    <cfRule type="cellIs" dxfId="9754" priority="631" operator="equal">
      <formula>$O$12</formula>
    </cfRule>
    <cfRule type="cellIs" dxfId="9753" priority="632" operator="equal">
      <formula>$O$11</formula>
    </cfRule>
  </conditionalFormatting>
  <conditionalFormatting sqref="J52:J53">
    <cfRule type="duplicateValues" dxfId="9752" priority="626"/>
  </conditionalFormatting>
  <conditionalFormatting sqref="J52:J53">
    <cfRule type="duplicateValues" dxfId="9751" priority="625"/>
  </conditionalFormatting>
  <conditionalFormatting sqref="I52">
    <cfRule type="duplicateValues" dxfId="9750" priority="624"/>
  </conditionalFormatting>
  <conditionalFormatting sqref="I53">
    <cfRule type="duplicateValues" dxfId="9749" priority="623"/>
  </conditionalFormatting>
  <conditionalFormatting sqref="I52">
    <cfRule type="duplicateValues" dxfId="9748" priority="622"/>
  </conditionalFormatting>
  <conditionalFormatting sqref="I53">
    <cfRule type="duplicateValues" dxfId="9747" priority="621"/>
  </conditionalFormatting>
  <conditionalFormatting sqref="J52:J53">
    <cfRule type="duplicateValues" dxfId="9746" priority="620"/>
  </conditionalFormatting>
  <conditionalFormatting sqref="J52:J53">
    <cfRule type="duplicateValues" dxfId="9745" priority="619"/>
  </conditionalFormatting>
  <conditionalFormatting sqref="J52:J53">
    <cfRule type="duplicateValues" dxfId="9744" priority="618"/>
  </conditionalFormatting>
  <conditionalFormatting sqref="J52:J53">
    <cfRule type="duplicateValues" dxfId="9743" priority="607"/>
  </conditionalFormatting>
  <conditionalFormatting sqref="J52:J53">
    <cfRule type="cellIs" dxfId="9742" priority="604" operator="equal">
      <formula>$O$10</formula>
    </cfRule>
    <cfRule type="cellIs" dxfId="9741" priority="605" operator="equal">
      <formula>$O$18</formula>
    </cfRule>
    <cfRule type="cellIs" dxfId="9740" priority="606" operator="equal">
      <formula>$O$17</formula>
    </cfRule>
  </conditionalFormatting>
  <conditionalFormatting sqref="J52:J53">
    <cfRule type="cellIs" dxfId="9739" priority="595" operator="equal">
      <formula>$O$13</formula>
    </cfRule>
    <cfRule type="cellIs" dxfId="9738" priority="596" operator="equal">
      <formula>$O$12</formula>
    </cfRule>
    <cfRule type="cellIs" dxfId="9737" priority="597" operator="equal">
      <formula>$O$11</formula>
    </cfRule>
    <cfRule type="cellIs" dxfId="9736" priority="598" operator="equal">
      <formula>$O$10</formula>
    </cfRule>
    <cfRule type="cellIs" dxfId="9735" priority="599" operator="equal">
      <formula>$O$9</formula>
    </cfRule>
    <cfRule type="cellIs" dxfId="9734" priority="600" operator="equal">
      <formula>$O$8</formula>
    </cfRule>
    <cfRule type="cellIs" dxfId="9733" priority="601" operator="equal">
      <formula>$O$7</formula>
    </cfRule>
    <cfRule type="cellIs" dxfId="9732" priority="602" operator="equal">
      <formula>$O$6</formula>
    </cfRule>
    <cfRule type="cellIs" dxfId="9731" priority="603" operator="equal">
      <formula>$O$5</formula>
    </cfRule>
  </conditionalFormatting>
  <conditionalFormatting sqref="J52:J53">
    <cfRule type="duplicateValues" dxfId="9730" priority="591"/>
    <cfRule type="duplicateValues" dxfId="9729" priority="594"/>
  </conditionalFormatting>
  <conditionalFormatting sqref="J52">
    <cfRule type="duplicateValues" dxfId="9728" priority="593"/>
  </conditionalFormatting>
  <conditionalFormatting sqref="J53">
    <cfRule type="duplicateValues" dxfId="9727" priority="592"/>
  </conditionalFormatting>
  <conditionalFormatting sqref="J52">
    <cfRule type="duplicateValues" dxfId="9726" priority="590"/>
  </conditionalFormatting>
  <conditionalFormatting sqref="J53">
    <cfRule type="duplicateValues" dxfId="9725" priority="589"/>
  </conditionalFormatting>
  <conditionalFormatting sqref="J52:J53">
    <cfRule type="containsText" dxfId="9724" priority="587" operator="containsText" text="(HEM)">
      <formula>NOT(ISERROR(SEARCH("(HEM)",J52)))</formula>
    </cfRule>
    <cfRule type="containsText" dxfId="9723" priority="588" operator="containsText" text="(SV)">
      <formula>NOT(ISERROR(SEARCH("(SV)",J52)))</formula>
    </cfRule>
  </conditionalFormatting>
  <conditionalFormatting sqref="E35:H36">
    <cfRule type="cellIs" dxfId="9722" priority="390" operator="equal">
      <formula>0</formula>
    </cfRule>
  </conditionalFormatting>
  <conditionalFormatting sqref="F35:F36">
    <cfRule type="duplicateValues" dxfId="9721" priority="391"/>
  </conditionalFormatting>
  <conditionalFormatting sqref="H35:H36">
    <cfRule type="duplicateValues" dxfId="9720" priority="392"/>
  </conditionalFormatting>
  <conditionalFormatting sqref="E35:H36">
    <cfRule type="cellIs" dxfId="9719" priority="384" operator="equal">
      <formula>$O$11</formula>
    </cfRule>
    <cfRule type="cellIs" dxfId="9718" priority="385" operator="equal">
      <formula>$O$9</formula>
    </cfRule>
    <cfRule type="cellIs" dxfId="9717" priority="386" operator="equal">
      <formula>$O$8</formula>
    </cfRule>
    <cfRule type="cellIs" dxfId="9716" priority="387" operator="equal">
      <formula>$O$7</formula>
    </cfRule>
    <cfRule type="cellIs" dxfId="9715" priority="388" operator="equal">
      <formula>$O$6</formula>
    </cfRule>
    <cfRule type="cellIs" dxfId="9714" priority="389" operator="equal">
      <formula>$O$5</formula>
    </cfRule>
  </conditionalFormatting>
  <conditionalFormatting sqref="H35:H36">
    <cfRule type="duplicateValues" dxfId="9713" priority="383"/>
  </conditionalFormatting>
  <conditionalFormatting sqref="F35:F36">
    <cfRule type="duplicateValues" dxfId="9712" priority="382"/>
  </conditionalFormatting>
  <conditionalFormatting sqref="H35:H36">
    <cfRule type="duplicateValues" dxfId="9711" priority="381"/>
  </conditionalFormatting>
  <conditionalFormatting sqref="E35">
    <cfRule type="duplicateValues" dxfId="9710" priority="380"/>
  </conditionalFormatting>
  <conditionalFormatting sqref="E36">
    <cfRule type="duplicateValues" dxfId="9709" priority="379"/>
  </conditionalFormatting>
  <conditionalFormatting sqref="E36">
    <cfRule type="duplicateValues" dxfId="9708" priority="378"/>
  </conditionalFormatting>
  <conditionalFormatting sqref="E36">
    <cfRule type="duplicateValues" dxfId="9707" priority="377"/>
  </conditionalFormatting>
  <conditionalFormatting sqref="F35">
    <cfRule type="duplicateValues" dxfId="9706" priority="374"/>
  </conditionalFormatting>
  <conditionalFormatting sqref="F35">
    <cfRule type="duplicateValues" dxfId="9705" priority="365"/>
  </conditionalFormatting>
  <conditionalFormatting sqref="F35">
    <cfRule type="duplicateValues" dxfId="9704" priority="364"/>
  </conditionalFormatting>
  <conditionalFormatting sqref="F35">
    <cfRule type="cellIs" dxfId="9703" priority="358" operator="equal">
      <formula>$O$16</formula>
    </cfRule>
    <cfRule type="cellIs" dxfId="9702" priority="359" operator="equal">
      <formula>$O$15</formula>
    </cfRule>
    <cfRule type="cellIs" dxfId="9701" priority="360" operator="equal">
      <formula>$O$14</formula>
    </cfRule>
    <cfRule type="cellIs" dxfId="9700" priority="361" operator="equal">
      <formula>$O$13</formula>
    </cfRule>
    <cfRule type="cellIs" dxfId="9699" priority="362" operator="equal">
      <formula>$O$12</formula>
    </cfRule>
    <cfRule type="cellIs" dxfId="9698" priority="363" operator="equal">
      <formula>$O$11</formula>
    </cfRule>
  </conditionalFormatting>
  <conditionalFormatting sqref="F35">
    <cfRule type="cellIs" dxfId="9697" priority="355" operator="equal">
      <formula>$O$10</formula>
    </cfRule>
    <cfRule type="cellIs" dxfId="9696" priority="356" operator="equal">
      <formula>$O$18</formula>
    </cfRule>
    <cfRule type="cellIs" dxfId="9695" priority="357" operator="equal">
      <formula>$O$17</formula>
    </cfRule>
  </conditionalFormatting>
  <conditionalFormatting sqref="F35:F36">
    <cfRule type="cellIs" dxfId="9694" priority="346" operator="equal">
      <formula>$O$13</formula>
    </cfRule>
    <cfRule type="cellIs" dxfId="9693" priority="347" operator="equal">
      <formula>$O$12</formula>
    </cfRule>
    <cfRule type="cellIs" dxfId="9692" priority="348" operator="equal">
      <formula>$O$11</formula>
    </cfRule>
    <cfRule type="cellIs" dxfId="9691" priority="349" operator="equal">
      <formula>$O$10</formula>
    </cfRule>
    <cfRule type="cellIs" dxfId="9690" priority="350" operator="equal">
      <formula>$O$9</formula>
    </cfRule>
    <cfRule type="cellIs" dxfId="9689" priority="351" operator="equal">
      <formula>$O$8</formula>
    </cfRule>
    <cfRule type="cellIs" dxfId="9688" priority="352" operator="equal">
      <formula>$O$7</formula>
    </cfRule>
    <cfRule type="cellIs" dxfId="9687" priority="353" operator="equal">
      <formula>$O$6</formula>
    </cfRule>
    <cfRule type="cellIs" dxfId="9686" priority="354" operator="equal">
      <formula>$O$5</formula>
    </cfRule>
  </conditionalFormatting>
  <conditionalFormatting sqref="F36">
    <cfRule type="duplicateValues" dxfId="9685" priority="345"/>
  </conditionalFormatting>
  <conditionalFormatting sqref="F36">
    <cfRule type="duplicateValues" dxfId="9684" priority="334"/>
  </conditionalFormatting>
  <conditionalFormatting sqref="F36">
    <cfRule type="cellIs" dxfId="9683" priority="328" operator="equal">
      <formula>$O$16</formula>
    </cfRule>
    <cfRule type="cellIs" dxfId="9682" priority="329" operator="equal">
      <formula>$O$15</formula>
    </cfRule>
    <cfRule type="cellIs" dxfId="9681" priority="330" operator="equal">
      <formula>$O$14</formula>
    </cfRule>
    <cfRule type="cellIs" dxfId="9680" priority="331" operator="equal">
      <formula>$O$13</formula>
    </cfRule>
    <cfRule type="cellIs" dxfId="9679" priority="332" operator="equal">
      <formula>$O$12</formula>
    </cfRule>
    <cfRule type="cellIs" dxfId="9678" priority="333" operator="equal">
      <formula>$O$11</formula>
    </cfRule>
  </conditionalFormatting>
  <conditionalFormatting sqref="F36">
    <cfRule type="cellIs" dxfId="9677" priority="325" operator="equal">
      <formula>$O$10</formula>
    </cfRule>
    <cfRule type="cellIs" dxfId="9676" priority="326" operator="equal">
      <formula>$O$18</formula>
    </cfRule>
    <cfRule type="cellIs" dxfId="9675" priority="327" operator="equal">
      <formula>$O$17</formula>
    </cfRule>
  </conditionalFormatting>
  <conditionalFormatting sqref="H35:H36">
    <cfRule type="duplicateValues" dxfId="9674" priority="324"/>
  </conditionalFormatting>
  <conditionalFormatting sqref="H35:H36">
    <cfRule type="duplicateValues" dxfId="9673" priority="323"/>
  </conditionalFormatting>
  <conditionalFormatting sqref="G35">
    <cfRule type="duplicateValues" dxfId="9672" priority="322"/>
  </conditionalFormatting>
  <conditionalFormatting sqref="G36">
    <cfRule type="duplicateValues" dxfId="9671" priority="321"/>
  </conditionalFormatting>
  <conditionalFormatting sqref="G36">
    <cfRule type="duplicateValues" dxfId="9670" priority="320"/>
  </conditionalFormatting>
  <conditionalFormatting sqref="G36">
    <cfRule type="duplicateValues" dxfId="9669" priority="319"/>
  </conditionalFormatting>
  <conditionalFormatting sqref="H35">
    <cfRule type="duplicateValues" dxfId="9668" priority="316"/>
  </conditionalFormatting>
  <conditionalFormatting sqref="H35">
    <cfRule type="duplicateValues" dxfId="9667" priority="307"/>
  </conditionalFormatting>
  <conditionalFormatting sqref="H35">
    <cfRule type="duplicateValues" dxfId="9666" priority="306"/>
  </conditionalFormatting>
  <conditionalFormatting sqref="H35">
    <cfRule type="cellIs" dxfId="9665" priority="300" operator="equal">
      <formula>$O$16</formula>
    </cfRule>
    <cfRule type="cellIs" dxfId="9664" priority="301" operator="equal">
      <formula>$O$15</formula>
    </cfRule>
    <cfRule type="cellIs" dxfId="9663" priority="302" operator="equal">
      <formula>$O$14</formula>
    </cfRule>
    <cfRule type="cellIs" dxfId="9662" priority="303" operator="equal">
      <formula>$O$13</formula>
    </cfRule>
    <cfRule type="cellIs" dxfId="9661" priority="304" operator="equal">
      <formula>$O$12</formula>
    </cfRule>
    <cfRule type="cellIs" dxfId="9660" priority="305" operator="equal">
      <formula>$O$11</formula>
    </cfRule>
  </conditionalFormatting>
  <conditionalFormatting sqref="H35">
    <cfRule type="cellIs" dxfId="9659" priority="297" operator="equal">
      <formula>$O$10</formula>
    </cfRule>
    <cfRule type="cellIs" dxfId="9658" priority="298" operator="equal">
      <formula>$O$18</formula>
    </cfRule>
    <cfRule type="cellIs" dxfId="9657" priority="299" operator="equal">
      <formula>$O$17</formula>
    </cfRule>
  </conditionalFormatting>
  <conditionalFormatting sqref="H35:H36">
    <cfRule type="cellIs" dxfId="9656" priority="288" operator="equal">
      <formula>$O$13</formula>
    </cfRule>
    <cfRule type="cellIs" dxfId="9655" priority="289" operator="equal">
      <formula>$O$12</formula>
    </cfRule>
    <cfRule type="cellIs" dxfId="9654" priority="290" operator="equal">
      <formula>$O$11</formula>
    </cfRule>
    <cfRule type="cellIs" dxfId="9653" priority="291" operator="equal">
      <formula>$O$10</formula>
    </cfRule>
    <cfRule type="cellIs" dxfId="9652" priority="292" operator="equal">
      <formula>$O$9</formula>
    </cfRule>
    <cfRule type="cellIs" dxfId="9651" priority="293" operator="equal">
      <formula>$O$8</formula>
    </cfRule>
    <cfRule type="cellIs" dxfId="9650" priority="294" operator="equal">
      <formula>$O$7</formula>
    </cfRule>
    <cfRule type="cellIs" dxfId="9649" priority="295" operator="equal">
      <formula>$O$6</formula>
    </cfRule>
    <cfRule type="cellIs" dxfId="9648" priority="296" operator="equal">
      <formula>$O$5</formula>
    </cfRule>
  </conditionalFormatting>
  <conditionalFormatting sqref="H36">
    <cfRule type="duplicateValues" dxfId="9647" priority="287"/>
  </conditionalFormatting>
  <conditionalFormatting sqref="H36">
    <cfRule type="duplicateValues" dxfId="9646" priority="276"/>
  </conditionalFormatting>
  <conditionalFormatting sqref="H36">
    <cfRule type="cellIs" dxfId="9645" priority="270" operator="equal">
      <formula>$O$16</formula>
    </cfRule>
    <cfRule type="cellIs" dxfId="9644" priority="271" operator="equal">
      <formula>$O$15</formula>
    </cfRule>
    <cfRule type="cellIs" dxfId="9643" priority="272" operator="equal">
      <formula>$O$14</formula>
    </cfRule>
    <cfRule type="cellIs" dxfId="9642" priority="273" operator="equal">
      <formula>$O$13</formula>
    </cfRule>
    <cfRule type="cellIs" dxfId="9641" priority="274" operator="equal">
      <formula>$O$12</formula>
    </cfRule>
    <cfRule type="cellIs" dxfId="9640" priority="275" operator="equal">
      <formula>$O$11</formula>
    </cfRule>
  </conditionalFormatting>
  <conditionalFormatting sqref="H36">
    <cfRule type="cellIs" dxfId="9639" priority="267" operator="equal">
      <formula>$O$10</formula>
    </cfRule>
    <cfRule type="cellIs" dxfId="9638" priority="268" operator="equal">
      <formula>$O$18</formula>
    </cfRule>
    <cfRule type="cellIs" dxfId="9637" priority="269" operator="equal">
      <formula>$O$17</formula>
    </cfRule>
  </conditionalFormatting>
  <conditionalFormatting sqref="K35:L36">
    <cfRule type="cellIs" dxfId="9636" priority="265" operator="equal">
      <formula>0</formula>
    </cfRule>
  </conditionalFormatting>
  <conditionalFormatting sqref="L35:L36">
    <cfRule type="duplicateValues" dxfId="9635" priority="266"/>
  </conditionalFormatting>
  <conditionalFormatting sqref="K35:L36">
    <cfRule type="cellIs" dxfId="9634" priority="259" operator="equal">
      <formula>$O$11</formula>
    </cfRule>
    <cfRule type="cellIs" dxfId="9633" priority="260" operator="equal">
      <formula>$O$9</formula>
    </cfRule>
    <cfRule type="cellIs" dxfId="9632" priority="261" operator="equal">
      <formula>$O$8</formula>
    </cfRule>
    <cfRule type="cellIs" dxfId="9631" priority="262" operator="equal">
      <formula>$O$7</formula>
    </cfRule>
    <cfRule type="cellIs" dxfId="9630" priority="263" operator="equal">
      <formula>$O$6</formula>
    </cfRule>
    <cfRule type="cellIs" dxfId="9629" priority="264" operator="equal">
      <formula>$O$5</formula>
    </cfRule>
  </conditionalFormatting>
  <conditionalFormatting sqref="L35:L36">
    <cfRule type="duplicateValues" dxfId="9628" priority="258"/>
  </conditionalFormatting>
  <conditionalFormatting sqref="L35:L36">
    <cfRule type="duplicateValues" dxfId="9627" priority="257"/>
  </conditionalFormatting>
  <conditionalFormatting sqref="L35:L36">
    <cfRule type="duplicateValues" dxfId="9626" priority="256"/>
  </conditionalFormatting>
  <conditionalFormatting sqref="L35:L36">
    <cfRule type="duplicateValues" dxfId="9625" priority="255"/>
  </conditionalFormatting>
  <conditionalFormatting sqref="K35">
    <cfRule type="duplicateValues" dxfId="9624" priority="254"/>
  </conditionalFormatting>
  <conditionalFormatting sqref="K36">
    <cfRule type="duplicateValues" dxfId="9623" priority="253"/>
  </conditionalFormatting>
  <conditionalFormatting sqref="K36">
    <cfRule type="duplicateValues" dxfId="9622" priority="252"/>
  </conditionalFormatting>
  <conditionalFormatting sqref="K36">
    <cfRule type="duplicateValues" dxfId="9621" priority="251"/>
  </conditionalFormatting>
  <conditionalFormatting sqref="L35">
    <cfRule type="duplicateValues" dxfId="9620" priority="248"/>
  </conditionalFormatting>
  <conditionalFormatting sqref="L35">
    <cfRule type="duplicateValues" dxfId="9619" priority="239"/>
  </conditionalFormatting>
  <conditionalFormatting sqref="L35">
    <cfRule type="duplicateValues" dxfId="9618" priority="238"/>
  </conditionalFormatting>
  <conditionalFormatting sqref="L35">
    <cfRule type="cellIs" dxfId="9617" priority="232" operator="equal">
      <formula>$O$16</formula>
    </cfRule>
    <cfRule type="cellIs" dxfId="9616" priority="233" operator="equal">
      <formula>$O$15</formula>
    </cfRule>
    <cfRule type="cellIs" dxfId="9615" priority="234" operator="equal">
      <formula>$O$14</formula>
    </cfRule>
    <cfRule type="cellIs" dxfId="9614" priority="235" operator="equal">
      <formula>$O$13</formula>
    </cfRule>
    <cfRule type="cellIs" dxfId="9613" priority="236" operator="equal">
      <formula>$O$12</formula>
    </cfRule>
    <cfRule type="cellIs" dxfId="9612" priority="237" operator="equal">
      <formula>$O$11</formula>
    </cfRule>
  </conditionalFormatting>
  <conditionalFormatting sqref="L35">
    <cfRule type="cellIs" dxfId="9611" priority="229" operator="equal">
      <formula>$O$10</formula>
    </cfRule>
    <cfRule type="cellIs" dxfId="9610" priority="230" operator="equal">
      <formula>$O$18</formula>
    </cfRule>
    <cfRule type="cellIs" dxfId="9609" priority="231" operator="equal">
      <formula>$O$17</formula>
    </cfRule>
  </conditionalFormatting>
  <conditionalFormatting sqref="L35:L36">
    <cfRule type="cellIs" dxfId="9608" priority="220" operator="equal">
      <formula>$O$13</formula>
    </cfRule>
    <cfRule type="cellIs" dxfId="9607" priority="221" operator="equal">
      <formula>$O$12</formula>
    </cfRule>
    <cfRule type="cellIs" dxfId="9606" priority="222" operator="equal">
      <formula>$O$11</formula>
    </cfRule>
    <cfRule type="cellIs" dxfId="9605" priority="223" operator="equal">
      <formula>$O$10</formula>
    </cfRule>
    <cfRule type="cellIs" dxfId="9604" priority="224" operator="equal">
      <formula>$O$9</formula>
    </cfRule>
    <cfRule type="cellIs" dxfId="9603" priority="225" operator="equal">
      <formula>$O$8</formula>
    </cfRule>
    <cfRule type="cellIs" dxfId="9602" priority="226" operator="equal">
      <formula>$O$7</formula>
    </cfRule>
    <cfRule type="cellIs" dxfId="9601" priority="227" operator="equal">
      <formula>$O$6</formula>
    </cfRule>
    <cfRule type="cellIs" dxfId="9600" priority="228" operator="equal">
      <formula>$O$5</formula>
    </cfRule>
  </conditionalFormatting>
  <conditionalFormatting sqref="L36">
    <cfRule type="duplicateValues" dxfId="9599" priority="219"/>
  </conditionalFormatting>
  <conditionalFormatting sqref="L36">
    <cfRule type="duplicateValues" dxfId="9598" priority="208"/>
  </conditionalFormatting>
  <conditionalFormatting sqref="L36">
    <cfRule type="cellIs" dxfId="9597" priority="202" operator="equal">
      <formula>$O$16</formula>
    </cfRule>
    <cfRule type="cellIs" dxfId="9596" priority="203" operator="equal">
      <formula>$O$15</formula>
    </cfRule>
    <cfRule type="cellIs" dxfId="9595" priority="204" operator="equal">
      <formula>$O$14</formula>
    </cfRule>
    <cfRule type="cellIs" dxfId="9594" priority="205" operator="equal">
      <formula>$O$13</formula>
    </cfRule>
    <cfRule type="cellIs" dxfId="9593" priority="206" operator="equal">
      <formula>$O$12</formula>
    </cfRule>
    <cfRule type="cellIs" dxfId="9592" priority="207" operator="equal">
      <formula>$O$11</formula>
    </cfRule>
  </conditionalFormatting>
  <conditionalFormatting sqref="L36">
    <cfRule type="cellIs" dxfId="9591" priority="199" operator="equal">
      <formula>$O$10</formula>
    </cfRule>
    <cfRule type="cellIs" dxfId="9590" priority="200" operator="equal">
      <formula>$O$18</formula>
    </cfRule>
    <cfRule type="cellIs" dxfId="9589" priority="201" operator="equal">
      <formula>$O$17</formula>
    </cfRule>
  </conditionalFormatting>
  <conditionalFormatting sqref="F18:F19">
    <cfRule type="cellIs" dxfId="9588" priority="198" operator="equal">
      <formula>0</formula>
    </cfRule>
  </conditionalFormatting>
  <conditionalFormatting sqref="F18:F19">
    <cfRule type="duplicateValues" dxfId="9587" priority="197"/>
  </conditionalFormatting>
  <conditionalFormatting sqref="E18:E19">
    <cfRule type="cellIs" dxfId="9586" priority="194" operator="equal">
      <formula>0</formula>
    </cfRule>
  </conditionalFormatting>
  <conditionalFormatting sqref="E18">
    <cfRule type="duplicateValues" dxfId="9585" priority="195"/>
  </conditionalFormatting>
  <conditionalFormatting sqref="E19">
    <cfRule type="duplicateValues" dxfId="9584" priority="196"/>
  </conditionalFormatting>
  <conditionalFormatting sqref="F18:F19">
    <cfRule type="duplicateValues" dxfId="9583" priority="180"/>
    <cfRule type="duplicateValues" dxfId="9582" priority="181"/>
  </conditionalFormatting>
  <conditionalFormatting sqref="F18:F19">
    <cfRule type="cellIs" dxfId="9581" priority="179" operator="equal">
      <formula>0</formula>
    </cfRule>
  </conditionalFormatting>
  <conditionalFormatting sqref="F18">
    <cfRule type="duplicateValues" dxfId="9580" priority="182"/>
  </conditionalFormatting>
  <conditionalFormatting sqref="F19">
    <cfRule type="duplicateValues" dxfId="9579" priority="183"/>
  </conditionalFormatting>
  <conditionalFormatting sqref="F18:F19">
    <cfRule type="cellIs" dxfId="9578" priority="165" operator="equal">
      <formula>$O$18</formula>
    </cfRule>
    <cfRule type="cellIs" dxfId="9577" priority="166" operator="equal">
      <formula>$O$17</formula>
    </cfRule>
    <cfRule type="cellIs" dxfId="9576" priority="167" operator="equal">
      <formula>$O$16</formula>
    </cfRule>
    <cfRule type="cellIs" dxfId="9575" priority="168" operator="equal">
      <formula>$O$15</formula>
    </cfRule>
    <cfRule type="cellIs" dxfId="9574" priority="169" operator="equal">
      <formula>$O$14</formula>
    </cfRule>
    <cfRule type="cellIs" dxfId="9573" priority="170" operator="equal">
      <formula>$O$13</formula>
    </cfRule>
    <cfRule type="cellIs" dxfId="9572" priority="171" operator="equal">
      <formula>$O$12</formula>
    </cfRule>
    <cfRule type="cellIs" dxfId="9571" priority="172" operator="equal">
      <formula>$O$11</formula>
    </cfRule>
    <cfRule type="cellIs" dxfId="9570" priority="173" operator="equal">
      <formula>$O$10</formula>
    </cfRule>
    <cfRule type="cellIs" dxfId="9569" priority="174" operator="equal">
      <formula>$O$9</formula>
    </cfRule>
    <cfRule type="cellIs" dxfId="9568" priority="175" operator="equal">
      <formula>$O$8</formula>
    </cfRule>
    <cfRule type="cellIs" dxfId="9567" priority="176" operator="equal">
      <formula>$O$7</formula>
    </cfRule>
    <cfRule type="cellIs" dxfId="9566" priority="177" operator="equal">
      <formula>$O$6</formula>
    </cfRule>
    <cfRule type="cellIs" dxfId="9565" priority="178" operator="equal">
      <formula>$O$5</formula>
    </cfRule>
  </conditionalFormatting>
  <conditionalFormatting sqref="F18:F19">
    <cfRule type="duplicateValues" dxfId="9564" priority="164"/>
  </conditionalFormatting>
  <conditionalFormatting sqref="H18:H19">
    <cfRule type="cellIs" dxfId="9563" priority="163" operator="equal">
      <formula>0</formula>
    </cfRule>
  </conditionalFormatting>
  <conditionalFormatting sqref="H18:H19">
    <cfRule type="duplicateValues" dxfId="9562" priority="162"/>
  </conditionalFormatting>
  <conditionalFormatting sqref="G18:G19">
    <cfRule type="cellIs" dxfId="9561" priority="159" operator="equal">
      <formula>0</formula>
    </cfRule>
  </conditionalFormatting>
  <conditionalFormatting sqref="G18">
    <cfRule type="duplicateValues" dxfId="9560" priority="160"/>
  </conditionalFormatting>
  <conditionalFormatting sqref="G19">
    <cfRule type="duplicateValues" dxfId="9559" priority="161"/>
  </conditionalFormatting>
  <conditionalFormatting sqref="H18:H19">
    <cfRule type="duplicateValues" dxfId="9558" priority="145"/>
    <cfRule type="duplicateValues" dxfId="9557" priority="146"/>
  </conditionalFormatting>
  <conditionalFormatting sqref="H18:H19">
    <cfRule type="cellIs" dxfId="9556" priority="144" operator="equal">
      <formula>0</formula>
    </cfRule>
  </conditionalFormatting>
  <conditionalFormatting sqref="H18">
    <cfRule type="duplicateValues" dxfId="9555" priority="147"/>
  </conditionalFormatting>
  <conditionalFormatting sqref="H19">
    <cfRule type="duplicateValues" dxfId="9554" priority="148"/>
  </conditionalFormatting>
  <conditionalFormatting sqref="H18:H19">
    <cfRule type="cellIs" dxfId="9553" priority="130" operator="equal">
      <formula>$O$18</formula>
    </cfRule>
    <cfRule type="cellIs" dxfId="9552" priority="131" operator="equal">
      <formula>$O$17</formula>
    </cfRule>
    <cfRule type="cellIs" dxfId="9551" priority="132" operator="equal">
      <formula>$O$16</formula>
    </cfRule>
    <cfRule type="cellIs" dxfId="9550" priority="133" operator="equal">
      <formula>$O$15</formula>
    </cfRule>
    <cfRule type="cellIs" dxfId="9549" priority="134" operator="equal">
      <formula>$O$14</formula>
    </cfRule>
    <cfRule type="cellIs" dxfId="9548" priority="135" operator="equal">
      <formula>$O$13</formula>
    </cfRule>
    <cfRule type="cellIs" dxfId="9547" priority="136" operator="equal">
      <formula>$O$12</formula>
    </cfRule>
    <cfRule type="cellIs" dxfId="9546" priority="137" operator="equal">
      <formula>$O$11</formula>
    </cfRule>
    <cfRule type="cellIs" dxfId="9545" priority="138" operator="equal">
      <formula>$O$10</formula>
    </cfRule>
    <cfRule type="cellIs" dxfId="9544" priority="139" operator="equal">
      <formula>$O$9</formula>
    </cfRule>
    <cfRule type="cellIs" dxfId="9543" priority="140" operator="equal">
      <formula>$O$8</formula>
    </cfRule>
    <cfRule type="cellIs" dxfId="9542" priority="141" operator="equal">
      <formula>$O$7</formula>
    </cfRule>
    <cfRule type="cellIs" dxfId="9541" priority="142" operator="equal">
      <formula>$O$6</formula>
    </cfRule>
    <cfRule type="cellIs" dxfId="9540" priority="143" operator="equal">
      <formula>$O$5</formula>
    </cfRule>
  </conditionalFormatting>
  <conditionalFormatting sqref="H18:H19">
    <cfRule type="duplicateValues" dxfId="9539" priority="129"/>
  </conditionalFormatting>
  <conditionalFormatting sqref="L18:L19">
    <cfRule type="cellIs" dxfId="9538" priority="128" operator="equal">
      <formula>0</formula>
    </cfRule>
  </conditionalFormatting>
  <conditionalFormatting sqref="L18:L19">
    <cfRule type="duplicateValues" dxfId="9537" priority="127"/>
  </conditionalFormatting>
  <conditionalFormatting sqref="K18:K19">
    <cfRule type="cellIs" dxfId="9536" priority="124" operator="equal">
      <formula>0</formula>
    </cfRule>
  </conditionalFormatting>
  <conditionalFormatting sqref="K18">
    <cfRule type="duplicateValues" dxfId="9535" priority="125"/>
  </conditionalFormatting>
  <conditionalFormatting sqref="K19">
    <cfRule type="duplicateValues" dxfId="9534" priority="126"/>
  </conditionalFormatting>
  <conditionalFormatting sqref="L18:L19">
    <cfRule type="duplicateValues" dxfId="9533" priority="110"/>
    <cfRule type="duplicateValues" dxfId="9532" priority="111"/>
  </conditionalFormatting>
  <conditionalFormatting sqref="L18:L19">
    <cfRule type="cellIs" dxfId="9531" priority="109" operator="equal">
      <formula>0</formula>
    </cfRule>
  </conditionalFormatting>
  <conditionalFormatting sqref="L18">
    <cfRule type="duplicateValues" dxfId="9530" priority="112"/>
  </conditionalFormatting>
  <conditionalFormatting sqref="L19">
    <cfRule type="duplicateValues" dxfId="9529" priority="113"/>
  </conditionalFormatting>
  <conditionalFormatting sqref="L18:L19">
    <cfRule type="cellIs" dxfId="9528" priority="95" operator="equal">
      <formula>$O$18</formula>
    </cfRule>
    <cfRule type="cellIs" dxfId="9527" priority="96" operator="equal">
      <formula>$O$17</formula>
    </cfRule>
    <cfRule type="cellIs" dxfId="9526" priority="97" operator="equal">
      <formula>$O$16</formula>
    </cfRule>
    <cfRule type="cellIs" dxfId="9525" priority="98" operator="equal">
      <formula>$O$15</formula>
    </cfRule>
    <cfRule type="cellIs" dxfId="9524" priority="99" operator="equal">
      <formula>$O$14</formula>
    </cfRule>
    <cfRule type="cellIs" dxfId="9523" priority="100" operator="equal">
      <formula>$O$13</formula>
    </cfRule>
    <cfRule type="cellIs" dxfId="9522" priority="101" operator="equal">
      <formula>$O$12</formula>
    </cfRule>
    <cfRule type="cellIs" dxfId="9521" priority="102" operator="equal">
      <formula>$O$11</formula>
    </cfRule>
    <cfRule type="cellIs" dxfId="9520" priority="103" operator="equal">
      <formula>$O$10</formula>
    </cfRule>
    <cfRule type="cellIs" dxfId="9519" priority="104" operator="equal">
      <formula>$O$9</formula>
    </cfRule>
    <cfRule type="cellIs" dxfId="9518" priority="105" operator="equal">
      <formula>$O$8</formula>
    </cfRule>
    <cfRule type="cellIs" dxfId="9517" priority="106" operator="equal">
      <formula>$O$7</formula>
    </cfRule>
    <cfRule type="cellIs" dxfId="9516" priority="107" operator="equal">
      <formula>$O$6</formula>
    </cfRule>
    <cfRule type="cellIs" dxfId="9515" priority="108" operator="equal">
      <formula>$O$5</formula>
    </cfRule>
  </conditionalFormatting>
  <conditionalFormatting sqref="L18:L19">
    <cfRule type="duplicateValues" dxfId="9514" priority="94"/>
  </conditionalFormatting>
  <conditionalFormatting sqref="E38">
    <cfRule type="duplicateValues" dxfId="9513" priority="66"/>
  </conditionalFormatting>
  <conditionalFormatting sqref="E38:E42">
    <cfRule type="cellIs" dxfId="9512" priority="67" operator="equal">
      <formula>0</formula>
    </cfRule>
  </conditionalFormatting>
  <conditionalFormatting sqref="E38">
    <cfRule type="duplicateValues" dxfId="9511" priority="93"/>
  </conditionalFormatting>
  <conditionalFormatting sqref="E38:E51">
    <cfRule type="cellIs" dxfId="9510" priority="65" operator="equal">
      <formula>0</formula>
    </cfRule>
  </conditionalFormatting>
  <conditionalFormatting sqref="E39">
    <cfRule type="duplicateValues" dxfId="9509" priority="80"/>
    <cfRule type="duplicateValues" dxfId="9508" priority="92"/>
  </conditionalFormatting>
  <conditionalFormatting sqref="E40">
    <cfRule type="duplicateValues" dxfId="9507" priority="79"/>
    <cfRule type="duplicateValues" dxfId="9506" priority="91"/>
  </conditionalFormatting>
  <conditionalFormatting sqref="E42">
    <cfRule type="duplicateValues" dxfId="9505" priority="77"/>
    <cfRule type="duplicateValues" dxfId="9504" priority="89"/>
  </conditionalFormatting>
  <conditionalFormatting sqref="E43">
    <cfRule type="duplicateValues" dxfId="9503" priority="76"/>
    <cfRule type="duplicateValues" dxfId="9502" priority="88"/>
  </conditionalFormatting>
  <conditionalFormatting sqref="E44">
    <cfRule type="duplicateValues" dxfId="9501" priority="75"/>
    <cfRule type="duplicateValues" dxfId="9500" priority="87"/>
  </conditionalFormatting>
  <conditionalFormatting sqref="E45">
    <cfRule type="duplicateValues" dxfId="9499" priority="74"/>
    <cfRule type="duplicateValues" dxfId="9498" priority="86"/>
  </conditionalFormatting>
  <conditionalFormatting sqref="E46">
    <cfRule type="duplicateValues" dxfId="9497" priority="73"/>
    <cfRule type="duplicateValues" dxfId="9496" priority="85"/>
  </conditionalFormatting>
  <conditionalFormatting sqref="E47">
    <cfRule type="duplicateValues" dxfId="9495" priority="72"/>
    <cfRule type="duplicateValues" dxfId="9494" priority="84"/>
  </conditionalFormatting>
  <conditionalFormatting sqref="E48">
    <cfRule type="duplicateValues" dxfId="9493" priority="71"/>
    <cfRule type="duplicateValues" dxfId="9492" priority="83"/>
  </conditionalFormatting>
  <conditionalFormatting sqref="E49">
    <cfRule type="duplicateValues" dxfId="9491" priority="70"/>
    <cfRule type="duplicateValues" dxfId="9490" priority="81"/>
  </conditionalFormatting>
  <conditionalFormatting sqref="E49">
    <cfRule type="duplicateValues" dxfId="9489" priority="82"/>
  </conditionalFormatting>
  <conditionalFormatting sqref="E50">
    <cfRule type="duplicateValues" dxfId="9488" priority="68"/>
  </conditionalFormatting>
  <conditionalFormatting sqref="E50">
    <cfRule type="duplicateValues" dxfId="9487" priority="69"/>
  </conditionalFormatting>
  <conditionalFormatting sqref="E51">
    <cfRule type="duplicateValues" dxfId="9486" priority="63"/>
  </conditionalFormatting>
  <conditionalFormatting sqref="E51">
    <cfRule type="duplicateValues" dxfId="9485" priority="64"/>
  </conditionalFormatting>
  <conditionalFormatting sqref="E41">
    <cfRule type="duplicateValues" dxfId="9484" priority="78"/>
    <cfRule type="duplicateValues" dxfId="9483" priority="90"/>
  </conditionalFormatting>
  <conditionalFormatting sqref="G38">
    <cfRule type="duplicateValues" dxfId="9482" priority="35"/>
  </conditionalFormatting>
  <conditionalFormatting sqref="G38:G42">
    <cfRule type="cellIs" dxfId="9481" priority="36" operator="equal">
      <formula>0</formula>
    </cfRule>
  </conditionalFormatting>
  <conditionalFormatting sqref="G38">
    <cfRule type="duplicateValues" dxfId="9480" priority="62"/>
  </conditionalFormatting>
  <conditionalFormatting sqref="G38:G51">
    <cfRule type="cellIs" dxfId="9479" priority="34" operator="equal">
      <formula>0</formula>
    </cfRule>
  </conditionalFormatting>
  <conditionalFormatting sqref="G39">
    <cfRule type="duplicateValues" dxfId="9478" priority="49"/>
    <cfRule type="duplicateValues" dxfId="9477" priority="61"/>
  </conditionalFormatting>
  <conditionalFormatting sqref="G40">
    <cfRule type="duplicateValues" dxfId="9476" priority="48"/>
    <cfRule type="duplicateValues" dxfId="9475" priority="60"/>
  </conditionalFormatting>
  <conditionalFormatting sqref="G42">
    <cfRule type="duplicateValues" dxfId="9474" priority="46"/>
    <cfRule type="duplicateValues" dxfId="9473" priority="58"/>
  </conditionalFormatting>
  <conditionalFormatting sqref="G43">
    <cfRule type="duplicateValues" dxfId="9472" priority="45"/>
    <cfRule type="duplicateValues" dxfId="9471" priority="57"/>
  </conditionalFormatting>
  <conditionalFormatting sqref="G44">
    <cfRule type="duplicateValues" dxfId="9470" priority="44"/>
    <cfRule type="duplicateValues" dxfId="9469" priority="56"/>
  </conditionalFormatting>
  <conditionalFormatting sqref="G45">
    <cfRule type="duplicateValues" dxfId="9468" priority="43"/>
    <cfRule type="duplicateValues" dxfId="9467" priority="55"/>
  </conditionalFormatting>
  <conditionalFormatting sqref="G46">
    <cfRule type="duplicateValues" dxfId="9466" priority="42"/>
    <cfRule type="duplicateValues" dxfId="9465" priority="54"/>
  </conditionalFormatting>
  <conditionalFormatting sqref="G47">
    <cfRule type="duplicateValues" dxfId="9464" priority="41"/>
    <cfRule type="duplicateValues" dxfId="9463" priority="53"/>
  </conditionalFormatting>
  <conditionalFormatting sqref="G48">
    <cfRule type="duplicateValues" dxfId="9462" priority="40"/>
    <cfRule type="duplicateValues" dxfId="9461" priority="52"/>
  </conditionalFormatting>
  <conditionalFormatting sqref="G49">
    <cfRule type="duplicateValues" dxfId="9460" priority="39"/>
    <cfRule type="duplicateValues" dxfId="9459" priority="50"/>
  </conditionalFormatting>
  <conditionalFormatting sqref="G49">
    <cfRule type="duplicateValues" dxfId="9458" priority="51"/>
  </conditionalFormatting>
  <conditionalFormatting sqref="G50">
    <cfRule type="duplicateValues" dxfId="9457" priority="37"/>
  </conditionalFormatting>
  <conditionalFormatting sqref="G50">
    <cfRule type="duplicateValues" dxfId="9456" priority="38"/>
  </conditionalFormatting>
  <conditionalFormatting sqref="G51">
    <cfRule type="duplicateValues" dxfId="9455" priority="32"/>
  </conditionalFormatting>
  <conditionalFormatting sqref="G51">
    <cfRule type="duplicateValues" dxfId="9454" priority="33"/>
  </conditionalFormatting>
  <conditionalFormatting sqref="G41">
    <cfRule type="duplicateValues" dxfId="9453" priority="47"/>
    <cfRule type="duplicateValues" dxfId="9452" priority="59"/>
  </conditionalFormatting>
  <conditionalFormatting sqref="I38">
    <cfRule type="duplicateValues" dxfId="9451" priority="4"/>
  </conditionalFormatting>
  <conditionalFormatting sqref="I38:I42">
    <cfRule type="cellIs" dxfId="9450" priority="5" operator="equal">
      <formula>0</formula>
    </cfRule>
  </conditionalFormatting>
  <conditionalFormatting sqref="I38">
    <cfRule type="duplicateValues" dxfId="9449" priority="31"/>
  </conditionalFormatting>
  <conditionalFormatting sqref="I38:I51">
    <cfRule type="cellIs" dxfId="9448" priority="3" operator="equal">
      <formula>0</formula>
    </cfRule>
  </conditionalFormatting>
  <conditionalFormatting sqref="I39">
    <cfRule type="duplicateValues" dxfId="9447" priority="18"/>
    <cfRule type="duplicateValues" dxfId="9446" priority="30"/>
  </conditionalFormatting>
  <conditionalFormatting sqref="I40">
    <cfRule type="duplicateValues" dxfId="9445" priority="17"/>
    <cfRule type="duplicateValues" dxfId="9444" priority="29"/>
  </conditionalFormatting>
  <conditionalFormatting sqref="I42">
    <cfRule type="duplicateValues" dxfId="9443" priority="15"/>
    <cfRule type="duplicateValues" dxfId="9442" priority="27"/>
  </conditionalFormatting>
  <conditionalFormatting sqref="I43">
    <cfRule type="duplicateValues" dxfId="9441" priority="14"/>
    <cfRule type="duplicateValues" dxfId="9440" priority="26"/>
  </conditionalFormatting>
  <conditionalFormatting sqref="I44">
    <cfRule type="duplicateValues" dxfId="9439" priority="13"/>
    <cfRule type="duplicateValues" dxfId="9438" priority="25"/>
  </conditionalFormatting>
  <conditionalFormatting sqref="I45">
    <cfRule type="duplicateValues" dxfId="9437" priority="12"/>
    <cfRule type="duplicateValues" dxfId="9436" priority="24"/>
  </conditionalFormatting>
  <conditionalFormatting sqref="I46">
    <cfRule type="duplicateValues" dxfId="9435" priority="11"/>
    <cfRule type="duplicateValues" dxfId="9434" priority="23"/>
  </conditionalFormatting>
  <conditionalFormatting sqref="I47">
    <cfRule type="duplicateValues" dxfId="9433" priority="10"/>
    <cfRule type="duplicateValues" dxfId="9432" priority="22"/>
  </conditionalFormatting>
  <conditionalFormatting sqref="I48">
    <cfRule type="duplicateValues" dxfId="9431" priority="9"/>
    <cfRule type="duplicateValues" dxfId="9430" priority="21"/>
  </conditionalFormatting>
  <conditionalFormatting sqref="I49">
    <cfRule type="duplicateValues" dxfId="9429" priority="8"/>
    <cfRule type="duplicateValues" dxfId="9428" priority="19"/>
  </conditionalFormatting>
  <conditionalFormatting sqref="I49">
    <cfRule type="duplicateValues" dxfId="9427" priority="20"/>
  </conditionalFormatting>
  <conditionalFormatting sqref="I50">
    <cfRule type="duplicateValues" dxfId="9426" priority="6"/>
  </conditionalFormatting>
  <conditionalFormatting sqref="I50">
    <cfRule type="duplicateValues" dxfId="9425" priority="7"/>
  </conditionalFormatting>
  <conditionalFormatting sqref="I51">
    <cfRule type="duplicateValues" dxfId="9424" priority="1"/>
  </conditionalFormatting>
  <conditionalFormatting sqref="I51">
    <cfRule type="duplicateValues" dxfId="9423" priority="2"/>
  </conditionalFormatting>
  <conditionalFormatting sqref="I41">
    <cfRule type="duplicateValues" dxfId="9422" priority="16"/>
    <cfRule type="duplicateValues" dxfId="9421" priority="28"/>
  </conditionalFormatting>
  <dataValidations count="66">
    <dataValidation type="list" allowBlank="1" showInputMessage="1" sqref="N18:N19 F17 H17 L17" xr:uid="{00000000-0002-0000-0500-000000000000}">
      <formula1>$Y$100:$Y$107</formula1>
    </dataValidation>
    <dataValidation type="list" allowBlank="1" showInputMessage="1" sqref="N15 L15 H15 F15" xr:uid="{00000000-0002-0000-0500-000001000000}">
      <formula1>$U$100:$U$107</formula1>
    </dataValidation>
    <dataValidation type="list" allowBlank="1" showInputMessage="1" sqref="N10 L10 H10 F10" xr:uid="{00000000-0002-0000-0500-000002000000}">
      <formula1>$K$100:$K$107</formula1>
    </dataValidation>
    <dataValidation type="list" allowBlank="1" showInputMessage="1" sqref="N9 L9 H9 F9" xr:uid="{00000000-0002-0000-0500-000003000000}">
      <formula1>$I$100:$I$107</formula1>
    </dataValidation>
    <dataValidation type="list" allowBlank="1" showInputMessage="1" sqref="N8 L8 H8 F8" xr:uid="{00000000-0002-0000-0500-000004000000}">
      <formula1>$G$100:$G$107</formula1>
    </dataValidation>
    <dataValidation type="list" allowBlank="1" showInputMessage="1" sqref="N6 L6 H6 F6" xr:uid="{00000000-0002-0000-0500-000005000000}">
      <formula1>$C$100:$C$107</formula1>
    </dataValidation>
    <dataValidation type="list" allowBlank="1" showInputMessage="1" sqref="N7 L7 H7 F7" xr:uid="{00000000-0002-0000-0500-000006000000}">
      <formula1>$E$100:$E$107</formula1>
    </dataValidation>
    <dataValidation type="list" allowBlank="1" showInputMessage="1" sqref="Q26:R26 H16 F16 L16 N16" xr:uid="{00000000-0002-0000-0500-000007000000}">
      <formula1>$W$100:$W$107</formula1>
    </dataValidation>
    <dataValidation type="list" allowBlank="1" showInputMessage="1" sqref="N13 L13 H13 F13" xr:uid="{00000000-0002-0000-0500-000008000000}">
      <formula1>$Q$100:$Q$107</formula1>
    </dataValidation>
    <dataValidation type="list" allowBlank="1" showInputMessage="1" sqref="N12 L12 H12 F12" xr:uid="{00000000-0002-0000-0500-000009000000}">
      <formula1>$O$100:$O$107</formula1>
    </dataValidation>
    <dataValidation type="list" allowBlank="1" showInputMessage="1" sqref="N11 L11 H11 F11" xr:uid="{00000000-0002-0000-0500-00000A000000}">
      <formula1>$M$100:$M$107</formula1>
    </dataValidation>
    <dataValidation type="list" allowBlank="1" showInputMessage="1" sqref="N5 H5 L5 F5" xr:uid="{00000000-0002-0000-0500-00000B000000}">
      <formula1>$A$100:$A$107</formula1>
    </dataValidation>
    <dataValidation type="list" allowBlank="1" showInputMessage="1" sqref="N14 H14 L14 F14" xr:uid="{00000000-0002-0000-0500-00000C000000}">
      <formula1>$S$100:$S$106</formula1>
    </dataValidation>
    <dataValidation type="list" allowBlank="1" showInputMessage="1" sqref="F25 N25 L25 H25" xr:uid="{00000000-0002-0000-0500-00000D000000}">
      <formula1>$I$88:$I$95</formula1>
    </dataValidation>
    <dataValidation type="list" allowBlank="1" showInputMessage="1" sqref="F23 N23 L23 H23" xr:uid="{00000000-0002-0000-0500-00000E000000}">
      <formula1>$E$88:$E$95</formula1>
    </dataValidation>
    <dataValidation type="list" allowBlank="1" showInputMessage="1" sqref="F21 N21 H21 L21" xr:uid="{00000000-0002-0000-0500-00000F000000}">
      <formula1>$A$88:$A$95</formula1>
    </dataValidation>
    <dataValidation type="list" allowBlank="1" showInputMessage="1" sqref="F33 N33 H33 L33" xr:uid="{00000000-0002-0000-0500-000010000000}">
      <formula1>$Y$88:$Y$95</formula1>
    </dataValidation>
    <dataValidation type="list" allowBlank="1" showInputMessage="1" sqref="F31 N31 H31 L31" xr:uid="{00000000-0002-0000-0500-000011000000}">
      <formula1>$U$88:$U$95</formula1>
    </dataValidation>
    <dataValidation type="list" allowBlank="1" showInputMessage="1" sqref="F30 N30 H30 L30" xr:uid="{00000000-0002-0000-0500-000012000000}">
      <formula1>$S$88:$S$95</formula1>
    </dataValidation>
    <dataValidation type="list" allowBlank="1" showInputMessage="1" sqref="F29 N29 H29 L29" xr:uid="{00000000-0002-0000-0500-000013000000}">
      <formula1>$Q$88:$Q$94</formula1>
    </dataValidation>
    <dataValidation type="list" allowBlank="1" showInputMessage="1" sqref="F28 N28 H28 L28" xr:uid="{00000000-0002-0000-0500-000014000000}">
      <formula1>$O$88:$O$95</formula1>
    </dataValidation>
    <dataValidation type="list" allowBlank="1" showInputMessage="1" sqref="F22 N22 H22 L22" xr:uid="{00000000-0002-0000-0500-000015000000}">
      <formula1>$C$88:$C$95</formula1>
    </dataValidation>
    <dataValidation type="list" allowBlank="1" showInputMessage="1" sqref="N49" xr:uid="{00000000-0002-0000-0500-000016000000}">
      <formula1>$Y$74:$Y$83</formula1>
    </dataValidation>
    <dataValidation type="list" allowBlank="1" showInputMessage="1" sqref="N48" xr:uid="{00000000-0002-0000-0500-000017000000}">
      <formula1>$W$74:$W$83</formula1>
    </dataValidation>
    <dataValidation type="list" allowBlank="1" showInputMessage="1" sqref="N47" xr:uid="{00000000-0002-0000-0500-000018000000}">
      <formula1>$U$74:$U$83</formula1>
    </dataValidation>
    <dataValidation type="list" allowBlank="1" showInputMessage="1" sqref="N46" xr:uid="{00000000-0002-0000-0500-000019000000}">
      <formula1>$S$74:$S$83</formula1>
    </dataValidation>
    <dataValidation type="list" allowBlank="1" showInputMessage="1" sqref="N45" xr:uid="{00000000-0002-0000-0500-00001A000000}">
      <formula1>$Q$74:$Q$83</formula1>
    </dataValidation>
    <dataValidation type="list" allowBlank="1" showInputMessage="1" sqref="N44 L45:L53" xr:uid="{00000000-0002-0000-0500-00001B000000}">
      <formula1>$O$74:$O$83</formula1>
    </dataValidation>
    <dataValidation type="list" allowBlank="1" showInputMessage="1" sqref="N43 L44" xr:uid="{00000000-0002-0000-0500-00001C000000}">
      <formula1>$M$74:$M$83</formula1>
    </dataValidation>
    <dataValidation type="list" allowBlank="1" showInputMessage="1" sqref="N42 L43" xr:uid="{00000000-0002-0000-0500-00001D000000}">
      <formula1>$K$74:$K$83</formula1>
    </dataValidation>
    <dataValidation type="list" allowBlank="1" showInputMessage="1" sqref="N41 L42" xr:uid="{00000000-0002-0000-0500-00001E000000}">
      <formula1>$I$74:$I$83</formula1>
    </dataValidation>
    <dataValidation type="list" allowBlank="1" showInputMessage="1" sqref="N40 L41" xr:uid="{00000000-0002-0000-0500-00001F000000}">
      <formula1>$G$74:$G$83</formula1>
    </dataValidation>
    <dataValidation type="list" allowBlank="1" showInputMessage="1" sqref="N39 L40" xr:uid="{00000000-0002-0000-0500-000020000000}">
      <formula1>$E$74:$E$83</formula1>
    </dataValidation>
    <dataValidation type="list" allowBlank="1" showInputMessage="1" sqref="N38 L39" xr:uid="{00000000-0002-0000-0500-000021000000}">
      <formula1>$C$74:$C$83</formula1>
    </dataValidation>
    <dataValidation type="list" allowBlank="1" showInputMessage="1" sqref="N37 L38" xr:uid="{00000000-0002-0000-0500-000022000000}">
      <formula1>$A$74:$A$83</formula1>
    </dataValidation>
    <dataValidation type="list" allowBlank="1" showInputMessage="1" sqref="N27" xr:uid="{00000000-0002-0000-0500-000023000000}">
      <formula1>$M$88:$M$94</formula1>
    </dataValidation>
    <dataValidation type="list" allowBlank="1" showInputMessage="1" sqref="F26 H26 L26 N26" xr:uid="{00000000-0002-0000-0500-000024000000}">
      <formula1>$K$88:$K$94</formula1>
    </dataValidation>
    <dataValidation type="list" allowBlank="1" showInputMessage="1" sqref="H24 F24 L24 N24" xr:uid="{00000000-0002-0000-0500-000025000000}">
      <formula1>$G$88:$G$94</formula1>
    </dataValidation>
    <dataValidation type="list" allowBlank="1" showInputMessage="1" sqref="N32" xr:uid="{00000000-0002-0000-0500-000026000000}">
      <formula1>$W$88:$W$94</formula1>
    </dataValidation>
    <dataValidation type="list" allowBlank="1" showInputMessage="1" sqref="F50" xr:uid="{00000000-0002-0000-0500-000027000000}">
      <formula1>$Y$74:$Y$81</formula1>
    </dataValidation>
    <dataValidation type="list" allowBlank="1" showInputMessage="1" sqref="F49" xr:uid="{00000000-0002-0000-0500-000028000000}">
      <formula1>$W$74:$W$81</formula1>
    </dataValidation>
    <dataValidation type="list" allowBlank="1" showInputMessage="1" sqref="F48" xr:uid="{00000000-0002-0000-0500-000029000000}">
      <formula1>$U$74:$U$81</formula1>
    </dataValidation>
    <dataValidation type="list" allowBlank="1" showInputMessage="1" sqref="F34 L34 H34" xr:uid="{00000000-0002-0000-0500-00002A000000}">
      <formula1>$AA$88:$AA$94</formula1>
    </dataValidation>
    <dataValidation type="list" allowBlank="1" showInputMessage="1" sqref="F51" xr:uid="{00000000-0002-0000-0500-00002B000000}">
      <formula1>$AA$74:$AA$81</formula1>
    </dataValidation>
    <dataValidation type="list" allowBlank="1" showInputMessage="1" sqref="F32 H32 L32" xr:uid="{00000000-0002-0000-0500-00002C000000}">
      <formula1>$W$88:$W$95</formula1>
    </dataValidation>
    <dataValidation type="list" allowBlank="1" showInputMessage="1" sqref="F27 H27 L27" xr:uid="{00000000-0002-0000-0500-00002D000000}">
      <formula1>$M$88:$M$95</formula1>
    </dataValidation>
    <dataValidation type="list" allowBlank="1" showInputMessage="1" showErrorMessage="1" sqref="H51 J51" xr:uid="{00000000-0002-0000-0500-00002E000000}">
      <formula1>$AA$74:$AA$79</formula1>
    </dataValidation>
    <dataValidation type="list" allowBlank="1" showInputMessage="1" showErrorMessage="1" sqref="J50 H50" xr:uid="{00000000-0002-0000-0500-00002F000000}">
      <formula1>$Y$74:$Y$79</formula1>
    </dataValidation>
    <dataValidation type="list" allowBlank="1" showInputMessage="1" showErrorMessage="1" sqref="J49 H49" xr:uid="{00000000-0002-0000-0500-000030000000}">
      <formula1>$W$74:$W$79</formula1>
    </dataValidation>
    <dataValidation type="list" allowBlank="1" showInputMessage="1" showErrorMessage="1" sqref="J48 H48" xr:uid="{00000000-0002-0000-0500-000031000000}">
      <formula1>$U$74:$U$79</formula1>
    </dataValidation>
    <dataValidation type="list" allowBlank="1" showInputMessage="1" showErrorMessage="1" sqref="J47 H47" xr:uid="{00000000-0002-0000-0500-000032000000}">
      <formula1>$S$74:$S$79</formula1>
    </dataValidation>
    <dataValidation type="list" allowBlank="1" showInputMessage="1" showErrorMessage="1" sqref="J46 H46" xr:uid="{00000000-0002-0000-0500-000033000000}">
      <formula1>$Q$74:$Q$79</formula1>
    </dataValidation>
    <dataValidation type="list" allowBlank="1" showInputMessage="1" showErrorMessage="1" sqref="J45 H45" xr:uid="{00000000-0002-0000-0500-000034000000}">
      <formula1>$O$74:$O$79</formula1>
    </dataValidation>
    <dataValidation type="list" allowBlank="1" showInputMessage="1" showErrorMessage="1" sqref="J44 H44" xr:uid="{00000000-0002-0000-0500-000035000000}">
      <formula1>$M$74:$M$79</formula1>
    </dataValidation>
    <dataValidation type="list" allowBlank="1" showInputMessage="1" showErrorMessage="1" sqref="J43 H43" xr:uid="{00000000-0002-0000-0500-000036000000}">
      <formula1>$K$74:$K$79</formula1>
    </dataValidation>
    <dataValidation type="list" allowBlank="1" showInputMessage="1" showErrorMessage="1" sqref="J42 H42" xr:uid="{00000000-0002-0000-0500-000037000000}">
      <formula1>$I$74:$I$79</formula1>
    </dataValidation>
    <dataValidation type="list" allowBlank="1" showInputMessage="1" showErrorMessage="1" sqref="J41 H41" xr:uid="{00000000-0002-0000-0500-000038000000}">
      <formula1>$G$74:$G$79</formula1>
    </dataValidation>
    <dataValidation type="list" allowBlank="1" showInputMessage="1" showErrorMessage="1" sqref="J40 H40" xr:uid="{00000000-0002-0000-0500-000039000000}">
      <formula1>$E$74:$E$79</formula1>
    </dataValidation>
    <dataValidation type="list" allowBlank="1" showInputMessage="1" showErrorMessage="1" sqref="J39 H39" xr:uid="{00000000-0002-0000-0500-00003A000000}">
      <formula1>$C$74:$C$79</formula1>
    </dataValidation>
    <dataValidation type="list" allowBlank="1" showInputMessage="1" showErrorMessage="1" sqref="J38 H38" xr:uid="{00000000-0002-0000-0500-00003B000000}">
      <formula1>$A$74:$A$79</formula1>
    </dataValidation>
    <dataValidation type="list" allowBlank="1" showInputMessage="1" showErrorMessage="1" sqref="E52:E53 G52:G53 I52:I53" xr:uid="{00000000-0002-0000-0500-00003C000000}">
      <formula1>$AD$74:$AD$83</formula1>
    </dataValidation>
    <dataValidation type="list" allowBlank="1" showInputMessage="1" showErrorMessage="1" sqref="F52:F53 H52:H53 J52:J53" xr:uid="{00000000-0002-0000-0500-00003D000000}">
      <formula1>$AC$74:$AC$83</formula1>
    </dataValidation>
    <dataValidation type="list" allowBlank="1" showInputMessage="1" showErrorMessage="1" sqref="H35:H36 L35:L36 F35:F36" xr:uid="{00000000-0002-0000-0500-00003E000000}">
      <formula1>$AC$88:$AC$95</formula1>
    </dataValidation>
    <dataValidation type="list" allowBlank="1" showInputMessage="1" showErrorMessage="1" sqref="G35:G36 K35:K36 E35:E36" xr:uid="{00000000-0002-0000-0500-00003F000000}">
      <formula1>$AD$88:$AD$95</formula1>
    </dataValidation>
    <dataValidation type="list" allowBlank="1" showInputMessage="1" showErrorMessage="1" sqref="F18:F19 H18:H19 L18:L19" xr:uid="{00000000-0002-0000-0500-000040000000}">
      <formula1>$AA$100:$AA$107</formula1>
    </dataValidation>
    <dataValidation type="list" allowBlank="1" showInputMessage="1" showErrorMessage="1" sqref="E18:E19 G18:G19 K18:K19" xr:uid="{00000000-0002-0000-0500-000041000000}">
      <formula1>$AB$100:$AB$107</formula1>
    </dataValidation>
  </dataValidations>
  <pageMargins left="0.75" right="0.75" top="0.28000000000000003" bottom="0.17" header="0.5" footer="0.5"/>
  <pageSetup scale="85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F07128-1D8C-4336-8CEB-DBB28557C5BC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W4:W62</xm:sqref>
        </x14:conditionalFormatting>
        <x14:conditionalFormatting xmlns:xm="http://schemas.microsoft.com/office/excel/2006/main">
          <x14:cfRule type="containsText" priority="7006" operator="containsText" id="{3185D578-1317-4B98-A6AB-1DFF45F53F81}">
            <xm:f>NOT(ISERROR(SEARCH($O$5,Q26)))</xm:f>
            <xm:f>$O$5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007" operator="containsText" id="{32F5DDEC-3056-423B-BE16-E20295294A3B}">
            <xm:f>NOT(ISERROR(SEARCH($O$6,Q26)))</xm:f>
            <xm:f>$O$6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008" operator="containsText" id="{6C6F027F-6B70-46ED-B369-B9C17894555D}">
            <xm:f>NOT(ISERROR(SEARCH($O$7,Q26)))</xm:f>
            <xm:f>$O$7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794" operator="containsText" id="{323751C9-AEA7-4CEC-951C-30A656807E9E}">
            <xm:f>NOT(ISERROR(SEARCH($O$8,Q26)))</xm:f>
            <xm:f>$O$8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795" operator="containsText" id="{0DD6E583-B22D-4C4F-A58A-CBA65DA209C7}">
            <xm:f>NOT(ISERROR(SEARCH($O$9,Q26)))</xm:f>
            <xm:f>$O$9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796" operator="containsText" id="{3ABD8F41-DF21-4193-9645-B4546C9AC667}">
            <xm:f>NOT(ISERROR(SEARCH($O$11,Q26)))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797" operator="containsText" id="{6459B007-D0BB-44D7-ACF2-5C203EDA08B8}">
            <xm:f>NOT(ISERROR(SEARCH($O$12,Q26)))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798" operator="containsText" id="{A52396BC-B6DD-4A5F-85DD-981993BDE87D}">
            <xm:f>NOT(ISERROR(SEARCH($O$13,Q26)))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799" operator="containsText" id="{4016CE2F-21B4-4E9C-A57A-D9779D43BB17}">
            <xm:f>NOT(ISERROR(SEARCH($O$14,Q26)))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6787" operator="containsText" id="{2013687C-678B-44B4-AE8A-7018C3055500}">
            <xm:f>NOT(ISERROR(SEARCH($O$15,Q26)))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Q26</xm:sqref>
        </x14:conditionalFormatting>
        <x14:conditionalFormatting xmlns:xm="http://schemas.microsoft.com/office/excel/2006/main">
          <x14:cfRule type="containsText" priority="7808" operator="containsText" id="{85F5CFCD-93F5-41BE-90F0-D1BFF8ACB819}">
            <xm:f>NOT(ISERROR(SEARCH($O$5,R26)))</xm:f>
            <xm:f>$O$5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09" operator="containsText" id="{4763D398-348A-4060-AC4E-758EE7D20F0E}">
            <xm:f>NOT(ISERROR(SEARCH($O$6,R26)))</xm:f>
            <xm:f>$O$6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0" operator="containsText" id="{A849F15D-83F5-4E75-93F2-1301B5DA4379}">
            <xm:f>NOT(ISERROR(SEARCH($O$7,R26)))</xm:f>
            <xm:f>$O$7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1" operator="containsText" id="{5572B7F1-9EA8-45C6-964C-FD2A697BB49E}">
            <xm:f>NOT(ISERROR(SEARCH($O$8,R26)))</xm:f>
            <xm:f>$O$8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2" operator="containsText" id="{7404DFF1-1A79-42A9-A16E-C5AACD61740B}">
            <xm:f>NOT(ISERROR(SEARCH($O$9,R26)))</xm:f>
            <xm:f>$O$9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3" operator="containsText" id="{15EA74AC-06C2-41D8-B09E-F69D86802F77}">
            <xm:f>NOT(ISERROR(SEARCH($O$11,R26)))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4" operator="containsText" id="{599B9735-7884-4ED3-B02D-021E7D714AE8}">
            <xm:f>NOT(ISERROR(SEARCH($O$12,R26)))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5" operator="containsText" id="{E9FB0BAE-6927-47CC-BFA4-DC201F77A448}">
            <xm:f>NOT(ISERROR(SEARCH($O$13,R26)))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6" operator="containsText" id="{D39C7440-3AE5-4791-A27B-5BA5267D99A8}">
            <xm:f>NOT(ISERROR(SEARCH($O$14,R26)))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7817" operator="containsText" id="{450EF582-FE69-478F-AA6F-E3934E3E3ABA}">
            <xm:f>NOT(ISERROR(SEARCH($O$15,R26)))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R26</xm:sqref>
        </x14:conditionalFormatting>
        <x14:conditionalFormatting xmlns:xm="http://schemas.microsoft.com/office/excel/2006/main">
          <x14:cfRule type="containsText" priority="4710" operator="containsText" id="{8578FFEE-1448-47CD-B97C-FAB50C6B3B71}">
            <xm:f>NOT(ISERROR(SEARCH($O$5,F38)))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1" operator="containsText" id="{B1C1363C-D06B-440C-BF74-75C082F9BD4D}">
            <xm:f>NOT(ISERROR(SEARCH($O$6,F38)))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8" operator="containsText" id="{AB578809-8D0F-4DBE-941B-81C001140BF7}">
            <xm:f>NOT(ISERROR(SEARCH($O$7,F38)))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2" operator="containsText" id="{351650FF-1BE0-45BD-B3A7-E1568C7BEF6C}">
            <xm:f>NOT(ISERROR(SEARCH($O$8,F38)))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3" operator="containsText" id="{C1465B0D-D282-4048-B902-4C232E8BC02E}">
            <xm:f>NOT(ISERROR(SEARCH($O$9,F38)))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4" operator="containsText" id="{F1D38D11-CCAE-48A9-A0F8-29772C1C2A11}">
            <xm:f>NOT(ISERROR(SEARCH($O$11,F38)))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5" operator="containsText" id="{D06BF1AD-D793-4D6B-AA92-84A786AE2345}">
            <xm:f>NOT(ISERROR(SEARCH($O$12,F38)))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9" operator="containsText" id="{002F0D60-620A-4511-9419-AB05FBEBD3E1}">
            <xm:f>NOT(ISERROR(SEARCH($O$13,F38)))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6" operator="containsText" id="{1C1201CF-BB59-4297-966A-93121C5828A4}">
            <xm:f>NOT(ISERROR(SEARCH($O$14,F38)))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717" operator="containsText" id="{AB35ED60-D8E1-4063-B932-1163CD802D33}">
            <xm:f>NOT(ISERROR(SEARCH($O$15,F38)))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F38:F49</xm:sqref>
        </x14:conditionalFormatting>
        <x14:conditionalFormatting xmlns:xm="http://schemas.microsoft.com/office/excel/2006/main">
          <x14:cfRule type="containsText" priority="4667" operator="containsText" id="{177C8749-EDE0-4492-B714-CE0F2A016866}">
            <xm:f>NOT(ISERROR(SEARCH($O$12,F49)))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32" operator="containsText" id="{5FAECD03-CF7A-4AFC-8639-D031FCE2A934}">
            <xm:f>NOT(ISERROR(SEARCH($O$13,F49)))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31" operator="containsText" id="{BAED1F8C-9738-4981-B6F5-EF4F9544FB6D}">
            <xm:f>NOT(ISERROR(SEARCH($O$14,F49)))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68" operator="containsText" id="{5C43CDC3-9B07-44FF-A1E2-E39408D28DC5}">
            <xm:f>NOT(ISERROR(SEARCH($O$15,F49)))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69" operator="containsText" id="{792B8560-9057-4FEE-973D-868B07FD4FA3}">
            <xm:f>NOT(ISERROR(SEARCH($O$5,F49)))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40" operator="containsText" id="{EE72A34F-5C83-439C-AF7B-913F13F8A1FF}">
            <xm:f>NOT(ISERROR(SEARCH($O$6,F49)))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41" operator="containsText" id="{2927D0AC-C2DA-4E86-B43B-1A3E7CCA8E62}">
            <xm:f>NOT(ISERROR(SEARCH($O$7,F49)))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42" operator="containsText" id="{D1CBB2AF-EB4C-4B33-A6EC-5F540359AA1D}">
            <xm:f>NOT(ISERROR(SEARCH($O$8,F49)))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43" operator="containsText" id="{B86373F4-5DA1-405A-82FE-65B46070A3DE}">
            <xm:f>NOT(ISERROR(SEARCH($O$9,F49)))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66" operator="containsText" id="{48289A27-DC87-4522-9C16-06B00837F033}">
            <xm:f>NOT(ISERROR(SEARCH($O$11,F49)))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4609" operator="containsText" id="{B3BDD7AE-64BC-460F-B7D0-7865C700B758}">
            <xm:f>NOT(ISERROR(SEARCH($O$12,F50)))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74" operator="containsText" id="{BB54667F-5B6C-49C8-AE21-70C364D11FC9}">
            <xm:f>NOT(ISERROR(SEARCH($O$13,F50)))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73" operator="containsText" id="{BE34DAC0-0FCC-4E35-A686-10B7160FED41}">
            <xm:f>NOT(ISERROR(SEARCH($O$14,F50)))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610" operator="containsText" id="{01D0A7EE-4C30-4BAB-BE21-A7799B73A5E9}">
            <xm:f>NOT(ISERROR(SEARCH($O$15,F50)))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611" operator="containsText" id="{595B6C29-65C1-4CD2-B017-5F31FAB4C8DD}">
            <xm:f>NOT(ISERROR(SEARCH($O$5,F50)))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82" operator="containsText" id="{12269F5B-6823-4EEF-8D10-6DD17A927F53}">
            <xm:f>NOT(ISERROR(SEARCH($O$6,F50)))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83" operator="containsText" id="{CD396ECB-4398-4FE4-BA38-9E37743839DC}">
            <xm:f>NOT(ISERROR(SEARCH($O$7,F50)))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84" operator="containsText" id="{74467CDA-74C2-4589-820F-4ECD7FDA7263}">
            <xm:f>NOT(ISERROR(SEARCH($O$8,F50)))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85" operator="containsText" id="{8EA5B7FD-7ACF-4D37-BDEF-DEAED667D2AA}">
            <xm:f>NOT(ISERROR(SEARCH($O$9,F50)))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608" operator="containsText" id="{17BEBDAB-5808-4D8E-986D-93B71B0925EE}">
            <xm:f>NOT(ISERROR(SEARCH($O$11,F50)))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4551" operator="containsText" id="{5E365F3F-3DF9-411B-9F42-BD270C32DBAC}">
            <xm:f>NOT(ISERROR(SEARCH($O$12,F51)))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16" operator="containsText" id="{BB125E1A-5055-458B-9CEE-B11BD6133EAF}">
            <xm:f>NOT(ISERROR(SEARCH($O$13,F51)))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15" operator="containsText" id="{DCE698ED-7999-4613-B9E3-47FEA8F30ECF}">
            <xm:f>NOT(ISERROR(SEARCH($O$14,F51)))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52" operator="containsText" id="{7BAF444E-55DA-4D9D-AE38-710DC2018DA4}">
            <xm:f>NOT(ISERROR(SEARCH($O$15,F51)))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53" operator="containsText" id="{D2944120-5E55-4D1A-9B1B-0132D1E0DAB1}">
            <xm:f>NOT(ISERROR(SEARCH($O$5,F51)))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24" operator="containsText" id="{9EA0DC38-F84A-420A-BE71-5D95EAC420DE}">
            <xm:f>NOT(ISERROR(SEARCH($O$6,F51)))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25" operator="containsText" id="{1E9391EA-667E-474E-A645-569C18B5F6DC}">
            <xm:f>NOT(ISERROR(SEARCH($O$7,F51)))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26" operator="containsText" id="{01322D60-C59F-479A-A6D1-4993C6C485B3}">
            <xm:f>NOT(ISERROR(SEARCH($O$8,F51)))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27" operator="containsText" id="{C6C3A899-738B-4F4D-9718-86117B39E02A}">
            <xm:f>NOT(ISERROR(SEARCH($O$9,F51)))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550" operator="containsText" id="{25AE766B-D32E-4592-AE21-B9EC61395A78}">
            <xm:f>NOT(ISERROR(SEARCH($O$11,F51)))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1968" operator="containsText" id="{E9B7121F-E491-4789-9F93-9C935829E5F6}">
            <xm:f>NOT(ISERROR(SEARCH($O$5,H38)))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69" operator="containsText" id="{297ACFDC-514A-40F4-81AB-501A807AA5D3}">
            <xm:f>NOT(ISERROR(SEARCH($O$6,H38)))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6" operator="containsText" id="{4AA6F385-DB7C-4DEB-8AF6-73D945B7849C}">
            <xm:f>NOT(ISERROR(SEARCH($O$7,H38)))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0" operator="containsText" id="{1A237C37-D6DC-473B-B8D1-64E076298BCF}">
            <xm:f>NOT(ISERROR(SEARCH($O$8,H38)))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1" operator="containsText" id="{EB475750-AB32-4C16-AE3F-E4F0AE0B9AC3}">
            <xm:f>NOT(ISERROR(SEARCH($O$9,H38)))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2" operator="containsText" id="{D2FDA235-A38B-4B68-9842-E564BCAEABFF}">
            <xm:f>NOT(ISERROR(SEARCH($O$11,H38)))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3" operator="containsText" id="{4F4024E4-4E02-4263-868F-57CE6E160EE6}">
            <xm:f>NOT(ISERROR(SEARCH($O$12,H38)))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7" operator="containsText" id="{F46E1E4E-3C08-4D3A-9048-389DFE6E84FA}">
            <xm:f>NOT(ISERROR(SEARCH($O$13,H38)))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4" operator="containsText" id="{6D92259D-EE05-4888-9BEC-B580F537C842}">
            <xm:f>NOT(ISERROR(SEARCH($O$14,H38)))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75" operator="containsText" id="{E196C6EB-2660-4126-BBC4-5F5EEB87C7B8}">
            <xm:f>NOT(ISERROR(SEARCH($O$15,H38)))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H38:H49 J38:J49</xm:sqref>
        </x14:conditionalFormatting>
        <x14:conditionalFormatting xmlns:xm="http://schemas.microsoft.com/office/excel/2006/main">
          <x14:cfRule type="containsText" priority="1929" operator="containsText" id="{779F1253-D88C-4135-8639-257DB5FA3BDB}">
            <xm:f>NOT(ISERROR(SEARCH($O$12,H49)))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898" operator="containsText" id="{F3C65677-4F9A-4A27-BC06-61F9ACAEA67D}">
            <xm:f>NOT(ISERROR(SEARCH($O$13,H49)))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897" operator="containsText" id="{8E348BC3-7286-4981-A501-161DC4D82FFD}">
            <xm:f>NOT(ISERROR(SEARCH($O$14,H49)))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30" operator="containsText" id="{D66637A5-5958-427F-8055-9DA3A952F853}">
            <xm:f>NOT(ISERROR(SEARCH($O$15,H49)))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31" operator="containsText" id="{7F965F0C-7025-42E9-A49D-675A33F4A810}">
            <xm:f>NOT(ISERROR(SEARCH($O$5,H49)))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03" operator="containsText" id="{78ED3DBC-7EC2-4F47-878A-A1110A65283B}">
            <xm:f>NOT(ISERROR(SEARCH($O$6,H49)))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04" operator="containsText" id="{5D0C7A6B-FD5D-4E4A-B1A0-32A640804AB0}">
            <xm:f>NOT(ISERROR(SEARCH($O$7,H49)))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05" operator="containsText" id="{B594B7C1-12A9-42F3-A4A5-CCC40D2147C6}">
            <xm:f>NOT(ISERROR(SEARCH($O$8,H49)))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06" operator="containsText" id="{C199CC9F-42EA-4EDC-BDD5-1FFA7AFAFE0F}">
            <xm:f>NOT(ISERROR(SEARCH($O$9,H49)))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28" operator="containsText" id="{DA1FE478-8896-4EB5-A8A3-7546946D4225}">
            <xm:f>NOT(ISERROR(SEARCH($O$11,H49)))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893" operator="containsText" id="{742AF1BF-C983-4114-A98F-7EB9477517E6}">
            <xm:f>NOT(ISERROR(SEARCH($O$12,J49)))</xm:f>
            <xm:f>$O$12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62" operator="containsText" id="{D7DA89E5-9EAF-494B-ACED-86728FCDCCC0}">
            <xm:f>NOT(ISERROR(SEARCH($O$13,J49)))</xm:f>
            <xm:f>$O$13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61" operator="containsText" id="{848E80AD-DA89-40A5-8DF3-7695FB1C3CE3}">
            <xm:f>NOT(ISERROR(SEARCH($O$14,J49)))</xm:f>
            <xm:f>$O$14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94" operator="containsText" id="{3C79FD1B-BAAE-4290-A272-010BFAF4FD0E}">
            <xm:f>NOT(ISERROR(SEARCH($O$15,J49)))</xm:f>
            <xm:f>$O$15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95" operator="containsText" id="{5C02FA04-FC78-4579-80A1-478CC4158083}">
            <xm:f>NOT(ISERROR(SEARCH($O$5,J49)))</xm:f>
            <xm:f>$O$5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67" operator="containsText" id="{D1C4FB3B-AACE-4396-8E5B-6E4F271D55AE}">
            <xm:f>NOT(ISERROR(SEARCH($O$6,J49)))</xm:f>
            <xm:f>$O$6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68" operator="containsText" id="{729C229D-711F-40C4-AE71-760269F3F400}">
            <xm:f>NOT(ISERROR(SEARCH($O$7,J49)))</xm:f>
            <xm:f>$O$7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69" operator="containsText" id="{4B41AE34-B8F8-47A0-9998-D0EC3DCC0168}">
            <xm:f>NOT(ISERROR(SEARCH($O$8,J49)))</xm:f>
            <xm:f>$O$8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70" operator="containsText" id="{89C66C77-628C-4300-8C69-9632512B45EC}">
            <xm:f>NOT(ISERROR(SEARCH($O$9,J49)))</xm:f>
            <xm:f>$O$9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92" operator="containsText" id="{AC9E12BF-C0F3-4E91-A4B1-63FC3E6776D7}">
            <xm:f>NOT(ISERROR(SEARCH($O$11,J49)))</xm:f>
            <xm:f>$O$11</xm:f>
            <x14:dxf>
              <fill>
                <patternFill>
                  <bgColor rgb="FFFF0000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842" operator="containsText" id="{260002C2-03CC-4A50-B7F3-C40BEF9E0690}">
            <xm:f>NOT(ISERROR(SEARCH($O$12,H50)))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11" operator="containsText" id="{DCDD689F-7AFF-484E-80C3-96788553AE82}">
            <xm:f>NOT(ISERROR(SEARCH($O$13,H50)))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10" operator="containsText" id="{8588FB8C-9950-4125-88A3-0D61A97D8ADC}">
            <xm:f>NOT(ISERROR(SEARCH($O$14,H50)))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43" operator="containsText" id="{F0575057-4B48-4D4D-94CF-1DA0F684E9A5}">
            <xm:f>NOT(ISERROR(SEARCH($O$15,H50)))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44" operator="containsText" id="{94072695-23C1-45DC-9045-2C2546B5DBA8}">
            <xm:f>NOT(ISERROR(SEARCH($O$5,H50)))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16" operator="containsText" id="{0A006A4D-5D31-49E2-AFF9-B68FF2B48218}">
            <xm:f>NOT(ISERROR(SEARCH($O$6,H50)))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17" operator="containsText" id="{99E5E4E0-2BE3-4DB4-8927-ED082D6A4267}">
            <xm:f>NOT(ISERROR(SEARCH($O$7,H50)))</xm:f>
            <xm:f>$O$7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18" operator="containsText" id="{197B3C79-983B-4420-8EDD-BD0F8020D87E}">
            <xm:f>NOT(ISERROR(SEARCH($O$8,H50)))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19" operator="containsText" id="{1042FDB8-9552-410F-8D48-3966BF0BE782}">
            <xm:f>NOT(ISERROR(SEARCH($O$9,H50)))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41" operator="containsText" id="{F09A0B16-B621-4D87-B950-DC673A4A9261}">
            <xm:f>NOT(ISERROR(SEARCH($O$11,H50)))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806" operator="containsText" id="{356BB8CD-AE63-4B62-A4E2-E0D641E0BB5F}">
            <xm:f>NOT(ISERROR(SEARCH($O$12,J50)))</xm:f>
            <xm:f>$O$12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75" operator="containsText" id="{22A85C7A-00C5-464E-AB7C-ED673824E8E8}">
            <xm:f>NOT(ISERROR(SEARCH($O$13,J50)))</xm:f>
            <xm:f>$O$13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74" operator="containsText" id="{24CCDAE0-76DB-41D1-BD53-161B6B1B1A35}">
            <xm:f>NOT(ISERROR(SEARCH($O$14,J50)))</xm:f>
            <xm:f>$O$14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807" operator="containsText" id="{5502FA99-168C-4E5A-A2BA-3E5A362F8AD4}">
            <xm:f>NOT(ISERROR(SEARCH($O$15,J50)))</xm:f>
            <xm:f>$O$15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808" operator="containsText" id="{85809B7D-1F8A-42A6-912D-62BA4AA8BF38}">
            <xm:f>NOT(ISERROR(SEARCH($O$5,J50)))</xm:f>
            <xm:f>$O$5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80" operator="containsText" id="{C148DAB9-E980-47A6-95FF-153C48736491}">
            <xm:f>NOT(ISERROR(SEARCH($O$6,J50)))</xm:f>
            <xm:f>$O$6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81" operator="containsText" id="{2B7DE86D-9680-4F0C-9FB9-F6281454868F}">
            <xm:f>NOT(ISERROR(SEARCH($O$7,J50)))</xm:f>
            <xm:f>$O$7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82" operator="containsText" id="{1828835A-241F-4C38-972B-D6D0724E729A}">
            <xm:f>NOT(ISERROR(SEARCH($O$8,J50)))</xm:f>
            <xm:f>$O$8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83" operator="containsText" id="{1571E813-B221-41F0-9141-14B03D28B942}">
            <xm:f>NOT(ISERROR(SEARCH($O$9,J50)))</xm:f>
            <xm:f>$O$9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805" operator="containsText" id="{D3A849BA-BF44-4D6C-BAD1-2C47064651C4}">
            <xm:f>NOT(ISERROR(SEARCH($O$11,J50)))</xm:f>
            <xm:f>$O$11</xm:f>
            <x14:dxf>
              <fill>
                <patternFill>
                  <bgColor rgb="FFFF000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1747" operator="containsText" id="{BC966BEA-6ED2-4646-A311-4ADAB32987D7}">
            <xm:f>NOT(ISERROR(SEARCH($O$12,H51)))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16" operator="containsText" id="{C6AE19D5-8FBB-4CB4-8DE1-2926E8932735}">
            <xm:f>NOT(ISERROR(SEARCH($O$13,H51)))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15" operator="containsText" id="{BDE0F663-3A66-40C1-8305-B45B85F36657}">
            <xm:f>NOT(ISERROR(SEARCH($O$14,H51)))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48" operator="containsText" id="{E27F450E-4C4C-41BF-BC65-5C604DC58250}">
            <xm:f>NOT(ISERROR(SEARCH($O$15,H51)))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49" operator="containsText" id="{090D5B26-6FF5-450D-B669-6C1A958A65DA}">
            <xm:f>NOT(ISERROR(SEARCH($O$5,H51)))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21" operator="containsText" id="{21DDB478-85BE-4AA8-95C4-064493F815D9}">
            <xm:f>NOT(ISERROR(SEARCH($O$6,H51)))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22" operator="containsText" id="{12DADEB9-E171-48C9-A684-FDCAC42077DD}">
            <xm:f>NOT(ISERROR(SEARCH($O$7,H51)))</xm:f>
            <xm:f>$O$7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23" operator="containsText" id="{8CA95192-6021-4A58-8297-0B61C6D8E901}">
            <xm:f>NOT(ISERROR(SEARCH($O$8,H51)))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24" operator="containsText" id="{F315E5AA-2E13-4E1B-930F-B02BF4561835}">
            <xm:f>NOT(ISERROR(SEARCH($O$9,H51)))</xm:f>
            <xm:f>$O$9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46" operator="containsText" id="{AC4DD46B-7547-4242-90CB-6ECA192C65A9}">
            <xm:f>NOT(ISERROR(SEARCH($O$11,H51)))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711" operator="containsText" id="{12B55D62-C603-45AB-98F7-477257EFECA9}">
            <xm:f>NOT(ISERROR(SEARCH($O$12,J51)))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680" operator="containsText" id="{85955113-8AF5-4438-BC3A-DCD2BFB0CDAA}">
            <xm:f>NOT(ISERROR(SEARCH($O$13,J51)))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679" operator="containsText" id="{AAEAC378-655A-44EF-AC6D-D33F76AC5EB1}">
            <xm:f>NOT(ISERROR(SEARCH($O$14,J51)))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712" operator="containsText" id="{15B9E953-8BA3-4CF8-A91C-F3952000FDC2}">
            <xm:f>NOT(ISERROR(SEARCH($O$15,J51)))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713" operator="containsText" id="{31CFBF79-FDFB-4BEF-84C0-577F97251974}">
            <xm:f>NOT(ISERROR(SEARCH($O$5,J51)))</xm:f>
            <xm:f>$O$5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685" operator="containsText" id="{13B7CCEF-0688-4088-A16A-27AA47E968CA}">
            <xm:f>NOT(ISERROR(SEARCH($O$6,J51)))</xm:f>
            <xm:f>$O$6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686" operator="containsText" id="{FF179126-57DF-431A-BC60-0CB07221FA7A}">
            <xm:f>NOT(ISERROR(SEARCH($O$7,J51)))</xm:f>
            <xm:f>$O$7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687" operator="containsText" id="{B8773C7A-BC9A-492B-AD15-AFDEE5CEC40E}">
            <xm:f>NOT(ISERROR(SEARCH($O$8,J51)))</xm:f>
            <xm:f>$O$8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688" operator="containsText" id="{49A179E8-110C-4A1C-9D9A-FBF957E44CAC}">
            <xm:f>NOT(ISERROR(SEARCH($O$9,J51)))</xm:f>
            <xm:f>$O$9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710" operator="containsText" id="{F17CA59D-C00C-4BED-A7C7-C3E7C77B163D}">
            <xm:f>NOT(ISERROR(SEARCH($O$11,J51)))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1599" operator="containsText" id="{BA38495B-4F43-4D14-BCC4-AB730851EE46}">
            <xm:f>NOT(ISERROR(SEARCH($O$5,F21)))</xm:f>
            <xm:f>$O$5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98" operator="containsText" id="{4BF74F03-ADE0-4981-8BC2-E4F38B0A0FE1}">
            <xm:f>NOT(ISERROR(SEARCH($O$6,F21)))</xm:f>
            <xm:f>$O$6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97" operator="containsText" id="{196DA16A-612C-4A96-83C2-982E696ACF83}">
            <xm:f>NOT(ISERROR(SEARCH($O$7,F21)))</xm:f>
            <xm:f>$O$7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96" operator="containsText" id="{11425373-BBBD-4176-9679-3B2A6993A2A4}">
            <xm:f>NOT(ISERROR(SEARCH($O$8,F21)))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F21:F33 L21:L33 N21:N33</xm:sqref>
        </x14:conditionalFormatting>
        <x14:conditionalFormatting xmlns:xm="http://schemas.microsoft.com/office/excel/2006/main">
          <x14:cfRule type="containsText" priority="1595" operator="containsText" id="{CE4C3942-0A72-4549-98D9-52A8CC36EC12}">
            <xm:f>NOT(ISERROR(SEARCH($O$9,F21)))</xm:f>
            <xm:f>$O$9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612" operator="containsText" id="{D3BA4087-976A-49A5-8038-F71270356DC3}">
            <xm:f>NOT(ISERROR(SEARCH($O$11,F21)))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94" operator="containsText" id="{F4CE24A4-067C-49E1-B509-4C339CF9F103}">
            <xm:f>NOT(ISERROR(SEARCH($O$12,F21)))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93" operator="containsText" id="{59314EC5-1888-41A7-857C-74B41B3C4B9D}">
            <xm:f>NOT(ISERROR(SEARCH($O$13,F21)))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92" operator="containsText" id="{95F75AC7-5990-4E53-9C8E-271DE8EF7E7D}">
            <xm:f>NOT(ISERROR(SEARCH($O$14,F21)))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575" operator="containsText" id="{4768E2FB-FDEC-40DC-AA13-D68DC0ACA49A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574" operator="containsText" id="{CC68DB2A-AD1F-4276-9057-5109153A9A25}">
            <xm:f>NOT(ISERROR(SEARCH($O$8,L21)))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1616" operator="containsText" id="{930EAEC3-BC94-42E4-882C-F699AA0F148A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1617" operator="containsText" id="{A38EC852-B95A-468F-87E0-D9AF1BF64CE6}">
            <xm:f>NOT(ISERROR(SEARCH($O$8,H21)))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H21:H33</xm:sqref>
        </x14:conditionalFormatting>
        <x14:conditionalFormatting xmlns:xm="http://schemas.microsoft.com/office/excel/2006/main">
          <x14:cfRule type="containsText" priority="1611" operator="containsText" id="{4DAD60A2-4705-4E2F-99A1-B29A9CFC0652}">
            <xm:f>NOT(ISERROR(SEARCH($O$15,F21)))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L21:L33 H21:H33 N21:N33 F21:F33</xm:sqref>
        </x14:conditionalFormatting>
        <x14:conditionalFormatting xmlns:xm="http://schemas.microsoft.com/office/excel/2006/main">
          <x14:cfRule type="containsText" priority="1394" operator="containsText" id="{2B05555A-D00A-4FEF-94A2-290A9EEFC96A}">
            <xm:f>NOT(ISERROR(SEARCH($O$5,F5)))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95" operator="containsText" id="{65B5D0C2-3C56-4CE6-AEF8-F1E183E3414A}">
            <xm:f>NOT(ISERROR(SEARCH($O$6,F5)))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96" operator="containsText" id="{D094954C-43F8-4F42-930D-E501868CF5C5}">
            <xm:f>NOT(ISERROR(SEARCH($O$7,F5)))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97" operator="containsText" id="{E81CB2A5-91D2-474B-88C8-456A63E6EF0D}">
            <xm:f>NOT(ISERROR(SEARCH($O$8,F5)))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98" operator="containsText" id="{49D30C1D-A8FB-4B4F-917B-8CA9566D3E46}">
            <xm:f>NOT(ISERROR(SEARCH($O$9,F5)))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F5:F16 L5:L10 L12:L16 H5:H16</xm:sqref>
        </x14:conditionalFormatting>
        <x14:conditionalFormatting xmlns:xm="http://schemas.microsoft.com/office/excel/2006/main">
          <x14:cfRule type="containsText" priority="1399" operator="containsText" id="{F9065D9B-803D-46F6-859F-972A5831DDFA}">
            <xm:f>NOT(ISERROR(SEARCH($O$11,F5)))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400" operator="containsText" id="{C88A5371-E9F5-4D17-8308-423CA068F29C}">
            <xm:f>NOT(ISERROR(SEARCH($O$12,F5)))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401" operator="containsText" id="{91A4F0F5-2ED6-4821-BA67-9D67F7930900}">
            <xm:f>NOT(ISERROR(SEARCH($O$13,F5)))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402" operator="containsText" id="{8016E4DA-252A-426F-96C7-34C190BA7909}">
            <xm:f>NOT(ISERROR(SEARCH($O$14,F5)))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403" operator="containsText" id="{F367A1CD-D2C0-4C3F-BD45-0FE9E13DB0CD}">
            <xm:f>NOT(ISERROR(SEARCH($O$5,N5)))</xm:f>
            <xm:f>$O$5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404" operator="containsText" id="{00033615-03B8-4E77-86EF-CB07F1115ABB}">
            <xm:f>NOT(ISERROR(SEARCH($O$6,N5)))</xm:f>
            <xm:f>$O$6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405" operator="containsText" id="{AD2B5D6F-85E1-407A-AC9E-B86B9B40EF9B}">
            <xm:f>NOT(ISERROR(SEARCH($O$7,N5)))</xm:f>
            <xm:f>$O$7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406" operator="containsText" id="{07D6AD44-BE1C-4A3F-81F7-708F23308617}">
            <xm:f>NOT(ISERROR(SEARCH($O$8,N5)))</xm:f>
            <xm:f>$O$8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407" operator="containsText" id="{52C5E609-39DF-4BB3-BAF6-D79B6F4EB07D}">
            <xm:f>NOT(ISERROR(SEARCH($O$9,N5)))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N5:N14 N16</xm:sqref>
        </x14:conditionalFormatting>
        <x14:conditionalFormatting xmlns:xm="http://schemas.microsoft.com/office/excel/2006/main">
          <x14:cfRule type="containsText" priority="1408" operator="containsText" id="{CD92C3C2-E0AB-47B1-B884-F8B89A9D4D9B}">
            <xm:f>NOT(ISERROR(SEARCH($O$5,L11)))</xm:f>
            <xm:f>$O$5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409" operator="containsText" id="{6A317CFB-7599-4ADF-A06B-F2763ACEA1C5}">
            <xm:f>NOT(ISERROR(SEARCH($O$6,L11)))</xm:f>
            <xm:f>$O$6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410" operator="containsText" id="{45E26CCC-0FDB-4BEB-B918-CF9FCCB6C642}">
            <xm:f>NOT(ISERROR(SEARCH($O$7,L11)))</xm:f>
            <xm:f>$O$7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411" operator="containsText" id="{BEABA15C-7DF7-4A88-88F0-ED950938AE6C}">
            <xm:f>NOT(ISERROR(SEARCH($O$8,L11)))</xm:f>
            <xm:f>$O$8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412" operator="containsText" id="{498A390B-38FB-4CEE-9CFE-B1D748C99CFB}">
            <xm:f>NOT(ISERROR(SEARCH($O$9,L11)))</xm:f>
            <xm:f>$O$9</xm:f>
            <x14:dxf>
              <fill>
                <patternFill>
                  <bgColor rgb="FFFF000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413" operator="containsText" id="{9CCC373B-FE41-4F68-9104-910869F2E66B}">
            <xm:f>NOT(ISERROR(SEARCH($O$5,N15)))</xm:f>
            <xm:f>$O$5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14" operator="containsText" id="{C9B3FE51-B693-4D6A-A008-1DA64763CE48}">
            <xm:f>NOT(ISERROR(SEARCH($O$6,N15)))</xm:f>
            <xm:f>$O$6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15" operator="containsText" id="{1286382E-2E16-47FD-823C-7398147CA799}">
            <xm:f>NOT(ISERROR(SEARCH($O$7,N15)))</xm:f>
            <xm:f>$O$7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16" operator="containsText" id="{2FFCF955-4529-4897-BBCD-25433D5226BE}">
            <xm:f>NOT(ISERROR(SEARCH($O$8,N15)))</xm:f>
            <xm:f>$O$8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17" operator="containsText" id="{B37B4FBA-61E4-40E3-9497-91BAD51FCD6E}">
            <xm:f>NOT(ISERROR(SEARCH($O$9,N15)))</xm:f>
            <xm:f>$O$9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18" stopIfTrue="1" operator="containsText" id="{C98615BB-3E9B-478B-A5D9-13F9A6170B23}">
            <xm:f>NOT(ISERROR(SEARCH($O$11,N15)))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19" stopIfTrue="1" operator="containsText" id="{3A5E7EFF-8E8C-4206-9917-3559DB638DA3}">
            <xm:f>NOT(ISERROR(SEARCH($O$12,N15)))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20" stopIfTrue="1" operator="containsText" id="{C735938B-42A6-4B1D-A24E-BBFDFEA4F886}">
            <xm:f>NOT(ISERROR(SEARCH($O$13,N15)))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21" stopIfTrue="1" operator="containsText" id="{CBB946C5-2A3D-4646-BF59-41E46CBCA77C}">
            <xm:f>NOT(ISERROR(SEARCH($O$14,N15)))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1422" operator="containsText" id="{784CA379-E64A-4E9C-ABAB-FC407652CB3E}">
            <xm:f>NOT(ISERROR(SEARCH($O$15,F5)))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F5:F16 N5:N14 N16 L5:L16 H5:H16</xm:sqref>
        </x14:conditionalFormatting>
        <x14:conditionalFormatting xmlns:xm="http://schemas.microsoft.com/office/excel/2006/main">
          <x14:cfRule type="containsText" priority="1423" stopIfTrue="1" operator="containsText" id="{514EB5FB-0264-4972-8D3D-9E8E2A3D8813}">
            <xm:f>NOT(ISERROR(SEARCH($O$15,N15)))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ontainsText" priority="945" operator="containsText" id="{CFB552C9-B6E1-4D0F-B807-F6FABFAEDC12}">
            <xm:f>NOT(ISERROR(SEARCH($O$8,H32)))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H32</xm:sqref>
        </x14:conditionalFormatting>
        <x14:conditionalFormatting xmlns:xm="http://schemas.microsoft.com/office/excel/2006/main">
          <x14:cfRule type="containsText" priority="935" operator="containsText" id="{0A520A00-1EDD-4D50-B7C7-1F204BB73B3E}">
            <xm:f>NOT(ISERROR(SEARCH($O$8,H27)))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923" operator="containsText" id="{56444027-6159-4817-9A34-5A817BBEC96E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927" operator="containsText" id="{1F081166-2AD7-4ECA-B613-32409F0489E7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913" operator="containsText" id="{0B6348C0-0E04-4258-B09D-0B732542B193}">
            <xm:f>NOT(ISERROR(SEARCH($O$8,H23)))</xm:f>
            <xm:f>$O$8</xm:f>
            <x14:dxf>
              <fill>
                <patternFill>
                  <bgColor rgb="FFFF0000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906" operator="containsText" id="{4197A29A-6406-494B-AC57-A3B6320CABE9}">
            <xm:f>NOT(ISERROR(SEARCH($O$8,N21)))</xm:f>
            <xm:f>$O$8</xm:f>
            <x14:dxf>
              <fill>
                <patternFill>
                  <bgColor rgb="FFFF0000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898" operator="containsText" id="{AA9B92EE-A860-454D-BD49-3E5FC35CCE6C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902" operator="containsText" id="{1807ED6A-90F2-4293-B800-95471E8EADD5}">
            <xm:f>NOT(ISERROR(SEARCH($O$8,F31)))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ontainsText" priority="894" operator="containsText" id="{C052B54B-2D58-4791-8DD4-E31B826D2D2B}">
            <xm:f>NOT(ISERROR(SEARCH($O$5,F34)))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93" operator="containsText" id="{61CEA0BB-4005-4143-9381-F6F0A0A179A9}">
            <xm:f>NOT(ISERROR(SEARCH($O$6,F34)))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92" operator="containsText" id="{4888D967-A949-4424-9A90-D291D9637180}">
            <xm:f>NOT(ISERROR(SEARCH($O$7,F34)))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91" operator="containsText" id="{12EBD69F-4D24-42C2-BA9D-91B880A3033D}">
            <xm:f>NOT(ISERROR(SEARCH($O$8,F34)))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90" operator="containsText" id="{F7E576EE-C61F-4396-8403-2188FE5D294B}">
            <xm:f>NOT(ISERROR(SEARCH($O$9,F34)))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96" operator="containsText" id="{66D04F2A-F6DE-48C6-9E12-FE02C417965A}">
            <xm:f>NOT(ISERROR(SEARCH($O$11,F34)))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89" operator="containsText" id="{65E8A8EE-64FA-42DD-9B2A-83FCE10F45C9}">
            <xm:f>NOT(ISERROR(SEARCH($O$12,F34)))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88" operator="containsText" id="{D15DDDBC-1778-4F7A-BD62-0AA500B50466}">
            <xm:f>NOT(ISERROR(SEARCH($O$13,F34)))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87" operator="containsText" id="{F3989D92-4805-481B-AEB4-DECB9A8EE4D2}">
            <xm:f>NOT(ISERROR(SEARCH($O$14,F34)))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95" operator="containsText" id="{F3591286-DE4B-4D3A-B4CF-5BFB00322444}">
            <xm:f>NOT(ISERROR(SEARCH($O$15,F34)))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873" operator="containsText" id="{76EDD44E-8CD3-4CD4-BCD9-A31B1138F9C8}">
            <xm:f>NOT(ISERROR(SEARCH($O$5,H34)))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72" operator="containsText" id="{6A5F07A0-6491-4ADA-A37D-442F480854D8}">
            <xm:f>NOT(ISERROR(SEARCH($O$6,H34)))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71" operator="containsText" id="{5CAB2F0F-7321-4176-9049-59EDB18703E6}">
            <xm:f>NOT(ISERROR(SEARCH($O$7,H34)))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70" operator="containsText" id="{76EED530-0D83-4297-999D-E0DF42ED8DA6}">
            <xm:f>NOT(ISERROR(SEARCH($O$9,H34)))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75" operator="containsText" id="{74745602-AE50-4CD0-825A-F2F4FE6F8F04}">
            <xm:f>NOT(ISERROR(SEARCH($O$11,H34)))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69" operator="containsText" id="{A3F8A8C3-3DC8-4710-8F7F-C75F8583013E}">
            <xm:f>NOT(ISERROR(SEARCH($O$12,H34)))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68" operator="containsText" id="{DC0B7955-7731-4622-A3B5-7FD96188EF0F}">
            <xm:f>NOT(ISERROR(SEARCH($O$13,H34)))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67" operator="containsText" id="{182432B5-F1BF-4102-BF46-6844021DAF54}">
            <xm:f>NOT(ISERROR(SEARCH($O$14,H34)))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66" operator="containsText" id="{EFEF43A3-280D-4E2C-9447-280EB352FA1D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76" operator="containsText" id="{29CFCF49-205D-4FAE-B0D4-CA57136B44C9}">
            <xm:f>NOT(ISERROR(SEARCH($O$8,H34)))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74" operator="containsText" id="{91361F1F-267B-47C4-98C5-EA68CB3D89CB}">
            <xm:f>NOT(ISERROR(SEARCH($O$15,H34)))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841" operator="containsText" id="{0AA01703-4691-4AB9-B65E-50D2374F8FCD}">
            <xm:f>NOT(ISERROR(SEARCH($O$5,L34)))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40" operator="containsText" id="{6F6FF373-6B13-42FA-9764-0A252330A019}">
            <xm:f>NOT(ISERROR(SEARCH($O$6,L34)))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39" operator="containsText" id="{1112F539-6419-4FA6-B1F0-B8C1568A4AFA}">
            <xm:f>NOT(ISERROR(SEARCH($O$7,L34)))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38" operator="containsText" id="{56573552-3E8E-495A-8D3D-C4103295BF50}">
            <xm:f>NOT(ISERROR(SEARCH($O$8,L34)))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37" operator="containsText" id="{AAFA3921-1586-4449-A629-46D2DCB30769}">
            <xm:f>NOT(ISERROR(SEARCH($O$9,L34)))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45" operator="containsText" id="{80B7C0E6-70FA-4641-AB93-BA9A5A73195F}">
            <xm:f>NOT(ISERROR(SEARCH($O$11,L34)))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36" operator="containsText" id="{BEA24AA7-B34B-44E6-85F3-004D70338B83}">
            <xm:f>NOT(ISERROR(SEARCH($O$12,L34)))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35" operator="containsText" id="{416387BF-4FEB-437E-A6F0-7CC01EE66852}">
            <xm:f>NOT(ISERROR(SEARCH($O$13,L34)))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34" operator="containsText" id="{F2D2EA29-94F3-467A-A824-E478AFE70DC7}">
            <xm:f>NOT(ISERROR(SEARCH($O$14,L34)))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844" operator="containsText" id="{F2B712BD-3F1B-475F-A4F8-A1B2B05454AC}">
            <xm:f>NOT(ISERROR(SEARCH($O$15,L34)))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L34 N34</xm:sqref>
        </x14:conditionalFormatting>
        <x14:conditionalFormatting xmlns:xm="http://schemas.microsoft.com/office/excel/2006/main">
          <x14:cfRule type="containsText" priority="689" operator="containsText" id="{CEA68478-406A-48D9-960A-5329F2840D3F}">
            <xm:f>NOT(ISERROR(SEARCH($O$5,F52)))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0" operator="containsText" id="{12E5F13A-E895-4013-B2B5-401EB2668F21}">
            <xm:f>NOT(ISERROR(SEARCH($O$6,F52)))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7" operator="containsText" id="{0D6ADAB8-8BF2-4B9A-94D8-1151AB9577EC}">
            <xm:f>NOT(ISERROR(SEARCH($O$7,F52)))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1" operator="containsText" id="{723EF441-9B96-401C-9BFA-9F1A0530C675}">
            <xm:f>NOT(ISERROR(SEARCH($O$8,F52)))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2" operator="containsText" id="{07306B04-893C-49D1-B955-7057E5802DF1}">
            <xm:f>NOT(ISERROR(SEARCH($O$9,F52)))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3" operator="containsText" id="{74A7B2CD-FF1B-4163-81FF-7CA21E77DF77}">
            <xm:f>NOT(ISERROR(SEARCH($O$11,F52)))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4" operator="containsText" id="{70207E6B-8F6B-4E86-8AB8-9F307A4014CA}">
            <xm:f>NOT(ISERROR(SEARCH($O$12,F52)))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8" operator="containsText" id="{214118DF-0158-46D1-971B-8ACDDD87331E}">
            <xm:f>NOT(ISERROR(SEARCH($O$13,F52)))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5" operator="containsText" id="{EF6F8377-9013-4CB4-B4F6-2A987023774D}">
            <xm:f>NOT(ISERROR(SEARCH($O$14,F52)))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96" operator="containsText" id="{61C7EFC5-5BCA-43B9-98BE-F09A082E50AD}">
            <xm:f>NOT(ISERROR(SEARCH($O$15,F52)))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655" operator="containsText" id="{4B98C3F4-EC1D-47B0-BE98-45BBEDDBAEBF}">
            <xm:f>NOT(ISERROR(SEARCH($O$5,H52)))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56" operator="containsText" id="{B3B6B90B-369D-4333-A5DE-DCECDD27D540}">
            <xm:f>NOT(ISERROR(SEARCH($O$6,H52)))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63" operator="containsText" id="{076B546B-49F8-456B-BB11-4005968677F9}">
            <xm:f>NOT(ISERROR(SEARCH($O$7,H52)))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57" operator="containsText" id="{58C5E1A4-130D-4079-B1B8-0C4123EB99C6}">
            <xm:f>NOT(ISERROR(SEARCH($O$8,H52)))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58" operator="containsText" id="{4E4738FA-A7DA-46F1-AEC2-1B666F203088}">
            <xm:f>NOT(ISERROR(SEARCH($O$9,H52)))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59" operator="containsText" id="{B5D68474-E64D-4F60-934D-7A36F44F56AE}">
            <xm:f>NOT(ISERROR(SEARCH($O$11,H52)))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60" operator="containsText" id="{6C850AB6-D9F4-4FEA-B907-21940D016FA2}">
            <xm:f>NOT(ISERROR(SEARCH($O$12,H52)))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64" operator="containsText" id="{8D91D772-D5BD-4EB3-890E-D690EF3D0480}">
            <xm:f>NOT(ISERROR(SEARCH($O$13,H52)))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61" operator="containsText" id="{1B21A7FC-0C00-4705-A416-17FE170C5119}">
            <xm:f>NOT(ISERROR(SEARCH($O$14,H52)))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62" operator="containsText" id="{467FF674-3992-4FA1-B43A-252BA3F4562E}">
            <xm:f>NOT(ISERROR(SEARCH($O$15,H52)))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608" operator="containsText" id="{90B6B3A3-EC82-485B-8CD5-352C8EE5D264}">
            <xm:f>NOT(ISERROR(SEARCH($O$5,J52)))</xm:f>
            <xm:f>$O$5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09" operator="containsText" id="{0A0CD494-B1B9-402A-9B10-E9B191EC4415}">
            <xm:f>NOT(ISERROR(SEARCH($O$6,J52)))</xm:f>
            <xm:f>$O$6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6" operator="containsText" id="{8F2AE902-96DA-46FA-9CBC-660B73C91247}">
            <xm:f>NOT(ISERROR(SEARCH($O$7,J52)))</xm:f>
            <xm:f>$O$7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0" operator="containsText" id="{A240A811-A519-4927-A184-F38E3C7254C1}">
            <xm:f>NOT(ISERROR(SEARCH($O$8,J52)))</xm:f>
            <xm:f>$O$8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1" operator="containsText" id="{2321F3F9-0A8E-4903-8DEB-959C694F6BD4}">
            <xm:f>NOT(ISERROR(SEARCH($O$9,J52)))</xm:f>
            <xm:f>$O$9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2" operator="containsText" id="{78CA3D43-B3B8-418D-8A1A-8F5089A64547}">
            <xm:f>NOT(ISERROR(SEARCH($O$11,J52)))</xm:f>
            <xm:f>$O$11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3" operator="containsText" id="{F974D324-306D-4BF7-BF9A-5D258493847F}">
            <xm:f>NOT(ISERROR(SEARCH($O$12,J52)))</xm:f>
            <xm:f>$O$12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7" operator="containsText" id="{305FF499-2E80-4469-8ACC-E58750D65DDC}">
            <xm:f>NOT(ISERROR(SEARCH($O$13,J52)))</xm:f>
            <xm:f>$O$13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4" operator="containsText" id="{331B521C-FC2D-4EF3-B142-4697634C0907}">
            <xm:f>NOT(ISERROR(SEARCH($O$14,J52)))</xm:f>
            <xm:f>$O$14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615" operator="containsText" id="{1450DEF2-A5FC-43CF-B50A-45FC15327BC8}">
            <xm:f>NOT(ISERROR(SEARCH($O$15,J52)))</xm:f>
            <xm:f>$O$15</xm:f>
            <x14:dxf>
              <fill>
                <patternFill>
                  <bgColor rgb="FFFF000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373" operator="containsText" id="{7541254E-C9C2-4CF4-935D-687205576CD2}">
            <xm:f>NOT(ISERROR(SEARCH($O$5,F35)))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72" operator="containsText" id="{DD49196B-F969-4B96-AAE0-598430C9B65B}">
            <xm:f>NOT(ISERROR(SEARCH($O$6,F35)))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71" operator="containsText" id="{F888E512-05F7-491A-ACE1-701AAF5A3DEC}">
            <xm:f>NOT(ISERROR(SEARCH($O$7,F35)))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70" operator="containsText" id="{B3C8D07D-83E2-46BC-9BA0-4A0883E5A88B}">
            <xm:f>NOT(ISERROR(SEARCH($O$8,F35)))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69" operator="containsText" id="{0F08A01A-5350-4699-8CEB-96A76EB4DA93}">
            <xm:f>NOT(ISERROR(SEARCH($O$9,F35)))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76" operator="containsText" id="{3B58235F-A610-43A9-8917-17BA12C5822B}">
            <xm:f>NOT(ISERROR(SEARCH($O$11,F35)))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68" operator="containsText" id="{B9879A6F-55EB-4506-A194-0AC55A959168}">
            <xm:f>NOT(ISERROR(SEARCH($O$12,F35)))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67" operator="containsText" id="{05E4830E-99D7-440B-AC48-E7CDB282D873}">
            <xm:f>NOT(ISERROR(SEARCH($O$13,F35)))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66" operator="containsText" id="{FD60A4AC-5945-4EC4-A5AD-D6A0E9EF6F48}">
            <xm:f>NOT(ISERROR(SEARCH($O$14,F35)))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75" operator="containsText" id="{43260858-2F9D-4A80-8B9F-6195E9E4FB05}">
            <xm:f>NOT(ISERROR(SEARCH($O$15,F35)))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342" operator="containsText" id="{8FCD60C0-8243-4995-A1E5-0D74C0E41A1C}">
            <xm:f>NOT(ISERROR(SEARCH($O$5,F36)))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41" operator="containsText" id="{7E55A709-F270-49E3-821A-B65F7FFC2F56}">
            <xm:f>NOT(ISERROR(SEARCH($O$6,F36)))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40" operator="containsText" id="{7D5C415A-9975-4523-AC63-069128B33C27}">
            <xm:f>NOT(ISERROR(SEARCH($O$7,F36)))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39" operator="containsText" id="{4B8DD8AA-E384-4830-BA56-B93751303B63}">
            <xm:f>NOT(ISERROR(SEARCH($O$8,F36)))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38" operator="containsText" id="{4DF30327-A193-42D9-B895-8A46EF1A2EC7}">
            <xm:f>NOT(ISERROR(SEARCH($O$9,F36)))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44" operator="containsText" id="{2161DE03-FA2D-4628-ADB9-8FA3037F0C5F}">
            <xm:f>NOT(ISERROR(SEARCH($O$11,F36)))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37" operator="containsText" id="{D531FDDB-B083-4DF0-8A6A-D798F1D34270}">
            <xm:f>NOT(ISERROR(SEARCH($O$12,F36)))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36" operator="containsText" id="{547CC5CF-CA0D-43F1-A345-31B6FF7FE773}">
            <xm:f>NOT(ISERROR(SEARCH($O$13,F36)))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35" operator="containsText" id="{DB9ABB7D-069C-4746-A10D-EE45445E11FC}">
            <xm:f>NOT(ISERROR(SEARCH($O$14,F36)))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43" operator="containsText" id="{0EDBF1DB-B67A-490C-9788-E8510149BACD}">
            <xm:f>NOT(ISERROR(SEARCH($O$15,F36)))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ontainsText" priority="315" operator="containsText" id="{B1BE3AD9-915B-4A78-9234-CA0AEAEB1D6A}">
            <xm:f>NOT(ISERROR(SEARCH($O$5,H35)))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4" operator="containsText" id="{4F646C26-F80D-44A3-A79E-B3DB99E386D7}">
            <xm:f>NOT(ISERROR(SEARCH($O$6,H35)))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3" operator="containsText" id="{19ED20EB-BE8C-4891-9C6B-C06E5AD3786B}">
            <xm:f>NOT(ISERROR(SEARCH($O$7,H35)))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2" operator="containsText" id="{7042BD4B-1120-4326-BEC6-66A4F6815737}">
            <xm:f>NOT(ISERROR(SEARCH($O$8,H35)))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1" operator="containsText" id="{ECE4E4D4-9548-472C-A674-3F250DDF759E}">
            <xm:f>NOT(ISERROR(SEARCH($O$9,H35)))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8" operator="containsText" id="{BB046199-1B4F-4A43-B6FA-B0AF6C38EDCD}">
            <xm:f>NOT(ISERROR(SEARCH($O$11,H35)))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0" operator="containsText" id="{86430EB0-9B45-44BF-A928-6CF1B3FDE8F4}">
            <xm:f>NOT(ISERROR(SEARCH($O$12,H35)))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09" operator="containsText" id="{B9CC3F19-4F52-4A5E-ACFE-FB3AC646CAA7}">
            <xm:f>NOT(ISERROR(SEARCH($O$13,H35)))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08" operator="containsText" id="{F5B65A6F-7707-430D-A1FC-F95117FBE1B6}">
            <xm:f>NOT(ISERROR(SEARCH($O$14,H35)))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17" operator="containsText" id="{CCD9679A-084D-4067-9D2F-5F95138673DA}">
            <xm:f>NOT(ISERROR(SEARCH($O$15,H35)))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284" operator="containsText" id="{D62A66C4-656F-456B-95B1-B86E0188A2E2}">
            <xm:f>NOT(ISERROR(SEARCH($O$5,H36)))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83" operator="containsText" id="{FA9D19E8-D2C0-46EC-B5A1-D7E0B2CB7E0C}">
            <xm:f>NOT(ISERROR(SEARCH($O$6,H36)))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82" operator="containsText" id="{FD8B15F1-271D-4A96-90DA-D5A93DEDD561}">
            <xm:f>NOT(ISERROR(SEARCH($O$7,H36)))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81" operator="containsText" id="{7DC9E030-0826-4109-9D0F-D8261CABA978}">
            <xm:f>NOT(ISERROR(SEARCH($O$8,H36)))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80" operator="containsText" id="{AD5D7E6E-7FFD-4AF9-8975-DBA5B4D0FBB2}">
            <xm:f>NOT(ISERROR(SEARCH($O$9,H36)))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86" operator="containsText" id="{D47B0744-91F7-4399-B5F6-C3559F158410}">
            <xm:f>NOT(ISERROR(SEARCH($O$11,H36)))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79" operator="containsText" id="{0A2A2A29-4DE5-489A-8D05-244B36718D9F}">
            <xm:f>NOT(ISERROR(SEARCH($O$12,H36)))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78" operator="containsText" id="{4D772E06-34F4-4877-A72B-5471EFE496B0}">
            <xm:f>NOT(ISERROR(SEARCH($O$13,H36)))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77" operator="containsText" id="{D950BF4E-D8FA-4BE7-B6CD-DCEE7DF89846}">
            <xm:f>NOT(ISERROR(SEARCH($O$14,H36)))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85" operator="containsText" id="{1BC4241F-5125-4252-94B1-83F30A549FFE}">
            <xm:f>NOT(ISERROR(SEARCH($O$15,H36)))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247" operator="containsText" id="{7806D899-85B6-4A24-9CF8-09CBC789106D}">
            <xm:f>NOT(ISERROR(SEARCH($O$5,L35)))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6" operator="containsText" id="{EBCEDAAC-6F2A-4AC5-ABA7-294AADB9D61C}">
            <xm:f>NOT(ISERROR(SEARCH($O$6,L35)))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5" operator="containsText" id="{0EB8D4DC-CE91-4F32-8BF7-D8962C92A96B}">
            <xm:f>NOT(ISERROR(SEARCH($O$7,L35)))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4" operator="containsText" id="{B57246B5-5939-464D-A045-D88D6ACC0867}">
            <xm:f>NOT(ISERROR(SEARCH($O$8,L35)))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3" operator="containsText" id="{05A8F9E3-E4B4-4907-BEDF-72C676A2FC29}">
            <xm:f>NOT(ISERROR(SEARCH($O$9,L35)))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50" operator="containsText" id="{FF3ADCB3-60CB-4E43-84CF-E7F1CD9DC2B9}">
            <xm:f>NOT(ISERROR(SEARCH($O$11,L35)))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2" operator="containsText" id="{3DCCA9EC-3589-4FDC-9E0B-FB20453BF5F7}">
            <xm:f>NOT(ISERROR(SEARCH($O$12,L35)))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1" operator="containsText" id="{03DCC23C-A572-4F31-B238-8369E7CE9F54}">
            <xm:f>NOT(ISERROR(SEARCH($O$13,L35)))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0" operator="containsText" id="{2F40644B-E35B-4CDD-9BC1-DB1C72F53B1D}">
            <xm:f>NOT(ISERROR(SEARCH($O$14,L35)))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49" operator="containsText" id="{F1B4C6F7-BCE9-460F-921D-08601322F18A}">
            <xm:f>NOT(ISERROR(SEARCH($O$15,L35)))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216" operator="containsText" id="{8FAE6A2C-D550-4389-8639-8F994ECB6427}">
            <xm:f>NOT(ISERROR(SEARCH($O$5,L36)))</xm:f>
            <xm:f>$O$5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5" operator="containsText" id="{772B1BFA-CC52-4409-838F-E61983FCEA6A}">
            <xm:f>NOT(ISERROR(SEARCH($O$6,L36)))</xm:f>
            <xm:f>$O$6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4" operator="containsText" id="{5706E476-DAB4-44FF-9057-6E7DEB44F0EC}">
            <xm:f>NOT(ISERROR(SEARCH($O$7,L36)))</xm:f>
            <xm:f>$O$7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3" operator="containsText" id="{8AF08247-778D-4431-B1B7-1AFF065A4E80}">
            <xm:f>NOT(ISERROR(SEARCH($O$8,L36)))</xm:f>
            <xm:f>$O$8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2" operator="containsText" id="{9F26C9B7-3361-40A2-AFC3-A77B74D59164}">
            <xm:f>NOT(ISERROR(SEARCH($O$9,L36)))</xm:f>
            <xm:f>$O$9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8" operator="containsText" id="{DC37E97E-56A5-4776-B3A2-F308C120B2C8}">
            <xm:f>NOT(ISERROR(SEARCH($O$11,L36)))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1" operator="containsText" id="{70EE000B-AFB7-4D31-A77B-8A2ACA543432}">
            <xm:f>NOT(ISERROR(SEARCH($O$12,L36)))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0" operator="containsText" id="{7486A5FF-E504-4ED2-9E62-735584858D22}">
            <xm:f>NOT(ISERROR(SEARCH($O$13,L36)))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09" operator="containsText" id="{504BB935-A7A2-4130-8C04-84BCEAD2B8B8}">
            <xm:f>NOT(ISERROR(SEARCH($O$14,L36)))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217" operator="containsText" id="{199F5908-81BC-4E5B-9459-5D7B664447A4}">
            <xm:f>NOT(ISERROR(SEARCH($O$15,L36)))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184" operator="containsText" id="{306FEE19-2368-47F7-ABFF-A08208C13D61}">
            <xm:f>NOT(ISERROR(SEARCH($O$5,F18)))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85" operator="containsText" id="{9A1A077F-BC69-4022-8BC4-3FCC6BF8D6AF}">
            <xm:f>NOT(ISERROR(SEARCH($O$6,F18)))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86" operator="containsText" id="{F55C6256-FC0D-4E84-8816-6AA9A9F8FA87}">
            <xm:f>NOT(ISERROR(SEARCH($O$7,F18)))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87" operator="containsText" id="{95217483-C998-4003-8D7F-6F0CBEADFE14}">
            <xm:f>NOT(ISERROR(SEARCH($O$8,F18)))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88" operator="containsText" id="{4BFA9AB6-F554-4351-A4DD-B690F2FC60AA}">
            <xm:f>NOT(ISERROR(SEARCH($O$9,F18)))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89" operator="containsText" id="{CA26DF23-AA97-4632-8562-59588BE1DE56}">
            <xm:f>NOT(ISERROR(SEARCH($O$11,F18)))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90" operator="containsText" id="{F9C52967-09F5-4D29-8EE6-5E427470E85B}">
            <xm:f>NOT(ISERROR(SEARCH($O$12,F18)))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91" operator="containsText" id="{AF9BA344-2CB9-467D-B226-F5814C41A36B}">
            <xm:f>NOT(ISERROR(SEARCH($O$13,F18)))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92" operator="containsText" id="{50C0E9CB-1BF8-419B-9CC3-C089D4BDEF70}">
            <xm:f>NOT(ISERROR(SEARCH($O$14,F18)))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93" operator="containsText" id="{79785C4E-4459-437E-B97E-8CE5CA4AA577}">
            <xm:f>NOT(ISERROR(SEARCH($O$15,F18)))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49" operator="containsText" id="{15CCDCC4-D102-42F4-B38F-D2CB3297A74B}">
            <xm:f>NOT(ISERROR(SEARCH($O$5,H18)))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0" operator="containsText" id="{2AD74437-9949-4404-9FD4-4E6791D413A7}">
            <xm:f>NOT(ISERROR(SEARCH($O$6,H18)))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1" operator="containsText" id="{DE79B386-4B07-4792-BF64-3D8D286F8473}">
            <xm:f>NOT(ISERROR(SEARCH($O$7,H18)))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2" operator="containsText" id="{267F5143-D428-47CA-8BE7-D50F6BBA47BB}">
            <xm:f>NOT(ISERROR(SEARCH($O$8,H18)))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3" operator="containsText" id="{FB7E5045-2D56-4498-9CFE-6C400FF67EE8}">
            <xm:f>NOT(ISERROR(SEARCH($O$9,H18)))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4" operator="containsText" id="{27408D60-5F17-4B93-82E2-20DFFB2D3264}">
            <xm:f>NOT(ISERROR(SEARCH($O$11,H18)))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5" operator="containsText" id="{375E2632-4536-4F2D-8C2D-BB9FDB9854EC}">
            <xm:f>NOT(ISERROR(SEARCH($O$12,H18)))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6" operator="containsText" id="{A347D5CD-8DB6-474C-B13B-C802572521DA}">
            <xm:f>NOT(ISERROR(SEARCH($O$13,H18)))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7" operator="containsText" id="{7F0D734C-2A1C-45C8-BAA5-8EAB7D2C5538}">
            <xm:f>NOT(ISERROR(SEARCH($O$14,H18)))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58" operator="containsText" id="{0DFC30F6-E6C8-4599-9523-7C10FEB001BA}">
            <xm:f>NOT(ISERROR(SEARCH($O$15,H18)))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containsText" priority="114" operator="containsText" id="{D9CD4FAE-D534-4A24-8387-8D736CC1CDDB}">
            <xm:f>NOT(ISERROR(SEARCH($O$5,L18)))</xm:f>
            <xm:f>$O$5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15" operator="containsText" id="{AD345592-532F-4DB8-A6E8-CADC3C7E4B9B}">
            <xm:f>NOT(ISERROR(SEARCH($O$6,L18)))</xm:f>
            <xm:f>$O$6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16" operator="containsText" id="{CEA5DA10-D5E2-414D-A79E-EBA34354DA9F}">
            <xm:f>NOT(ISERROR(SEARCH($O$7,L18)))</xm:f>
            <xm:f>$O$7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17" operator="containsText" id="{2EA0311F-0849-44AF-A3A8-FEF42514B03E}">
            <xm:f>NOT(ISERROR(SEARCH($O$8,L18)))</xm:f>
            <xm:f>$O$8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18" operator="containsText" id="{9470EF7F-C92A-4EC5-B91E-D6D64EF45273}">
            <xm:f>NOT(ISERROR(SEARCH($O$9,L18)))</xm:f>
            <xm:f>$O$9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19" operator="containsText" id="{D733CCAB-FCE6-4067-ADE2-9C9C26779D97}">
            <xm:f>NOT(ISERROR(SEARCH($O$11,L18)))</xm:f>
            <xm:f>$O$11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20" operator="containsText" id="{BC390678-1C07-4154-A78F-1F1571112228}">
            <xm:f>NOT(ISERROR(SEARCH($O$12,L18)))</xm:f>
            <xm:f>$O$12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21" operator="containsText" id="{3F6912FE-2753-47F4-9A8F-88DBD0EE673E}">
            <xm:f>NOT(ISERROR(SEARCH($O$13,L18)))</xm:f>
            <xm:f>$O$13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22" operator="containsText" id="{BCFA491D-E82C-4FCE-B8DA-88678DAA5CEC}">
            <xm:f>NOT(ISERROR(SEARCH($O$14,L18)))</xm:f>
            <xm:f>$O$14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23" operator="containsText" id="{2D5B1DB2-5EAB-4719-8415-B1365C6791AC}">
            <xm:f>NOT(ISERROR(SEARCH($O$15,L18)))</xm:f>
            <xm:f>$O$15</xm:f>
            <x14:dxf>
              <fill>
                <patternFill>
                  <bgColor rgb="FFFF0000"/>
                </patternFill>
              </fill>
            </x14:dxf>
          </x14:cfRule>
          <xm:sqref>L18:L19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7"/>
  <sheetViews>
    <sheetView showGridLines="0" zoomScale="118" zoomScaleNormal="11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4" sqref="D24"/>
    </sheetView>
  </sheetViews>
  <sheetFormatPr defaultColWidth="9.1796875" defaultRowHeight="14.5" x14ac:dyDescent="0.35"/>
  <cols>
    <col min="1" max="1" width="10.26953125" style="1" customWidth="1"/>
    <col min="2" max="2" width="12.7265625" style="1" customWidth="1"/>
    <col min="3" max="3" width="11" style="1" customWidth="1"/>
    <col min="4" max="4" width="9.81640625" style="1" customWidth="1"/>
    <col min="5" max="5" width="8.453125" style="1" customWidth="1"/>
    <col min="6" max="6" width="18" style="1" customWidth="1"/>
    <col min="7" max="7" width="12.7265625" style="1" customWidth="1"/>
    <col min="8" max="13" width="7.7265625" style="1" customWidth="1"/>
    <col min="14" max="14" width="7.81640625" style="1" customWidth="1"/>
    <col min="15" max="15" width="10" style="1" bestFit="1" customWidth="1"/>
    <col min="16" max="17" width="9.1796875" style="1"/>
    <col min="18" max="18" width="5.7265625" style="16" customWidth="1"/>
    <col min="19" max="19" width="9.1796875" style="1"/>
    <col min="20" max="20" width="5.453125" style="16" customWidth="1"/>
    <col min="21" max="21" width="9.1796875" style="1"/>
    <col min="22" max="22" width="5.453125" style="16" customWidth="1"/>
    <col min="23" max="23" width="9.1796875" style="1"/>
    <col min="24" max="24" width="6.7265625" style="16" customWidth="1"/>
    <col min="25" max="25" width="9.1796875" style="1"/>
    <col min="26" max="26" width="5.453125" style="16" customWidth="1"/>
    <col min="27" max="27" width="9.1796875" style="1"/>
    <col min="28" max="28" width="6.453125" style="16" customWidth="1"/>
    <col min="29" max="29" width="9.1796875" style="1"/>
    <col min="30" max="30" width="6.453125" style="16" customWidth="1"/>
    <col min="31" max="16384" width="9.1796875" style="1"/>
  </cols>
  <sheetData>
    <row r="1" spans="1:30" ht="23.25" customHeight="1" x14ac:dyDescent="0.35">
      <c r="A1" s="401" t="s">
        <v>243</v>
      </c>
      <c r="B1" s="401"/>
      <c r="C1" s="401"/>
      <c r="D1" s="401"/>
      <c r="E1" s="401"/>
      <c r="F1" s="401"/>
      <c r="H1" s="403" t="s">
        <v>244</v>
      </c>
      <c r="I1" s="403"/>
      <c r="J1" s="403"/>
      <c r="K1" s="403"/>
      <c r="L1" s="403"/>
      <c r="M1" s="403"/>
      <c r="Q1" s="403" t="s">
        <v>245</v>
      </c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</row>
    <row r="2" spans="1:30" ht="19" thickBot="1" x14ac:dyDescent="0.5">
      <c r="A2" s="402" t="s">
        <v>246</v>
      </c>
      <c r="B2" s="402"/>
      <c r="C2" s="402"/>
      <c r="D2" s="402"/>
      <c r="E2" s="402"/>
      <c r="F2" s="402"/>
      <c r="T2" s="159"/>
    </row>
    <row r="3" spans="1:30" s="16" customFormat="1" ht="43.5" x14ac:dyDescent="0.35">
      <c r="A3" s="133" t="s">
        <v>247</v>
      </c>
      <c r="B3" s="135" t="s">
        <v>248</v>
      </c>
      <c r="C3" s="136" t="s">
        <v>249</v>
      </c>
      <c r="D3" s="135" t="s">
        <v>250</v>
      </c>
      <c r="E3" s="135" t="s">
        <v>251</v>
      </c>
      <c r="F3" s="134" t="s">
        <v>252</v>
      </c>
      <c r="G3" s="200" t="s">
        <v>253</v>
      </c>
      <c r="H3" s="130" t="s">
        <v>254</v>
      </c>
      <c r="I3" s="77" t="s">
        <v>255</v>
      </c>
      <c r="J3" s="131" t="s">
        <v>256</v>
      </c>
      <c r="K3" s="132" t="s">
        <v>257</v>
      </c>
      <c r="L3" s="132" t="s">
        <v>258</v>
      </c>
      <c r="M3" s="77" t="s">
        <v>259</v>
      </c>
      <c r="N3" s="153" t="s">
        <v>260</v>
      </c>
      <c r="O3" s="146" t="s">
        <v>261</v>
      </c>
      <c r="P3" s="1"/>
      <c r="Q3" s="137" t="s">
        <v>262</v>
      </c>
      <c r="R3" s="160" t="s">
        <v>263</v>
      </c>
      <c r="S3" s="193" t="s">
        <v>262</v>
      </c>
      <c r="T3" s="194" t="s">
        <v>263</v>
      </c>
      <c r="U3" s="193" t="s">
        <v>262</v>
      </c>
      <c r="V3" s="194" t="s">
        <v>263</v>
      </c>
      <c r="W3" s="193" t="s">
        <v>262</v>
      </c>
      <c r="X3" s="194" t="s">
        <v>263</v>
      </c>
      <c r="Y3" s="193" t="s">
        <v>262</v>
      </c>
      <c r="Z3" s="195" t="s">
        <v>263</v>
      </c>
      <c r="AA3" s="193" t="s">
        <v>262</v>
      </c>
      <c r="AB3" s="194" t="s">
        <v>263</v>
      </c>
      <c r="AC3" s="193" t="s">
        <v>262</v>
      </c>
      <c r="AD3" s="196" t="s">
        <v>263</v>
      </c>
    </row>
    <row r="4" spans="1:30" ht="15" customHeight="1" x14ac:dyDescent="0.35">
      <c r="A4" s="266" t="str">
        <f>Mon!U4</f>
        <v>(AB)</v>
      </c>
      <c r="B4" s="153">
        <v>6</v>
      </c>
      <c r="C4" s="153">
        <f>Sat!W4</f>
        <v>6</v>
      </c>
      <c r="D4" s="153">
        <f>SUM(COUNTIF(Mon!$P$11:$P$23,Reports!A4),COUNTIF(Tue!$P$11:$P$23,Reports!A4),COUNTIF(Wed!$P$11:$P$23,Reports!A4),COUNTIF(Thur!$P$11:$P$23,Reports!A4),COUNTIF(Fri!$P$11:$P$23,Reports!A4),COUNTIF(Sat!$P$11:$P$23,Reports!A4))</f>
        <v>0</v>
      </c>
      <c r="E4" s="153">
        <f>SUM(COUNTIF(Mon!$P$5:$P$9,Reports!A4),COUNTIF(Tue!$P$5:$P$9,Reports!A4),COUNTIF(Wed!$P$5:$P$9,Reports!A4),COUNTIF(Thur!$P$5:$P$9,Reports!A4),COUNTIF(Fri!$P$5:$P$9,Reports!A4),COUNTIF(Sat!$P$5:$P$9,Reports!A4))</f>
        <v>0</v>
      </c>
      <c r="F4" s="153"/>
      <c r="G4" s="153">
        <f>B4-C4</f>
        <v>0</v>
      </c>
      <c r="H4" s="155">
        <f>Mon!V4</f>
        <v>2</v>
      </c>
      <c r="I4" s="153">
        <f>Tue!V4</f>
        <v>1</v>
      </c>
      <c r="J4" s="153">
        <f>Wed!V4</f>
        <v>1</v>
      </c>
      <c r="K4" s="153">
        <f>Thur!V4</f>
        <v>1</v>
      </c>
      <c r="L4" s="128">
        <f>Fri!V4</f>
        <v>1</v>
      </c>
      <c r="M4" s="153">
        <f>Sat!V4</f>
        <v>0</v>
      </c>
      <c r="N4" s="16" t="b">
        <f>SUM(H4:M4)=SUM(Q4:AD4)</f>
        <v>1</v>
      </c>
      <c r="O4" s="129">
        <f>SUM(COUNTIF(Mon!$M$5:N60,Reports!A4),COUNTIF(Tue!$M$5:N70,Reports!A4),COUNTIF(Wed!$M$4:N64,Reports!A4),COUNTIF(Wed!$L$21:$L$33,Reports!A4),COUNTIF(Thur!$M$5:N62,Reports!A4),COUNTIF(Fri!$M$5:N62,Reports!A4),COUNTIF(Sat!$I$4:L70,Reports!A4))</f>
        <v>4</v>
      </c>
      <c r="Q4" s="15" t="s">
        <v>264</v>
      </c>
      <c r="R4" s="288">
        <v>3</v>
      </c>
      <c r="S4" s="15" t="s">
        <v>265</v>
      </c>
      <c r="T4" s="288">
        <f>COUNTIF(ITT!4:4,S4)</f>
        <v>3</v>
      </c>
      <c r="U4" s="15"/>
      <c r="V4" s="292"/>
      <c r="W4" s="15"/>
      <c r="X4" s="292"/>
      <c r="Y4" s="15"/>
      <c r="Z4" s="292"/>
      <c r="AA4" s="15"/>
      <c r="AB4" s="292"/>
      <c r="AC4" s="15"/>
      <c r="AD4" s="292"/>
    </row>
    <row r="5" spans="1:30" s="158" customFormat="1" ht="15" customHeight="1" x14ac:dyDescent="0.35">
      <c r="A5" s="267" t="str">
        <f>Mon!U5</f>
        <v>(AD)</v>
      </c>
      <c r="B5" s="153">
        <v>18</v>
      </c>
      <c r="C5" s="155">
        <f>Sat!W5</f>
        <v>18</v>
      </c>
      <c r="D5" s="155">
        <f>SUM(COUNTIF(Mon!$P$11:$P$23,Reports!A5),COUNTIF(Tue!$P$11:$P$23,Reports!A5),COUNTIF(Wed!$P$11:$P$23,Reports!A5),COUNTIF(Thur!$P$11:$P$23,Reports!A5),COUNTIF(Fri!$P$11:$P$23,Reports!A5),COUNTIF(Sat!$P$11:$P$23,Reports!A5))</f>
        <v>0</v>
      </c>
      <c r="E5" s="155">
        <f>SUM(COUNTIF(Mon!$P$5:$P$9,Reports!A5),COUNTIF(Tue!$P$5:$P$9,Reports!A5),COUNTIF(Wed!$P$5:$P$9,Reports!A5),COUNTIF(Thur!$P$5:$P$9,Reports!A5),COUNTIF(Fri!$P$5:$P$9,Reports!A5),COUNTIF(Sat!$P$5:$P$9,Reports!A5))</f>
        <v>0</v>
      </c>
      <c r="F5" s="155"/>
      <c r="G5" s="153">
        <f t="shared" ref="G5:G56" si="0">B5-C5</f>
        <v>0</v>
      </c>
      <c r="H5" s="155">
        <f>Mon!V5</f>
        <v>3</v>
      </c>
      <c r="I5" s="155">
        <f>Tue!V5</f>
        <v>3</v>
      </c>
      <c r="J5" s="155">
        <f>Wed!V5</f>
        <v>3</v>
      </c>
      <c r="K5" s="155">
        <f>Thur!V5</f>
        <v>3</v>
      </c>
      <c r="L5" s="156">
        <f>Fri!V5</f>
        <v>3</v>
      </c>
      <c r="M5" s="155">
        <f>Sat!V5</f>
        <v>3</v>
      </c>
      <c r="N5" s="157" t="b">
        <f t="shared" ref="N5:N56" si="1">SUM(H5:M5)=SUM(Q5:AD5)</f>
        <v>1</v>
      </c>
      <c r="O5" s="129">
        <f>SUM(COUNTIF(Mon!$M$5:N61,Reports!A5),COUNTIF(Tue!$M$5:N70,Reports!A5),COUNTIF(Wed!$M$4:N65,Reports!A5),COUNTIF(Wed!$L$21:$L$33,Reports!A5),COUNTIF(Thur!$M$5:N63,Reports!A5),COUNTIF(Fri!$M$5:N63,Reports!A5),COUNTIF(Sat!$I$4:L70,Reports!A5))</f>
        <v>5</v>
      </c>
      <c r="Q5" s="15" t="s">
        <v>266</v>
      </c>
      <c r="R5" s="289">
        <f>COUNTIF(ITT!5:5,Q5)</f>
        <v>4</v>
      </c>
      <c r="S5" s="15" t="s">
        <v>267</v>
      </c>
      <c r="T5" s="288">
        <f>COUNTIF(ITT!5:5,S5)</f>
        <v>3</v>
      </c>
      <c r="U5" s="15" t="s">
        <v>268</v>
      </c>
      <c r="V5" s="289">
        <f>COUNTIF(ITT!5:5,U5)</f>
        <v>4</v>
      </c>
      <c r="W5" s="15" t="s">
        <v>269</v>
      </c>
      <c r="X5" s="289">
        <f>COUNTIF(ITT!5:5,W5)</f>
        <v>4</v>
      </c>
      <c r="Y5" s="15" t="s">
        <v>270</v>
      </c>
      <c r="Z5" s="289">
        <f>COUNTIF(ITT!5:5,Y5)</f>
        <v>3</v>
      </c>
      <c r="AA5" s="15"/>
      <c r="AB5" s="294"/>
      <c r="AC5" s="15"/>
      <c r="AD5" s="294"/>
    </row>
    <row r="6" spans="1:30" ht="15" customHeight="1" x14ac:dyDescent="0.35">
      <c r="A6" s="266" t="str">
        <f>Mon!U6</f>
        <v>(AG)</v>
      </c>
      <c r="B6" s="153">
        <v>18</v>
      </c>
      <c r="C6" s="153">
        <f>Sat!W6</f>
        <v>18</v>
      </c>
      <c r="D6" s="153">
        <f>SUM(COUNTIF(Mon!$P$11:$P$23,Reports!A6),COUNTIF(Tue!$P$11:$P$23,Reports!A6),COUNTIF(Wed!$P$11:$P$23,Reports!A6),COUNTIF(Thur!$P$11:$P$23,Reports!A6),COUNTIF(Fri!$P$11:$P$23,Reports!A6),COUNTIF(Sat!$P$11:$P$23,Reports!A6))</f>
        <v>0</v>
      </c>
      <c r="E6" s="153">
        <f>SUM(COUNTIF(Mon!$P$5:$P$9,Reports!A6),COUNTIF(Tue!$P$5:$P$9,Reports!A6),COUNTIF(Wed!$P$5:$P$9,Reports!A6),COUNTIF(Thur!$P$5:$P$9,Reports!A6),COUNTIF(Fri!$P$5:$P$9,Reports!A6),COUNTIF(Sat!$P$5:$P$9,Reports!A6))</f>
        <v>0</v>
      </c>
      <c r="F6" s="153"/>
      <c r="G6" s="153">
        <f t="shared" si="0"/>
        <v>0</v>
      </c>
      <c r="H6" s="153">
        <f>Mon!V6</f>
        <v>3</v>
      </c>
      <c r="I6" s="153">
        <f>Tue!V6</f>
        <v>3</v>
      </c>
      <c r="J6" s="153">
        <f>Wed!V6</f>
        <v>4</v>
      </c>
      <c r="K6" s="153">
        <f>Thur!V6</f>
        <v>3</v>
      </c>
      <c r="L6" s="128">
        <f>Fri!V6</f>
        <v>3</v>
      </c>
      <c r="M6" s="153">
        <f>Sat!V6</f>
        <v>2</v>
      </c>
      <c r="N6" s="16" t="b">
        <f t="shared" si="1"/>
        <v>1</v>
      </c>
      <c r="O6" s="129">
        <f>SUM(COUNTIF(Mon!$M$5:N62,Reports!A6),COUNTIF(Tue!$M$5:N70,Reports!A6),COUNTIF(Wed!$M$4:N66,Reports!A6),COUNTIF(Wed!$L$21:$L$33,Reports!A6),COUNTIF(Thur!$M$5:N64,Reports!A6),COUNTIF(Fri!$M$5:N64,Reports!A6),COUNTIF(Sat!$I$4:L70,Reports!A6))</f>
        <v>6</v>
      </c>
      <c r="Q6" s="15" t="s">
        <v>271</v>
      </c>
      <c r="R6" s="288">
        <f>COUNTIF(ITT!6:6,Q6)</f>
        <v>3</v>
      </c>
      <c r="S6" s="15" t="s">
        <v>272</v>
      </c>
      <c r="T6" s="288">
        <f>COUNTIF(ITT!6:6,S6)</f>
        <v>3</v>
      </c>
      <c r="U6" s="15" t="s">
        <v>273</v>
      </c>
      <c r="V6" s="288">
        <f>COUNTIF(ITT!6:6,U6)</f>
        <v>3</v>
      </c>
      <c r="W6" s="15" t="s">
        <v>274</v>
      </c>
      <c r="X6" s="288">
        <f>COUNTIF(ITT!6:6,W6)</f>
        <v>3</v>
      </c>
      <c r="Y6" s="15" t="s">
        <v>275</v>
      </c>
      <c r="Z6" s="288">
        <f>COUNTIF(ITT!6:6,Y6)</f>
        <v>3</v>
      </c>
      <c r="AA6" s="15" t="s">
        <v>276</v>
      </c>
      <c r="AB6" s="291">
        <f>COUNTIF(ITT!6:6,AA6)</f>
        <v>3</v>
      </c>
      <c r="AC6" s="15"/>
      <c r="AD6" s="292"/>
    </row>
    <row r="7" spans="1:30" s="217" customFormat="1" ht="15" customHeight="1" x14ac:dyDescent="0.35">
      <c r="A7" s="268" t="str">
        <f>Mon!U7</f>
        <v>(ANU)</v>
      </c>
      <c r="B7" s="153" t="s">
        <v>277</v>
      </c>
      <c r="C7" s="213">
        <f>Sat!W7</f>
        <v>0</v>
      </c>
      <c r="D7" s="213">
        <f>SUM(COUNTIF(Mon!$P$11:$P$23,Reports!A7),COUNTIF(Tue!$P$11:$P$23,Reports!A7),COUNTIF(Wed!$P$11:$P$23,Reports!A7),COUNTIF(Thur!$P$11:$P$23,Reports!A7),COUNTIF(Fri!$P$11:$P$23,Reports!A7),COUNTIF(Sat!$P$11:$P$23,Reports!A7))</f>
        <v>0</v>
      </c>
      <c r="E7" s="213">
        <f>SUM(COUNTIF(Mon!$P$5:$P$9,Reports!A7),COUNTIF(Tue!$P$5:$P$9,Reports!A7),COUNTIF(Wed!$P$5:$P$9,Reports!A7),COUNTIF(Thur!$P$5:$P$9,Reports!A7),COUNTIF(Fri!$P$5:$P$9,Reports!A7),COUNTIF(Sat!$P$5:$P$9,Reports!A7))</f>
        <v>0</v>
      </c>
      <c r="F7" s="213"/>
      <c r="G7" s="213" t="s">
        <v>277</v>
      </c>
      <c r="H7" s="213">
        <f>Mon!V7</f>
        <v>0</v>
      </c>
      <c r="I7" s="213">
        <f>Tue!V7</f>
        <v>0</v>
      </c>
      <c r="J7" s="213">
        <f>Wed!V7</f>
        <v>0</v>
      </c>
      <c r="K7" s="213">
        <f>Thur!V7</f>
        <v>0</v>
      </c>
      <c r="L7" s="214">
        <f>Fri!V7</f>
        <v>0</v>
      </c>
      <c r="M7" s="213">
        <f>Sat!V7</f>
        <v>0</v>
      </c>
      <c r="N7" s="215" t="b">
        <f t="shared" si="1"/>
        <v>1</v>
      </c>
      <c r="O7" s="216">
        <f>SUM(COUNTIF(Mon!$M$5:N63,Reports!A7),COUNTIF(Tue!$M$5:N70,Reports!A7),COUNTIF(Wed!$M$4:N67,Reports!A7),COUNTIF(Wed!$L$21:$L$33,Reports!A7),COUNTIF(Thur!$M$5:N65,Reports!A7),COUNTIF(Fri!$M$5:N65,Reports!A7),COUNTIF(Sat!$I$4:L70,Reports!A7))</f>
        <v>0</v>
      </c>
      <c r="Q7" s="15"/>
      <c r="R7" s="290"/>
      <c r="S7" s="15"/>
      <c r="T7" s="290"/>
      <c r="U7" s="15"/>
      <c r="V7" s="290"/>
      <c r="W7" s="15"/>
      <c r="X7" s="290"/>
      <c r="Y7" s="15"/>
      <c r="Z7" s="290"/>
      <c r="AA7" s="15"/>
      <c r="AB7" s="290"/>
      <c r="AC7" s="15"/>
      <c r="AD7" s="290"/>
    </row>
    <row r="8" spans="1:30" s="220" customFormat="1" ht="15" customHeight="1" x14ac:dyDescent="0.35">
      <c r="A8" s="269" t="str">
        <f>Mon!U8</f>
        <v>(AS)</v>
      </c>
      <c r="B8" s="153">
        <v>17</v>
      </c>
      <c r="C8" s="218">
        <f>Sat!W8</f>
        <v>17</v>
      </c>
      <c r="D8" s="218">
        <f>SUM(COUNTIF(Mon!$P$11:$P$23,Reports!A8),COUNTIF(Tue!$P$11:$P$23,Reports!A8),COUNTIF(Wed!$P$11:$P$23,Reports!A8),COUNTIF(Thur!$P$11:$P$23,Reports!A8),COUNTIF(Fri!$P$11:$P$23,Reports!A8),COUNTIF(Sat!$P$11:$P$23,Reports!A8))</f>
        <v>0</v>
      </c>
      <c r="E8" s="218">
        <f>SUM(COUNTIF(Mon!$P$5:$P$9,Reports!A8),COUNTIF(Tue!$P$5:$P$9,Reports!A8),COUNTIF(Wed!$P$5:$P$9,Reports!A8),COUNTIF(Thur!$P$5:$P$9,Reports!A8),COUNTIF(Fri!$P$5:$P$9,Reports!A8),COUNTIF(Sat!$P$5:$P$9,Reports!A8))</f>
        <v>0</v>
      </c>
      <c r="F8" s="218"/>
      <c r="G8" s="218">
        <f t="shared" si="0"/>
        <v>0</v>
      </c>
      <c r="H8" s="218">
        <f>Mon!V8</f>
        <v>3</v>
      </c>
      <c r="I8" s="218">
        <f>Tue!V8</f>
        <v>4</v>
      </c>
      <c r="J8" s="218">
        <f>Wed!V8</f>
        <v>2</v>
      </c>
      <c r="K8" s="218">
        <f>Thur!V8</f>
        <v>3</v>
      </c>
      <c r="L8" s="211">
        <f>Fri!V8</f>
        <v>2</v>
      </c>
      <c r="M8" s="218">
        <f>Sat!V8</f>
        <v>3</v>
      </c>
      <c r="N8" s="212" t="b">
        <f t="shared" si="1"/>
        <v>0</v>
      </c>
      <c r="O8" s="219">
        <f>SUM(COUNTIF(Mon!$M$5:N64,Reports!A8),COUNTIF(Tue!$M$5:N70,Reports!A8),COUNTIF(Wed!$M$4:N68,Reports!A8),COUNTIF(Wed!$L$21:$L$33,Reports!A8),COUNTIF(Thur!$M$5:N66,Reports!A8),COUNTIF(Fri!$M$5:N66,Reports!A8),COUNTIF(Sat!$I$4:L70,Reports!A8))</f>
        <v>3</v>
      </c>
      <c r="Q8" s="15" t="s">
        <v>278</v>
      </c>
      <c r="R8" s="291">
        <f>COUNTIF(ITT!8:8,Q8)</f>
        <v>3</v>
      </c>
      <c r="S8" s="15" t="s">
        <v>279</v>
      </c>
      <c r="T8" s="291">
        <f>COUNTIF(ITT!8:8,S8)</f>
        <v>3</v>
      </c>
      <c r="U8" s="15" t="s">
        <v>280</v>
      </c>
      <c r="V8" s="291">
        <f>COUNTIF(ITT!8:8,U8)</f>
        <v>3</v>
      </c>
      <c r="W8" s="15" t="s">
        <v>281</v>
      </c>
      <c r="X8" s="288">
        <f>COUNTIF(ITT!8:8,W8)</f>
        <v>2</v>
      </c>
      <c r="Y8" s="15" t="s">
        <v>282</v>
      </c>
      <c r="Z8" s="291">
        <f>COUNTIF(ITT!8:8,Y8)</f>
        <v>3</v>
      </c>
      <c r="AA8" s="15" t="s">
        <v>283</v>
      </c>
      <c r="AB8" s="288">
        <f>COUNTIF(ITT!8:8,AA8)</f>
        <v>2</v>
      </c>
      <c r="AC8" s="15"/>
      <c r="AD8" s="295"/>
    </row>
    <row r="9" spans="1:30" s="158" customFormat="1" ht="15" customHeight="1" x14ac:dyDescent="0.35">
      <c r="A9" s="267" t="str">
        <f>Mon!U9</f>
        <v>(AV)</v>
      </c>
      <c r="B9" s="153">
        <v>18</v>
      </c>
      <c r="C9" s="155">
        <f>Sat!W9</f>
        <v>17</v>
      </c>
      <c r="D9" s="155">
        <f>SUM(COUNTIF(Mon!$P$11:$P$23,Reports!A9),COUNTIF(Tue!$P$11:$P$23,Reports!A9),COUNTIF(Wed!$P$11:$P$23,Reports!A9),COUNTIF(Thur!$P$11:$P$23,Reports!A9),COUNTIF(Fri!$P$11:$P$23,Reports!A9),COUNTIF(Sat!$P$11:$P$23,Reports!A9))</f>
        <v>0</v>
      </c>
      <c r="E9" s="155">
        <f>SUM(COUNTIF(Mon!$P$5:$P$9,Reports!A9),COUNTIF(Tue!$P$5:$P$9,Reports!A9),COUNTIF(Wed!$P$5:$P$9,Reports!A9),COUNTIF(Thur!$P$5:$P$9,Reports!A9),COUNTIF(Fri!$P$5:$P$9,Reports!A9),COUNTIF(Sat!$P$5:$P$9,Reports!A9))</f>
        <v>0</v>
      </c>
      <c r="F9" s="155"/>
      <c r="G9" s="153">
        <f t="shared" si="0"/>
        <v>1</v>
      </c>
      <c r="H9" s="155">
        <f>Mon!V9</f>
        <v>2</v>
      </c>
      <c r="I9" s="155">
        <f>Tue!V9</f>
        <v>4</v>
      </c>
      <c r="J9" s="155">
        <f>Wed!V9</f>
        <v>3</v>
      </c>
      <c r="K9" s="155">
        <f>Thur!V9</f>
        <v>3</v>
      </c>
      <c r="L9" s="156">
        <f>Fri!V9</f>
        <v>3</v>
      </c>
      <c r="M9" s="155">
        <f>Sat!V9</f>
        <v>2</v>
      </c>
      <c r="N9" s="157" t="b">
        <f t="shared" si="1"/>
        <v>0</v>
      </c>
      <c r="O9" s="129">
        <f>SUM(COUNTIF(Mon!$M$5:N65,Reports!A9),COUNTIF(Tue!$M$5:N70,Reports!A9),COUNTIF(Wed!$M$4:N69,Reports!A9),COUNTIF(Wed!$L$21:$L$33,Reports!A9),COUNTIF(Thur!$M$5:N67,Reports!A9),COUNTIF(Fri!$M$5:N67,Reports!A9),COUNTIF(Sat!$I$4:L70,Reports!A9))</f>
        <v>3</v>
      </c>
      <c r="Q9" s="15" t="s">
        <v>284</v>
      </c>
      <c r="R9" s="288">
        <f>COUNTIF(ITT!9:9,Q9)</f>
        <v>3</v>
      </c>
      <c r="S9" s="15" t="s">
        <v>285</v>
      </c>
      <c r="T9" s="288">
        <f>COUNTIF(ITT!9:9,S9)</f>
        <v>2</v>
      </c>
      <c r="U9" s="15" t="s">
        <v>286</v>
      </c>
      <c r="V9" s="288">
        <f>COUNTIF(ITT!9:9,U9)</f>
        <v>3</v>
      </c>
      <c r="W9" s="15" t="s">
        <v>287</v>
      </c>
      <c r="X9" s="288">
        <f>COUNTIF(ITT!9:9,W9)</f>
        <v>3</v>
      </c>
      <c r="Y9" s="15" t="s">
        <v>288</v>
      </c>
      <c r="Z9" s="288">
        <f>COUNTIF(ITT!9:9,Y9)</f>
        <v>2</v>
      </c>
      <c r="AA9" s="15" t="s">
        <v>289</v>
      </c>
      <c r="AB9" s="291">
        <f>COUNTIF(ITT!9:9,Reports!AA9)</f>
        <v>3</v>
      </c>
      <c r="AC9" s="15"/>
      <c r="AD9" s="292"/>
    </row>
    <row r="10" spans="1:30" ht="15" customHeight="1" x14ac:dyDescent="0.35">
      <c r="A10" s="266" t="str">
        <f>Mon!U10</f>
        <v>(AW)</v>
      </c>
      <c r="B10" s="153">
        <v>18</v>
      </c>
      <c r="C10" s="153">
        <f>Sat!W10</f>
        <v>18</v>
      </c>
      <c r="D10" s="153">
        <f>SUM(COUNTIF(Mon!$P$11:$P$23,Reports!A10),COUNTIF(Tue!$P$11:$P$23,Reports!A10),COUNTIF(Wed!$P$11:$P$23,Reports!A10),COUNTIF(Thur!$P$11:$P$23,Reports!A10),COUNTIF(Fri!$P$11:$P$23,Reports!A10),COUNTIF(Sat!$P$11:$P$23,Reports!A10))</f>
        <v>0</v>
      </c>
      <c r="E10" s="153">
        <f>SUM(COUNTIF(Mon!$P$5:$P$9,Reports!A10),COUNTIF(Tue!$P$5:$P$9,Reports!A10),COUNTIF(Wed!$P$5:$P$9,Reports!A10),COUNTIF(Thur!$P$5:$P$9,Reports!A10),COUNTIF(Fri!$P$5:$P$9,Reports!A10),COUNTIF(Sat!$P$5:$P$9,Reports!A10))</f>
        <v>0</v>
      </c>
      <c r="F10" s="153"/>
      <c r="G10" s="153">
        <f t="shared" si="0"/>
        <v>0</v>
      </c>
      <c r="H10" s="153">
        <f>Mon!V10</f>
        <v>3</v>
      </c>
      <c r="I10" s="153">
        <f>Tue!V10</f>
        <v>3</v>
      </c>
      <c r="J10" s="153">
        <f>Wed!V10</f>
        <v>3</v>
      </c>
      <c r="K10" s="153">
        <f>Thur!V10</f>
        <v>3</v>
      </c>
      <c r="L10" s="128">
        <f>Fri!V10</f>
        <v>4</v>
      </c>
      <c r="M10" s="153">
        <f>Sat!V10</f>
        <v>2</v>
      </c>
      <c r="N10" s="16" t="b">
        <f t="shared" si="1"/>
        <v>0</v>
      </c>
      <c r="O10" s="129">
        <f>SUM(COUNTIF(Mon!$M$5:N66,Reports!A10),COUNTIF(Tue!$M$5:N70,Reports!A10),COUNTIF(Wed!$M$4:N70,Reports!A10),COUNTIF(Wed!$L$21:$L$33,Reports!A10),COUNTIF(Thur!$M$5:N68,Reports!A10),COUNTIF(Fri!$M$5:N68,Reports!A10),COUNTIF(Sat!$I$4:L70,Reports!A10))</f>
        <v>4</v>
      </c>
      <c r="Q10" s="15" t="s">
        <v>290</v>
      </c>
      <c r="R10" s="288">
        <f>COUNTIF(ITT!10:10,Q10)</f>
        <v>3</v>
      </c>
      <c r="S10" s="15" t="s">
        <v>291</v>
      </c>
      <c r="T10" s="288">
        <f>COUNTIF(ITT!10:10,S10)</f>
        <v>3</v>
      </c>
      <c r="U10" s="15" t="s">
        <v>292</v>
      </c>
      <c r="V10" s="288">
        <f>COUNTIF(ITT!10:10,U10)</f>
        <v>2</v>
      </c>
      <c r="W10" s="15" t="s">
        <v>293</v>
      </c>
      <c r="X10" s="288">
        <f>COUNTIF(ITT!10:10,W10)</f>
        <v>3</v>
      </c>
      <c r="Y10" s="15" t="s">
        <v>294</v>
      </c>
      <c r="Z10" s="288">
        <f>COUNTIF(ITT!10:10,Y10)</f>
        <v>3</v>
      </c>
      <c r="AA10" s="15" t="s">
        <v>295</v>
      </c>
      <c r="AB10" s="291">
        <f>COUNTIF(ITT!10:10,Reports!AA10)</f>
        <v>3</v>
      </c>
      <c r="AC10" s="15"/>
      <c r="AD10" s="292"/>
    </row>
    <row r="11" spans="1:30" s="158" customFormat="1" ht="15" customHeight="1" x14ac:dyDescent="0.35">
      <c r="A11" s="267" t="str">
        <f>Mon!U11</f>
        <v>(BB)</v>
      </c>
      <c r="B11" s="153">
        <v>17</v>
      </c>
      <c r="C11" s="155">
        <f>Sat!W11</f>
        <v>17</v>
      </c>
      <c r="D11" s="155">
        <f>SUM(COUNTIF(Mon!$P$11:$P$23,Reports!A11),COUNTIF(Tue!$P$11:$P$23,Reports!A11),COUNTIF(Wed!$P$11:$P$23,Reports!A11),COUNTIF(Thur!$P$11:$P$23,Reports!A11),COUNTIF(Fri!$P$11:$P$23,Reports!A11),COUNTIF(Sat!$P$11:$P$23,Reports!A11))</f>
        <v>0</v>
      </c>
      <c r="E11" s="155">
        <f>SUM(COUNTIF(Mon!$P$5:$P$9,Reports!A11),COUNTIF(Tue!$P$5:$P$9,Reports!A11),COUNTIF(Wed!$P$5:$P$9,Reports!A11),COUNTIF(Thur!$P$5:$P$9,Reports!A11),COUNTIF(Fri!$P$5:$P$9,Reports!A11),COUNTIF(Sat!$P$5:$P$9,Reports!A11))</f>
        <v>0</v>
      </c>
      <c r="F11" s="155"/>
      <c r="G11" s="153">
        <f t="shared" si="0"/>
        <v>0</v>
      </c>
      <c r="H11" s="155">
        <f>Mon!V11</f>
        <v>3</v>
      </c>
      <c r="I11" s="155">
        <f>Tue!V11</f>
        <v>4</v>
      </c>
      <c r="J11" s="155">
        <f>Wed!V11</f>
        <v>3</v>
      </c>
      <c r="K11" s="155">
        <f>Thur!V11</f>
        <v>2</v>
      </c>
      <c r="L11" s="156">
        <f>Fri!V11</f>
        <v>4</v>
      </c>
      <c r="M11" s="155">
        <f>Sat!V11</f>
        <v>1</v>
      </c>
      <c r="N11" s="157" t="b">
        <f t="shared" si="1"/>
        <v>1</v>
      </c>
      <c r="O11" s="129">
        <f>SUM(COUNTIF(Mon!$M$5:N67,Reports!A11),COUNTIF(Tue!$M$5:N70,Reports!A11),COUNTIF(Wed!$M$4:N70,Reports!A11),COUNTIF(Wed!$L$21:$L$33,Reports!A11),COUNTIF(Thur!$M$5:N69,Reports!A11),COUNTIF(Fri!$M$5:N69,Reports!A11),COUNTIF(Sat!$I$4:L70,Reports!A11))</f>
        <v>5</v>
      </c>
      <c r="Q11" s="15" t="s">
        <v>296</v>
      </c>
      <c r="R11" s="289">
        <f>COUNTIF(ITT!11:11,Q11)</f>
        <v>4</v>
      </c>
      <c r="S11" s="15" t="s">
        <v>297</v>
      </c>
      <c r="T11" s="289">
        <f>COUNTIF(ITT!11:11,S11)</f>
        <v>4</v>
      </c>
      <c r="U11" s="15" t="s">
        <v>298</v>
      </c>
      <c r="V11" s="289">
        <f>COUNTIF(ITT!11:11,U11)</f>
        <v>4</v>
      </c>
      <c r="W11" s="15" t="s">
        <v>299</v>
      </c>
      <c r="X11" s="288">
        <f>COUNTIF(ITT!11:11,W11)</f>
        <v>3</v>
      </c>
      <c r="Y11" s="15" t="s">
        <v>300</v>
      </c>
      <c r="Z11" s="289">
        <f>COUNTIF(ITT!11:11,Y11)</f>
        <v>2</v>
      </c>
      <c r="AA11" s="15"/>
      <c r="AB11" s="289"/>
      <c r="AC11" s="15"/>
      <c r="AD11" s="292"/>
    </row>
    <row r="12" spans="1:30" ht="15" customHeight="1" x14ac:dyDescent="0.35">
      <c r="A12" s="266" t="str">
        <f>Mon!U12</f>
        <v>(BD)</v>
      </c>
      <c r="B12" s="153">
        <v>17</v>
      </c>
      <c r="C12" s="153">
        <f>Sat!W12</f>
        <v>17</v>
      </c>
      <c r="D12" s="153">
        <f>SUM(COUNTIF(Mon!$P$11:$P$23,Reports!A12),COUNTIF(Tue!$P$11:$P$23,Reports!A12),COUNTIF(Wed!$P$11:$P$23,Reports!A12),COUNTIF(Thur!$P$11:$P$23,Reports!A12),COUNTIF(Fri!$P$11:$P$23,Reports!A12),COUNTIF(Sat!$P$11:$P$23,Reports!A12))</f>
        <v>0</v>
      </c>
      <c r="E12" s="153">
        <f>SUM(COUNTIF(Mon!$P$5:$P$9,Reports!A12),COUNTIF(Tue!$P$5:$P$9,Reports!A12),COUNTIF(Wed!$P$5:$P$9,Reports!A12),COUNTIF(Thur!$P$5:$P$9,Reports!A12),COUNTIF(Fri!$P$5:$P$9,Reports!A12),COUNTIF(Sat!$P$5:$P$9,Reports!A12))</f>
        <v>0</v>
      </c>
      <c r="F12" s="153"/>
      <c r="G12" s="153">
        <f t="shared" si="0"/>
        <v>0</v>
      </c>
      <c r="H12" s="153">
        <f>Mon!V12</f>
        <v>3</v>
      </c>
      <c r="I12" s="153">
        <f>Tue!V12</f>
        <v>4</v>
      </c>
      <c r="J12" s="153">
        <f>Wed!V12</f>
        <v>3</v>
      </c>
      <c r="K12" s="153">
        <f>Thur!V12</f>
        <v>2</v>
      </c>
      <c r="L12" s="128">
        <f>Fri!V12</f>
        <v>3</v>
      </c>
      <c r="M12" s="153">
        <f>Sat!V12</f>
        <v>2</v>
      </c>
      <c r="N12" s="16" t="b">
        <f t="shared" si="1"/>
        <v>0</v>
      </c>
      <c r="O12" s="129">
        <f>SUM(COUNTIF(Mon!$M$5:N68,Reports!A12),COUNTIF(Tue!$M$5:N70,Reports!A12),COUNTIF(Wed!$M$4:N70,Reports!A12),COUNTIF(Wed!$L$21:$L$33,Reports!A12),COUNTIF(Thur!$M$5:N70,Reports!A12),COUNTIF(Fri!$M$5:N70,Reports!A12),COUNTIF(Sat!$I$4:L70,Reports!A12))</f>
        <v>6</v>
      </c>
      <c r="Q12" s="15" t="s">
        <v>301</v>
      </c>
      <c r="R12" s="288">
        <f>COUNTIF(ITT!12:12,Q12)</f>
        <v>3</v>
      </c>
      <c r="S12" s="15" t="s">
        <v>302</v>
      </c>
      <c r="T12" s="289">
        <f>COUNTIF(ITT!12:12,S12)</f>
        <v>4</v>
      </c>
      <c r="U12" s="15" t="s">
        <v>303</v>
      </c>
      <c r="V12" s="288">
        <f>COUNTIF(ITT!12:12,U12)</f>
        <v>3</v>
      </c>
      <c r="W12" s="15" t="s">
        <v>304</v>
      </c>
      <c r="X12" s="288">
        <f>COUNTIF(ITT!12:12,W12)</f>
        <v>3</v>
      </c>
      <c r="Y12" s="15" t="s">
        <v>305</v>
      </c>
      <c r="Z12" s="288">
        <f>COUNTIF(ITT!12:12,Y12)</f>
        <v>3</v>
      </c>
      <c r="AA12" s="15"/>
      <c r="AB12" s="288"/>
      <c r="AC12" s="15"/>
      <c r="AD12" s="294"/>
    </row>
    <row r="13" spans="1:30" s="158" customFormat="1" ht="15" customHeight="1" x14ac:dyDescent="0.35">
      <c r="A13" s="267" t="str">
        <f>Mon!U13</f>
        <v>(CG)</v>
      </c>
      <c r="B13" s="153">
        <v>6</v>
      </c>
      <c r="C13" s="155">
        <f>Sat!W13</f>
        <v>14</v>
      </c>
      <c r="D13" s="155">
        <f>SUM(COUNTIF(Mon!$P$11:$P$23,Reports!A13),COUNTIF(Tue!$P$11:$P$23,Reports!A13),COUNTIF(Wed!$P$11:$P$23,Reports!A13),COUNTIF(Thur!$P$11:$P$23,Reports!A13),COUNTIF(Fri!$P$11:$P$23,Reports!A13),COUNTIF(Sat!$P$11:$P$23,Reports!A13))</f>
        <v>0</v>
      </c>
      <c r="E13" s="155">
        <f>SUM(COUNTIF(Mon!$P$5:$P$9,Reports!A13),COUNTIF(Tue!$P$5:$P$9,Reports!A13),COUNTIF(Wed!$P$5:$P$9,Reports!A13),COUNTIF(Thur!$P$5:$P$9,Reports!A13),COUNTIF(Fri!$P$5:$P$9,Reports!A13),COUNTIF(Sat!$P$5:$P$9,Reports!A13))</f>
        <v>0</v>
      </c>
      <c r="F13" s="155"/>
      <c r="G13" s="153">
        <f t="shared" si="0"/>
        <v>-8</v>
      </c>
      <c r="H13" s="155">
        <f>Mon!V13</f>
        <v>4</v>
      </c>
      <c r="I13" s="155">
        <f>Tue!V13</f>
        <v>4</v>
      </c>
      <c r="J13" s="155">
        <f>Wed!V13</f>
        <v>2</v>
      </c>
      <c r="K13" s="155">
        <f>Thur!V13</f>
        <v>0</v>
      </c>
      <c r="L13" s="156">
        <f>Fri!V13</f>
        <v>3</v>
      </c>
      <c r="M13" s="155">
        <f>Sat!V13</f>
        <v>1</v>
      </c>
      <c r="N13" s="157" t="b">
        <f t="shared" si="1"/>
        <v>0</v>
      </c>
      <c r="O13" s="129">
        <f>SUM(COUNTIF(Mon!$M$5:N69,Reports!A13),COUNTIF(Tue!$M$5:N70,Reports!A13),COUNTIF(Wed!$M$4:N70,Reports!A13),COUNTIF(Wed!$L$21:$L$33,Reports!A13),COUNTIF(Thur!$M$5:N70,Reports!A13),COUNTIF(Fri!$M$5:N70,Reports!A13),COUNTIF(Sat!$I$4:L70,Reports!A13))</f>
        <v>4</v>
      </c>
      <c r="Q13" s="15" t="s">
        <v>306</v>
      </c>
      <c r="R13" s="288">
        <f>COUNTIF(ITT!13:13,Q13)</f>
        <v>2</v>
      </c>
      <c r="S13" s="15" t="s">
        <v>307</v>
      </c>
      <c r="T13" s="288">
        <f>COUNTIF(ITT!13:13,S13)</f>
        <v>3</v>
      </c>
      <c r="U13" s="15"/>
      <c r="V13" s="292"/>
      <c r="W13" s="15"/>
      <c r="X13" s="292"/>
      <c r="Y13" s="15"/>
      <c r="Z13" s="292"/>
      <c r="AA13" s="15"/>
      <c r="AB13" s="292"/>
      <c r="AC13" s="15"/>
      <c r="AD13" s="292"/>
    </row>
    <row r="14" spans="1:30" ht="15" customHeight="1" x14ac:dyDescent="0.35">
      <c r="A14" s="266" t="str">
        <f>Mon!U14</f>
        <v>(DT)</v>
      </c>
      <c r="B14" s="153">
        <v>15</v>
      </c>
      <c r="C14" s="153">
        <f>Sat!W14</f>
        <v>15</v>
      </c>
      <c r="D14" s="153">
        <f>SUM(COUNTIF(Mon!$P$11:$P$23,Reports!A14),COUNTIF(Tue!$P$11:$P$23,Reports!A14),COUNTIF(Wed!$P$11:$P$23,Reports!A14),COUNTIF(Thur!$P$11:$P$23,Reports!A14),COUNTIF(Fri!$P$11:$P$23,Reports!A14),COUNTIF(Sat!$P$11:$P$23,Reports!A14))</f>
        <v>0</v>
      </c>
      <c r="E14" s="153">
        <f>SUM(COUNTIF(Mon!$P$5:$P$9,Reports!A14),COUNTIF(Tue!$P$5:$P$9,Reports!A14),COUNTIF(Wed!$P$5:$P$9,Reports!A14),COUNTIF(Thur!$P$5:$P$9,Reports!A14),COUNTIF(Fri!$P$5:$P$9,Reports!A14),COUNTIF(Sat!$P$5:$P$9,Reports!A14))</f>
        <v>0</v>
      </c>
      <c r="F14" s="153"/>
      <c r="G14" s="153">
        <f t="shared" si="0"/>
        <v>0</v>
      </c>
      <c r="H14" s="153">
        <f>Mon!V14</f>
        <v>3</v>
      </c>
      <c r="I14" s="153">
        <f>Tue!V14</f>
        <v>3</v>
      </c>
      <c r="J14" s="153">
        <f>Wed!V14</f>
        <v>3</v>
      </c>
      <c r="K14" s="153">
        <f>Thur!V14</f>
        <v>3</v>
      </c>
      <c r="L14" s="128">
        <f>Fri!V14</f>
        <v>2</v>
      </c>
      <c r="M14" s="153">
        <f>Sat!V14</f>
        <v>1</v>
      </c>
      <c r="N14" s="16" t="b">
        <f t="shared" si="1"/>
        <v>1</v>
      </c>
      <c r="O14" s="129">
        <f>SUM(COUNTIF(Mon!$M$5:N70,Reports!A14),COUNTIF(Tue!$M$5:N70,Reports!A14),COUNTIF(Wed!$M$4:N70,Reports!A14),COUNTIF(Wed!$L$21:$L$33,Reports!A14),COUNTIF(Thur!$M$5:N70,Reports!A14),COUNTIF(Fri!$M$5:N70,Reports!A14),COUNTIF(Sat!$I$4:L70,Reports!A14))</f>
        <v>2</v>
      </c>
      <c r="Q14" s="15" t="s">
        <v>308</v>
      </c>
      <c r="R14" s="288">
        <f>COUNTIF(ITT!14:14,Q14)</f>
        <v>3</v>
      </c>
      <c r="S14" s="15" t="s">
        <v>309</v>
      </c>
      <c r="T14" s="288">
        <f>COUNTIF(ITT!14:14,S14)</f>
        <v>3</v>
      </c>
      <c r="U14" s="15" t="s">
        <v>310</v>
      </c>
      <c r="V14" s="288">
        <f>COUNTIF(ITT!14:14,U14)</f>
        <v>3</v>
      </c>
      <c r="W14" s="15" t="s">
        <v>311</v>
      </c>
      <c r="X14" s="291">
        <f>COUNTIF(ITT!14:14,Reports!W14)</f>
        <v>3</v>
      </c>
      <c r="Y14" s="15" t="s">
        <v>312</v>
      </c>
      <c r="Z14" s="288">
        <f>COUNTIF(ITT!14:14,Y14)</f>
        <v>3</v>
      </c>
      <c r="AA14" s="15"/>
      <c r="AB14" s="292"/>
      <c r="AC14" s="15"/>
      <c r="AD14" s="292"/>
    </row>
    <row r="15" spans="1:30" s="158" customFormat="1" ht="15" customHeight="1" x14ac:dyDescent="0.35">
      <c r="A15" s="267" t="str">
        <f>Mon!U15</f>
        <v>(EC)</v>
      </c>
      <c r="B15" s="153">
        <v>18</v>
      </c>
      <c r="C15" s="155">
        <f>Sat!W15</f>
        <v>18</v>
      </c>
      <c r="D15" s="155">
        <f>SUM(COUNTIF(Mon!$P$11:$P$23,Reports!A15),COUNTIF(Tue!$P$11:$P$23,Reports!A15),COUNTIF(Wed!$P$11:$P$23,Reports!A15),COUNTIF(Thur!$P$11:$P$23,Reports!A15),COUNTIF(Fri!$P$11:$P$23,Reports!A15),COUNTIF(Sat!$P$11:$P$23,Reports!A15))</f>
        <v>0</v>
      </c>
      <c r="E15" s="155">
        <f>SUM(COUNTIF(Mon!$P$5:$P$9,Reports!A15),COUNTIF(Tue!$P$5:$P$9,Reports!A15),COUNTIF(Wed!$P$5:$P$9,Reports!A15),COUNTIF(Thur!$P$5:$P$9,Reports!A15),COUNTIF(Fri!$P$5:$P$9,Reports!A15),COUNTIF(Sat!$P$5:$P$9,Reports!A15))</f>
        <v>0</v>
      </c>
      <c r="F15" s="155"/>
      <c r="G15" s="153">
        <f t="shared" si="0"/>
        <v>0</v>
      </c>
      <c r="H15" s="155">
        <f>Mon!V15</f>
        <v>4</v>
      </c>
      <c r="I15" s="155">
        <f>Tue!V15</f>
        <v>3</v>
      </c>
      <c r="J15" s="155">
        <f>Wed!V15</f>
        <v>2</v>
      </c>
      <c r="K15" s="155">
        <f>Thur!V15</f>
        <v>3</v>
      </c>
      <c r="L15" s="156">
        <f>Fri!V15</f>
        <v>3</v>
      </c>
      <c r="M15" s="155">
        <f>Sat!V15</f>
        <v>3</v>
      </c>
      <c r="N15" s="157" t="b">
        <f t="shared" si="1"/>
        <v>1</v>
      </c>
      <c r="O15" s="129">
        <f>SUM(COUNTIF(Mon!$M$5:N70,Reports!A15),COUNTIF(Tue!$M$5:N70,Reports!A15),COUNTIF(Wed!$M$4:N70,Reports!A15),COUNTIF(Wed!$L$21:$L$33,Reports!A15),COUNTIF(Thur!$M$5:N70,Reports!A15),COUNTIF(Fri!$M$5:N70,Reports!A15),COUNTIF(Sat!$I$4:L70,Reports!A15))</f>
        <v>6</v>
      </c>
      <c r="Q15" s="15" t="s">
        <v>313</v>
      </c>
      <c r="R15" s="288">
        <f>COUNTIF(ITT!15:15,Q15)</f>
        <v>3</v>
      </c>
      <c r="S15" s="15" t="s">
        <v>314</v>
      </c>
      <c r="T15" s="288">
        <f>COUNTIF(ITT!15:15,S15)</f>
        <v>3</v>
      </c>
      <c r="U15" s="15" t="s">
        <v>315</v>
      </c>
      <c r="V15" s="288">
        <f>COUNTIF(ITT!15:15,U15)</f>
        <v>3</v>
      </c>
      <c r="W15" s="15" t="s">
        <v>316</v>
      </c>
      <c r="X15" s="288">
        <f>COUNTIF(ITT!15:15,W15)</f>
        <v>3</v>
      </c>
      <c r="Y15" s="15" t="s">
        <v>317</v>
      </c>
      <c r="Z15" s="288">
        <f>COUNTIF(ITT!15:15,Y15)</f>
        <v>3</v>
      </c>
      <c r="AA15" s="15" t="s">
        <v>318</v>
      </c>
      <c r="AB15" s="291">
        <f>COUNTIF(ITT!15:15,Reports!AA15)</f>
        <v>3</v>
      </c>
      <c r="AC15" s="15"/>
      <c r="AD15" s="294"/>
    </row>
    <row r="16" spans="1:30" ht="15" customHeight="1" x14ac:dyDescent="0.35">
      <c r="A16" s="266" t="str">
        <f>Mon!U16</f>
        <v>(HEM)</v>
      </c>
      <c r="B16" s="153">
        <v>3</v>
      </c>
      <c r="C16" s="153">
        <f>Sat!W16</f>
        <v>3</v>
      </c>
      <c r="D16" s="153">
        <f>SUM(COUNTIF(Mon!$P$11:$P$23,Reports!A16),COUNTIF(Tue!$P$11:$P$23,Reports!A16),COUNTIF(Wed!$P$11:$P$23,Reports!A16),COUNTIF(Thur!$P$11:$P$23,Reports!A16),COUNTIF(Fri!$P$11:$P$23,Reports!A16),COUNTIF(Sat!$P$11:$P$23,Reports!A16))</f>
        <v>0</v>
      </c>
      <c r="E16" s="153">
        <f>SUM(COUNTIF(Mon!$P$5:$P$9,Reports!A16),COUNTIF(Tue!$P$5:$P$9,Reports!A16),COUNTIF(Wed!$P$5:$P$9,Reports!A16),COUNTIF(Thur!$P$5:$P$9,Reports!A16),COUNTIF(Fri!$P$5:$P$9,Reports!A16),COUNTIF(Sat!$P$5:$P$9,Reports!A16))</f>
        <v>0</v>
      </c>
      <c r="F16" s="153"/>
      <c r="G16" s="153">
        <f t="shared" si="0"/>
        <v>0</v>
      </c>
      <c r="H16" s="153">
        <f>Mon!V16</f>
        <v>0</v>
      </c>
      <c r="I16" s="153">
        <f>Tue!V16</f>
        <v>1</v>
      </c>
      <c r="J16" s="153">
        <f>Wed!V16</f>
        <v>1</v>
      </c>
      <c r="K16" s="153">
        <f>Thur!V16</f>
        <v>0</v>
      </c>
      <c r="L16" s="128">
        <f>Fri!V16</f>
        <v>1</v>
      </c>
      <c r="M16" s="153">
        <f>Sat!V16</f>
        <v>0</v>
      </c>
      <c r="N16" s="16" t="b">
        <f t="shared" si="1"/>
        <v>1</v>
      </c>
      <c r="O16" s="129">
        <f>SUM(COUNTIF(Mon!$M$5:N70,Reports!A16),COUNTIF(Tue!$M$5:N70,Reports!A16),COUNTIF(Wed!$M$4:N70,Reports!A16),COUNTIF(Wed!$L$21:$L$33,Reports!A16),COUNTIF(Thur!$M$5:N70,Reports!A16),COUNTIF(Fri!$M$5:N70,Reports!A16),COUNTIF(Sat!$I$4:L70,Reports!A16))</f>
        <v>0</v>
      </c>
      <c r="Q16" s="15" t="s">
        <v>319</v>
      </c>
      <c r="R16" s="288">
        <f>COUNTIF(ITT!16:16,Q16)</f>
        <v>3</v>
      </c>
      <c r="S16" s="15"/>
      <c r="T16" s="292"/>
      <c r="U16" s="15"/>
      <c r="V16" s="292"/>
      <c r="W16" s="15"/>
      <c r="X16" s="292"/>
      <c r="Y16" s="15"/>
      <c r="Z16" s="292"/>
      <c r="AA16" s="15"/>
      <c r="AB16" s="292"/>
      <c r="AC16" s="15"/>
      <c r="AD16" s="292"/>
    </row>
    <row r="17" spans="1:30" s="158" customFormat="1" ht="15" customHeight="1" x14ac:dyDescent="0.35">
      <c r="A17" s="267" t="str">
        <f>Mon!U17</f>
        <v>(HK)</v>
      </c>
      <c r="B17" s="153" t="s">
        <v>277</v>
      </c>
      <c r="C17" s="155">
        <f>Sat!W17</f>
        <v>0</v>
      </c>
      <c r="D17" s="155">
        <f>SUM(COUNTIF(Mon!$P$11:$P$23,Reports!A17),COUNTIF(Tue!$P$11:$P$23,Reports!A17),COUNTIF(Wed!$P$11:$P$23,Reports!A17),COUNTIF(Thur!$P$11:$P$23,Reports!A17),COUNTIF(Fri!$P$11:$P$23,Reports!A17),COUNTIF(Sat!$P$11:$P$23,Reports!A17))</f>
        <v>0</v>
      </c>
      <c r="E17" s="155">
        <f>SUM(COUNTIF(Mon!$P$5:$P$9,Reports!A17),COUNTIF(Tue!$P$5:$P$9,Reports!A17),COUNTIF(Wed!$P$5:$P$9,Reports!A17),COUNTIF(Thur!$P$5:$P$9,Reports!A17),COUNTIF(Fri!$P$5:$P$9,Reports!A17),COUNTIF(Sat!$P$5:$P$9,Reports!A17))</f>
        <v>0</v>
      </c>
      <c r="F17" s="155"/>
      <c r="G17" s="153" t="s">
        <v>277</v>
      </c>
      <c r="H17" s="155">
        <f>Mon!V17</f>
        <v>0</v>
      </c>
      <c r="I17" s="155">
        <f>Tue!V17</f>
        <v>0</v>
      </c>
      <c r="J17" s="155">
        <f>Wed!V17</f>
        <v>0</v>
      </c>
      <c r="K17" s="155">
        <f>Thur!V17</f>
        <v>0</v>
      </c>
      <c r="L17" s="156">
        <f>Fri!V17</f>
        <v>0</v>
      </c>
      <c r="M17" s="155">
        <f>Sat!V17</f>
        <v>0</v>
      </c>
      <c r="N17" s="157" t="b">
        <f t="shared" si="1"/>
        <v>1</v>
      </c>
      <c r="O17" s="129">
        <f>SUM(COUNTIF(Mon!$M$5:N70,Reports!A17),COUNTIF(Tue!$M$5:N70,Reports!A17),COUNTIF(Wed!$M$4:N70,Reports!A17),COUNTIF(Wed!$L$21:$L$33,Reports!A17),COUNTIF(Thur!$M$5:N70,Reports!A17),COUNTIF(Fri!$M$5:N70,Reports!A17),COUNTIF(Sat!$I$4:L70,Reports!A17))</f>
        <v>0</v>
      </c>
      <c r="Q17" s="15"/>
      <c r="R17" s="292"/>
      <c r="S17" s="15"/>
      <c r="T17" s="292"/>
      <c r="U17" s="15"/>
      <c r="V17" s="292"/>
      <c r="W17" s="15"/>
      <c r="X17" s="292"/>
      <c r="Y17" s="15"/>
      <c r="Z17" s="292"/>
      <c r="AA17" s="15"/>
      <c r="AB17" s="292"/>
      <c r="AC17" s="15"/>
      <c r="AD17" s="292"/>
    </row>
    <row r="18" spans="1:30" ht="15" customHeight="1" x14ac:dyDescent="0.35">
      <c r="A18" s="266" t="str">
        <f>Mon!U18</f>
        <v>(JAY)</v>
      </c>
      <c r="B18" s="153">
        <v>18</v>
      </c>
      <c r="C18" s="153">
        <f>Sat!W18</f>
        <v>18</v>
      </c>
      <c r="D18" s="153">
        <f>SUM(COUNTIF(Mon!$P$11:$P$23,Reports!A18),COUNTIF(Tue!$P$11:$P$23,Reports!A18),COUNTIF(Wed!$P$11:$P$23,Reports!A18),COUNTIF(Thur!$P$11:$P$23,Reports!A18),COUNTIF(Fri!$P$11:$P$23,Reports!A18),COUNTIF(Sat!$P$11:$P$23,Reports!A18))</f>
        <v>0</v>
      </c>
      <c r="E18" s="153">
        <f>SUM(COUNTIF(Mon!$P$5:$P$9,Reports!A18),COUNTIF(Tue!$P$5:$P$9,Reports!A18),COUNTIF(Wed!$P$5:$P$9,Reports!A18),COUNTIF(Thur!$P$5:$P$9,Reports!A18),COUNTIF(Fri!$P$5:$P$9,Reports!A18),COUNTIF(Sat!$P$5:$P$9,Reports!A18))</f>
        <v>0</v>
      </c>
      <c r="F18" s="153"/>
      <c r="G18" s="153">
        <f t="shared" si="0"/>
        <v>0</v>
      </c>
      <c r="H18" s="153">
        <f>Mon!V18</f>
        <v>3</v>
      </c>
      <c r="I18" s="153">
        <f>Tue!V18</f>
        <v>4</v>
      </c>
      <c r="J18" s="153">
        <f>Wed!V18</f>
        <v>3</v>
      </c>
      <c r="K18" s="153">
        <f>Thur!V18</f>
        <v>2</v>
      </c>
      <c r="L18" s="128">
        <f>Fri!V18</f>
        <v>4</v>
      </c>
      <c r="M18" s="153">
        <f>Sat!V18</f>
        <v>2</v>
      </c>
      <c r="N18" s="16" t="b">
        <f t="shared" si="1"/>
        <v>0</v>
      </c>
      <c r="O18" s="129">
        <f>SUM(COUNTIF(Mon!$M$5:N70,Reports!A18),COUNTIF(Tue!$M$5:N70,Reports!A18),COUNTIF(Wed!$M$4:N70,Reports!A18),COUNTIF(Wed!$L$21:$L$33,Reports!A18),COUNTIF(Thur!$M$5:N70,Reports!A18),COUNTIF(Fri!$M$5:N70,Reports!A18),COUNTIF(Sat!$I$4:L70,Reports!A18))</f>
        <v>5</v>
      </c>
      <c r="Q18" s="15" t="s">
        <v>320</v>
      </c>
      <c r="R18" s="288">
        <f>COUNTIF(ITT!18:18,Q18)</f>
        <v>3</v>
      </c>
      <c r="S18" s="15" t="s">
        <v>321</v>
      </c>
      <c r="T18" s="288">
        <f>COUNTIF(ITT!18:18,S18)</f>
        <v>3</v>
      </c>
      <c r="U18" s="15" t="s">
        <v>322</v>
      </c>
      <c r="V18" s="288">
        <f>COUNTIF(ITT!18:18,U18)</f>
        <v>3</v>
      </c>
      <c r="W18" s="15" t="s">
        <v>323</v>
      </c>
      <c r="X18" s="288">
        <f>COUNTIF(ITT!18:18,W18)</f>
        <v>2</v>
      </c>
      <c r="Y18" s="15" t="s">
        <v>324</v>
      </c>
      <c r="Z18" s="288">
        <f>COUNTIF(ITT!18:18,Y18)</f>
        <v>3</v>
      </c>
      <c r="AA18" s="15" t="s">
        <v>325</v>
      </c>
      <c r="AB18" s="291">
        <f>COUNTIF(ITT!18:18,Reports!AA18)</f>
        <v>3</v>
      </c>
      <c r="AC18" s="15"/>
      <c r="AD18" s="292"/>
    </row>
    <row r="19" spans="1:30" s="158" customFormat="1" ht="15" customHeight="1" x14ac:dyDescent="0.35">
      <c r="A19" s="267" t="str">
        <f>Mon!U19</f>
        <v>(KM)</v>
      </c>
      <c r="B19" s="153">
        <v>18</v>
      </c>
      <c r="C19" s="155">
        <f>Sat!W19</f>
        <v>18</v>
      </c>
      <c r="D19" s="155">
        <f>SUM(COUNTIF(Mon!$P$11:$P$23,Reports!A19),COUNTIF(Tue!$P$11:$P$23,Reports!A19),COUNTIF(Wed!$P$11:$P$23,Reports!A19),COUNTIF(Thur!$P$11:$P$23,Reports!A19),COUNTIF(Fri!$P$11:$P$23,Reports!A19),COUNTIF(Sat!$P$11:$P$23,Reports!A19))</f>
        <v>0</v>
      </c>
      <c r="E19" s="155">
        <f>SUM(COUNTIF(Mon!$P$5:$P$9,Reports!A19),COUNTIF(Tue!$P$5:$P$9,Reports!A19),COUNTIF(Wed!$P$5:$P$9,Reports!A19),COUNTIF(Thur!$P$5:$P$9,Reports!A19),COUNTIF(Fri!$P$5:$P$9,Reports!A19),COUNTIF(Sat!$P$5:$P$9,Reports!A19))</f>
        <v>0</v>
      </c>
      <c r="F19" s="155"/>
      <c r="G19" s="153">
        <f t="shared" si="0"/>
        <v>0</v>
      </c>
      <c r="H19" s="155">
        <f>Mon!V19</f>
        <v>4</v>
      </c>
      <c r="I19" s="155">
        <f>Tue!V19</f>
        <v>3</v>
      </c>
      <c r="J19" s="155">
        <f>Wed!V19</f>
        <v>3</v>
      </c>
      <c r="K19" s="155">
        <f>Thur!V19</f>
        <v>3</v>
      </c>
      <c r="L19" s="156">
        <f>Fri!V19</f>
        <v>3</v>
      </c>
      <c r="M19" s="155">
        <f>Sat!V19</f>
        <v>2</v>
      </c>
      <c r="N19" s="157" t="b">
        <f t="shared" si="1"/>
        <v>0</v>
      </c>
      <c r="O19" s="129">
        <f>SUM(COUNTIF(Mon!$M$5:N70,Reports!A19),COUNTIF(Tue!$M$5:N70,Reports!A19),COUNTIF(Wed!$M$4:N70,Reports!A19),COUNTIF(Wed!$L$21:$L$33,Reports!A19),COUNTIF(Thur!$M$5:N70,Reports!A19),COUNTIF(Fri!$M$5:N70,Reports!A19),COUNTIF(Sat!$I$4:L70,Reports!A19))</f>
        <v>5</v>
      </c>
      <c r="Q19" s="15" t="s">
        <v>326</v>
      </c>
      <c r="R19" s="288">
        <f>COUNTIF(ITT!19:19,Q19)</f>
        <v>1</v>
      </c>
      <c r="S19" s="15" t="s">
        <v>327</v>
      </c>
      <c r="T19" s="288">
        <f>COUNTIF(ITT!19:19,S19)</f>
        <v>3</v>
      </c>
      <c r="U19" s="15" t="s">
        <v>328</v>
      </c>
      <c r="V19" s="288">
        <f>COUNTIF(ITT!19:19,U19)</f>
        <v>3</v>
      </c>
      <c r="W19" s="15" t="s">
        <v>329</v>
      </c>
      <c r="X19" s="288">
        <f>COUNTIF(ITT!19:19,W19)</f>
        <v>3</v>
      </c>
      <c r="Y19" s="15" t="s">
        <v>330</v>
      </c>
      <c r="Z19" s="288">
        <f>COUNTIF(ITT!19:19,Y19)</f>
        <v>3</v>
      </c>
      <c r="AA19" s="15" t="s">
        <v>331</v>
      </c>
      <c r="AB19" s="291">
        <f>COUNTIF(ITT!19:19,Reports!AA19)</f>
        <v>3</v>
      </c>
      <c r="AC19" s="15"/>
      <c r="AD19" s="292"/>
    </row>
    <row r="20" spans="1:30" ht="15" customHeight="1" x14ac:dyDescent="0.35">
      <c r="A20" s="266" t="str">
        <f>Mon!U20</f>
        <v>(KR)</v>
      </c>
      <c r="B20" s="153">
        <v>14</v>
      </c>
      <c r="C20" s="153">
        <f>Sat!W20</f>
        <v>14</v>
      </c>
      <c r="D20" s="153">
        <f>SUM(COUNTIF(Mon!$P$11:$P$23,Reports!A20),COUNTIF(Tue!$P$11:$P$23,Reports!A20),COUNTIF(Wed!$P$11:$P$23,Reports!A20),COUNTIF(Thur!$P$11:$P$23,Reports!A20),COUNTIF(Fri!$P$11:$P$23,Reports!A20),COUNTIF(Sat!$P$11:$P$23,Reports!A20))</f>
        <v>0</v>
      </c>
      <c r="E20" s="153">
        <f>SUM(COUNTIF(Mon!$P$5:$P$9,Reports!A20),COUNTIF(Tue!$P$5:$P$9,Reports!A20),COUNTIF(Wed!$P$5:$P$9,Reports!A20),COUNTIF(Thur!$P$5:$P$9,Reports!A20),COUNTIF(Fri!$P$5:$P$9,Reports!A20),COUNTIF(Sat!$P$5:$P$9,Reports!A20))</f>
        <v>0</v>
      </c>
      <c r="F20" s="153"/>
      <c r="G20" s="153">
        <f t="shared" si="0"/>
        <v>0</v>
      </c>
      <c r="H20" s="153">
        <f>Mon!V20</f>
        <v>3</v>
      </c>
      <c r="I20" s="153">
        <f>Tue!V20</f>
        <v>2</v>
      </c>
      <c r="J20" s="153">
        <f>Wed!V20</f>
        <v>3</v>
      </c>
      <c r="K20" s="153">
        <f>Thur!V20</f>
        <v>2</v>
      </c>
      <c r="L20" s="128">
        <f>Fri!V20</f>
        <v>2</v>
      </c>
      <c r="M20" s="153">
        <f>Sat!V20</f>
        <v>2</v>
      </c>
      <c r="N20" s="16" t="b">
        <f t="shared" si="1"/>
        <v>1</v>
      </c>
      <c r="O20" s="129">
        <f>SUM(COUNTIF(Mon!$M$5:N70,Reports!A20),COUNTIF(Tue!$M$5:N70,Reports!A20),COUNTIF(Wed!$M$4:N70,Reports!A20),COUNTIF(Wed!$L$21:$L$33,Reports!A20),COUNTIF(Thur!$M$5:N70,Reports!A20),COUNTIF(Fri!$M$5:N70,Reports!A20),COUNTIF(Sat!$I$4:L70,Reports!A20))</f>
        <v>7</v>
      </c>
      <c r="Q20" s="15" t="s">
        <v>332</v>
      </c>
      <c r="R20" s="289">
        <f>COUNTIF(ITT!20:20,Q20)</f>
        <v>4</v>
      </c>
      <c r="S20" s="15" t="s">
        <v>333</v>
      </c>
      <c r="T20" s="289">
        <f>COUNTIF(ITT!20:20,S20)</f>
        <v>4</v>
      </c>
      <c r="U20" s="15" t="s">
        <v>334</v>
      </c>
      <c r="V20" s="289">
        <f>COUNTIF(ITT!20:20,U20)</f>
        <v>4</v>
      </c>
      <c r="W20" s="15" t="s">
        <v>335</v>
      </c>
      <c r="X20" s="289">
        <f>COUNTIF(ITT!20:20,W20)</f>
        <v>2</v>
      </c>
      <c r="Y20" s="15"/>
      <c r="Z20" s="292"/>
      <c r="AA20" s="15"/>
      <c r="AB20" s="288"/>
      <c r="AC20" s="15"/>
      <c r="AD20" s="294"/>
    </row>
    <row r="21" spans="1:30" s="158" customFormat="1" ht="15" customHeight="1" x14ac:dyDescent="0.35">
      <c r="A21" s="267" t="str">
        <f>Mon!U21</f>
        <v>(LK)</v>
      </c>
      <c r="B21" s="153">
        <v>18</v>
      </c>
      <c r="C21" s="155">
        <f>Sat!W21</f>
        <v>18</v>
      </c>
      <c r="D21" s="155">
        <f>SUM(COUNTIF(Mon!$P$11:$P$23,Reports!A21),COUNTIF(Tue!$P$11:$P$23,Reports!A21),COUNTIF(Wed!$P$11:$P$23,Reports!A21),COUNTIF(Thur!$P$11:$P$23,Reports!A21),COUNTIF(Fri!$P$11:$P$23,Reports!A21),COUNTIF(Sat!$P$11:$P$23,Reports!A21))</f>
        <v>0</v>
      </c>
      <c r="E21" s="155">
        <f>SUM(COUNTIF(Mon!$P$5:$P$9,Reports!A21),COUNTIF(Tue!$P$5:$P$9,Reports!A21),COUNTIF(Wed!$P$5:$P$9,Reports!A21),COUNTIF(Thur!$P$5:$P$9,Reports!A21),COUNTIF(Fri!$P$5:$P$9,Reports!A21),COUNTIF(Sat!$P$5:$P$9,Reports!A21))</f>
        <v>0</v>
      </c>
      <c r="F21" s="155"/>
      <c r="G21" s="153">
        <f t="shared" si="0"/>
        <v>0</v>
      </c>
      <c r="H21" s="155">
        <f>Mon!V21</f>
        <v>3</v>
      </c>
      <c r="I21" s="155">
        <f>Tue!V21</f>
        <v>4</v>
      </c>
      <c r="J21" s="155">
        <f>Wed!V21</f>
        <v>3</v>
      </c>
      <c r="K21" s="155">
        <f>Thur!V21</f>
        <v>3</v>
      </c>
      <c r="L21" s="156">
        <f>Fri!V21</f>
        <v>2</v>
      </c>
      <c r="M21" s="155">
        <f>Sat!V21</f>
        <v>3</v>
      </c>
      <c r="N21" s="157" t="b">
        <f t="shared" si="1"/>
        <v>1</v>
      </c>
      <c r="O21" s="129">
        <f>SUM(COUNTIF(Mon!$M$5:N70,Reports!A21),COUNTIF(Tue!$M$5:N70,Reports!A21),COUNTIF(Wed!$M$4:N70,Reports!A21),COUNTIF(Wed!$L$21:$L$33,Reports!A21),COUNTIF(Thur!$M$5:N70,Reports!A21),COUNTIF(Fri!$M$5:N70,Reports!A21),COUNTIF(Sat!$I$4:L70,Reports!A21))</f>
        <v>5</v>
      </c>
      <c r="Q21" s="15" t="s">
        <v>336</v>
      </c>
      <c r="R21" s="288">
        <f>COUNTIF(ITT!21:21,Q21)</f>
        <v>3</v>
      </c>
      <c r="S21" s="15" t="s">
        <v>337</v>
      </c>
      <c r="T21" s="288">
        <f>COUNTIF(ITT!21:21,S21)</f>
        <v>3</v>
      </c>
      <c r="U21" s="15" t="s">
        <v>338</v>
      </c>
      <c r="V21" s="288">
        <f>COUNTIF(ITT!21:21,U21)</f>
        <v>3</v>
      </c>
      <c r="W21" s="15" t="s">
        <v>339</v>
      </c>
      <c r="X21" s="288">
        <f>COUNTIF(ITT!21:21,W21)</f>
        <v>3</v>
      </c>
      <c r="Y21" s="15" t="s">
        <v>340</v>
      </c>
      <c r="Z21" s="291">
        <f>COUNTIF(ITT!21:21,Y21)</f>
        <v>3</v>
      </c>
      <c r="AA21" s="15" t="s">
        <v>341</v>
      </c>
      <c r="AB21" s="291">
        <f>COUNTIF(ITT!21:21,Reports!AA21)</f>
        <v>3</v>
      </c>
      <c r="AC21" s="15"/>
      <c r="AD21" s="294"/>
    </row>
    <row r="22" spans="1:30" ht="15" customHeight="1" x14ac:dyDescent="0.35">
      <c r="A22" s="266" t="str">
        <f>Mon!U22</f>
        <v>(LV)</v>
      </c>
      <c r="B22" s="153">
        <v>18</v>
      </c>
      <c r="C22" s="153">
        <f>Sat!W22</f>
        <v>17</v>
      </c>
      <c r="D22" s="153">
        <f>SUM(COUNTIF(Mon!$P$11:$P$23,Reports!A22),COUNTIF(Tue!$P$11:$P$23,Reports!A22),COUNTIF(Wed!$P$11:$P$23,Reports!A22),COUNTIF(Thur!$P$11:$P$23,Reports!A22),COUNTIF(Fri!$P$11:$P$23,Reports!A22),COUNTIF(Sat!$P$11:$P$23,Reports!A22))</f>
        <v>0</v>
      </c>
      <c r="E22" s="153">
        <f>SUM(COUNTIF(Mon!$P$5:$P$9,Reports!A22),COUNTIF(Tue!$P$5:$P$9,Reports!A22),COUNTIF(Wed!$P$5:$P$9,Reports!A22),COUNTIF(Thur!$P$5:$P$9,Reports!A22),COUNTIF(Fri!$P$5:$P$9,Reports!A22),COUNTIF(Sat!$P$5:$P$9,Reports!A22))</f>
        <v>0</v>
      </c>
      <c r="F22" s="153"/>
      <c r="G22" s="153">
        <f t="shared" si="0"/>
        <v>1</v>
      </c>
      <c r="H22" s="153">
        <f>Mon!V22</f>
        <v>3</v>
      </c>
      <c r="I22" s="153">
        <f>Tue!V22</f>
        <v>3</v>
      </c>
      <c r="J22" s="153">
        <f>Wed!V22</f>
        <v>3</v>
      </c>
      <c r="K22" s="153">
        <f>Thur!V22</f>
        <v>3</v>
      </c>
      <c r="L22" s="128">
        <f>Fri!V22</f>
        <v>3</v>
      </c>
      <c r="M22" s="153">
        <f>Sat!V22</f>
        <v>2</v>
      </c>
      <c r="N22" s="16" t="b">
        <f t="shared" si="1"/>
        <v>1</v>
      </c>
      <c r="O22" s="129">
        <f>SUM(COUNTIF(Mon!$M$5:N70,Reports!A22),COUNTIF(Tue!$M$5:N70,Reports!A22),COUNTIF(Wed!$M$4:N70,Reports!A22),COUNTIF(Wed!$L$21:$L$33,Reports!A22),COUNTIF(Thur!$M$5:N70,Reports!A22),COUNTIF(Fri!$M$5:N70,Reports!A22),COUNTIF(Sat!$I$4:L70,Reports!A22))</f>
        <v>4</v>
      </c>
      <c r="Q22" s="15" t="s">
        <v>342</v>
      </c>
      <c r="R22" s="288">
        <f>COUNTIF(ITT!22:22,Q22)</f>
        <v>3</v>
      </c>
      <c r="S22" s="15" t="s">
        <v>343</v>
      </c>
      <c r="T22" s="289">
        <f>COUNTIF(ITT!22:22,S22)</f>
        <v>2</v>
      </c>
      <c r="U22" s="15" t="s">
        <v>344</v>
      </c>
      <c r="V22" s="288">
        <f>COUNTIF(ITT!22:22,U22)</f>
        <v>3</v>
      </c>
      <c r="W22" s="15" t="s">
        <v>345</v>
      </c>
      <c r="X22" s="288">
        <f>COUNTIF(ITT!22:22,W22)</f>
        <v>3</v>
      </c>
      <c r="Y22" s="15" t="s">
        <v>346</v>
      </c>
      <c r="Z22" s="291">
        <f>COUNTIF(ITT!22:22,Y22)</f>
        <v>3</v>
      </c>
      <c r="AA22" s="15" t="s">
        <v>347</v>
      </c>
      <c r="AB22" s="291">
        <f>COUNTIF(ITT!22:22,Reports!AA22)</f>
        <v>3</v>
      </c>
      <c r="AC22" s="15"/>
      <c r="AD22" s="292"/>
    </row>
    <row r="23" spans="1:30" s="158" customFormat="1" ht="15" customHeight="1" x14ac:dyDescent="0.35">
      <c r="A23" s="267" t="str">
        <f>Mon!U23</f>
        <v>(MB)</v>
      </c>
      <c r="B23" s="153">
        <v>17</v>
      </c>
      <c r="C23" s="155">
        <f>Sat!W23</f>
        <v>17</v>
      </c>
      <c r="D23" s="155">
        <f>SUM(COUNTIF(Mon!$P$11:$P$23,Reports!A23),COUNTIF(Tue!$P$11:$P$23,Reports!A23),COUNTIF(Wed!$P$11:$P$23,Reports!A23),COUNTIF(Thur!$P$11:$P$23,Reports!A23),COUNTIF(Fri!$P$11:$P$23,Reports!A23),COUNTIF(Sat!$P$11:$P$23,Reports!A23))</f>
        <v>0</v>
      </c>
      <c r="E23" s="155">
        <f>SUM(COUNTIF(Mon!$P$5:$P$9,Reports!A23),COUNTIF(Tue!$P$5:$P$9,Reports!A23),COUNTIF(Wed!$P$5:$P$9,Reports!A23),COUNTIF(Thur!$P$5:$P$9,Reports!A23),COUNTIF(Fri!$P$5:$P$9,Reports!A23),COUNTIF(Sat!$P$5:$P$9,Reports!A23))</f>
        <v>0</v>
      </c>
      <c r="F23" s="155"/>
      <c r="G23" s="153">
        <f t="shared" si="0"/>
        <v>0</v>
      </c>
      <c r="H23" s="155">
        <f>Mon!V23</f>
        <v>4</v>
      </c>
      <c r="I23" s="155">
        <f>Tue!V23</f>
        <v>2</v>
      </c>
      <c r="J23" s="155">
        <f>Wed!V23</f>
        <v>3</v>
      </c>
      <c r="K23" s="155">
        <f>Thur!V23</f>
        <v>3</v>
      </c>
      <c r="L23" s="156">
        <f>Fri!V23</f>
        <v>3</v>
      </c>
      <c r="M23" s="155">
        <f>Sat!V23</f>
        <v>2</v>
      </c>
      <c r="N23" s="157" t="b">
        <f t="shared" si="1"/>
        <v>1</v>
      </c>
      <c r="O23" s="129">
        <f>SUM(COUNTIF(Mon!$M$5:N70,Reports!A23),COUNTIF(Tue!$M$5:N70,Reports!A23),COUNTIF(Wed!$M$4:N70,Reports!A23),COUNTIF(Wed!$L$21:$L$33,Reports!A23),COUNTIF(Thur!$M$5:N70,Reports!A23),COUNTIF(Fri!$M$5:N70,Reports!A23),COUNTIF(Sat!$I$4:L70,Reports!A23))</f>
        <v>5</v>
      </c>
      <c r="Q23" s="15" t="s">
        <v>348</v>
      </c>
      <c r="R23" s="288">
        <f>COUNTIF(ITT!23:23,Q23)</f>
        <v>3</v>
      </c>
      <c r="S23" s="15" t="s">
        <v>349</v>
      </c>
      <c r="T23" s="289">
        <f>COUNTIF(ITT!23:23,S23)</f>
        <v>3</v>
      </c>
      <c r="U23" s="15" t="s">
        <v>350</v>
      </c>
      <c r="V23" s="288">
        <f>COUNTIF(ITT!23:23,U23)</f>
        <v>3</v>
      </c>
      <c r="W23" s="15" t="s">
        <v>351</v>
      </c>
      <c r="X23" s="288">
        <f>COUNTIF(ITT!23:23,W23)</f>
        <v>3</v>
      </c>
      <c r="Y23" s="15" t="s">
        <v>352</v>
      </c>
      <c r="Z23" s="291">
        <f>COUNTIF(ITT!23:23,Y23)</f>
        <v>1</v>
      </c>
      <c r="AA23" s="15" t="s">
        <v>353</v>
      </c>
      <c r="AB23" s="291">
        <f>COUNTIF(ITT!23:23,Reports!AA23)</f>
        <v>3</v>
      </c>
      <c r="AC23" s="15" t="s">
        <v>354</v>
      </c>
      <c r="AD23" s="291">
        <f>COUNTIF(ITT!23:23,Reports!AC23)</f>
        <v>1</v>
      </c>
    </row>
    <row r="24" spans="1:30" ht="15" customHeight="1" x14ac:dyDescent="0.35">
      <c r="A24" s="266" t="str">
        <f>Mon!U24</f>
        <v>(MEG)</v>
      </c>
      <c r="B24" s="153">
        <v>16</v>
      </c>
      <c r="C24" s="153">
        <f>Sat!W24</f>
        <v>16</v>
      </c>
      <c r="D24" s="153">
        <f>SUM(COUNTIF(Mon!$P$11:$P$23,Reports!A24),COUNTIF(Tue!$P$11:$P$23,Reports!A24),COUNTIF(Wed!$P$11:$P$23,Reports!A24),COUNTIF(Thur!$P$11:$P$23,Reports!A24),COUNTIF(Fri!$P$11:$P$23,Reports!A24),COUNTIF(Sat!$P$11:$P$23,Reports!A24))</f>
        <v>0</v>
      </c>
      <c r="E24" s="153">
        <f>SUM(COUNTIF(Mon!$P$5:$P$9,Reports!A24),COUNTIF(Tue!$P$5:$P$9,Reports!A24),COUNTIF(Wed!$P$5:$P$9,Reports!A24),COUNTIF(Thur!$P$5:$P$9,Reports!A24),COUNTIF(Fri!$P$5:$P$9,Reports!A24),COUNTIF(Sat!$P$5:$P$9,Reports!A24))</f>
        <v>0</v>
      </c>
      <c r="F24" s="153"/>
      <c r="G24" s="153">
        <f t="shared" si="0"/>
        <v>0</v>
      </c>
      <c r="H24" s="153">
        <f>Mon!V24</f>
        <v>3</v>
      </c>
      <c r="I24" s="153">
        <f>Tue!V24</f>
        <v>3</v>
      </c>
      <c r="J24" s="153">
        <f>Wed!V24</f>
        <v>2</v>
      </c>
      <c r="K24" s="153">
        <f>Thur!V24</f>
        <v>3</v>
      </c>
      <c r="L24" s="128">
        <f>Fri!V24</f>
        <v>2</v>
      </c>
      <c r="M24" s="153">
        <f>Sat!V24</f>
        <v>3</v>
      </c>
      <c r="N24" s="16" t="b">
        <f t="shared" si="1"/>
        <v>1</v>
      </c>
      <c r="O24" s="129">
        <f>SUM(COUNTIF(Mon!$M$5:N70,Reports!A24),COUNTIF(Tue!$M$5:N70,Reports!A24),COUNTIF(Wed!$M$4:N70,Reports!A24),COUNTIF(Wed!$L$21:$L$33,Reports!A24),COUNTIF(Thur!$M$5:N70,Reports!A24),COUNTIF(Fri!$M$5:N70,Reports!A24),COUNTIF(Sat!$I$4:L70,Reports!A24))</f>
        <v>5</v>
      </c>
      <c r="Q24" s="15" t="s">
        <v>355</v>
      </c>
      <c r="R24" s="289">
        <f>COUNTIF(ITT!24:24,Q24)</f>
        <v>4</v>
      </c>
      <c r="S24" s="15" t="s">
        <v>356</v>
      </c>
      <c r="T24" s="289">
        <f>COUNTIF(ITT!24:24,S24)</f>
        <v>4</v>
      </c>
      <c r="U24" s="15" t="s">
        <v>357</v>
      </c>
      <c r="V24" s="289">
        <f>COUNTIF(ITT!24:24,U24)</f>
        <v>4</v>
      </c>
      <c r="W24" s="15" t="s">
        <v>358</v>
      </c>
      <c r="X24" s="289">
        <f>COUNTIF(ITT!24:24,W24)</f>
        <v>4</v>
      </c>
      <c r="Y24" s="15"/>
      <c r="Z24" s="292"/>
      <c r="AA24" s="15"/>
      <c r="AB24" s="288"/>
      <c r="AC24" s="15"/>
      <c r="AD24" s="292"/>
    </row>
    <row r="25" spans="1:30" s="158" customFormat="1" ht="15" customHeight="1" x14ac:dyDescent="0.35">
      <c r="A25" s="267" t="str">
        <f>Mon!U25</f>
        <v>(MH)</v>
      </c>
      <c r="B25" s="153">
        <v>14</v>
      </c>
      <c r="C25" s="155">
        <f>Sat!W25</f>
        <v>15</v>
      </c>
      <c r="D25" s="155">
        <f>SUM(COUNTIF(Mon!$P$11:$P$23,Reports!A25),COUNTIF(Tue!$P$11:$P$23,Reports!A25),COUNTIF(Wed!$P$11:$P$23,Reports!A25),COUNTIF(Thur!$P$11:$P$23,Reports!A25),COUNTIF(Fri!$P$11:$P$23,Reports!A25),COUNTIF(Sat!$P$11:$P$23,Reports!A25))</f>
        <v>0</v>
      </c>
      <c r="E25" s="155">
        <f>SUM(COUNTIF(Mon!$P$5:$P$9,Reports!A25),COUNTIF(Tue!$P$5:$P$9,Reports!A25),COUNTIF(Wed!$P$5:$P$9,Reports!A25),COUNTIF(Thur!$P$5:$P$9,Reports!A25),COUNTIF(Fri!$P$5:$P$9,Reports!A25),COUNTIF(Sat!$P$5:$P$9,Reports!A25))</f>
        <v>0</v>
      </c>
      <c r="F25" s="155"/>
      <c r="G25" s="153">
        <f t="shared" si="0"/>
        <v>-1</v>
      </c>
      <c r="H25" s="155">
        <f>Mon!V25</f>
        <v>3</v>
      </c>
      <c r="I25" s="155">
        <f>Tue!V25</f>
        <v>3</v>
      </c>
      <c r="J25" s="155">
        <f>Wed!V25</f>
        <v>3</v>
      </c>
      <c r="K25" s="155">
        <f>Thur!V25</f>
        <v>4</v>
      </c>
      <c r="L25" s="156">
        <f>Fri!V25</f>
        <v>1</v>
      </c>
      <c r="M25" s="155">
        <f>Sat!V25</f>
        <v>1</v>
      </c>
      <c r="N25" s="157" t="b">
        <f t="shared" si="1"/>
        <v>0</v>
      </c>
      <c r="O25" s="129">
        <f>SUM(COUNTIF(Mon!$M$5:N70,Reports!A25),COUNTIF(Tue!$M$5:N70,Reports!A25),COUNTIF(Wed!$M$4:N70,Reports!A25),COUNTIF(Wed!$L$21:$L$33,Reports!A25),COUNTIF(Thur!$M$5:N70,Reports!A25),COUNTIF(Fri!$M$5:N70,Reports!A25),COUNTIF(Sat!$I$4:L70,Reports!A25))</f>
        <v>4</v>
      </c>
      <c r="Q25" s="15" t="s">
        <v>359</v>
      </c>
      <c r="R25" s="288">
        <f>COUNTIF(ITT!25:25,Q25)</f>
        <v>3</v>
      </c>
      <c r="S25" s="15" t="s">
        <v>360</v>
      </c>
      <c r="T25" s="288">
        <f>COUNTIF(ITT!25:25,S25)</f>
        <v>3</v>
      </c>
      <c r="U25" s="15" t="s">
        <v>361</v>
      </c>
      <c r="V25" s="288">
        <f>COUNTIF(ITT!25:25,U25)</f>
        <v>0</v>
      </c>
      <c r="W25" s="15" t="s">
        <v>362</v>
      </c>
      <c r="X25" s="288">
        <f>COUNTIF(ITT!25:25,W25)</f>
        <v>3</v>
      </c>
      <c r="Y25" s="15" t="s">
        <v>363</v>
      </c>
      <c r="Z25" s="291">
        <f>COUNTIF(ITT!25:25,Y25)</f>
        <v>3</v>
      </c>
      <c r="AA25" s="15" t="s">
        <v>352</v>
      </c>
      <c r="AB25" s="291">
        <f>COUNTIF(ITT!25:25,Reports!AA25)</f>
        <v>2</v>
      </c>
      <c r="AC25" s="15"/>
      <c r="AD25" s="294"/>
    </row>
    <row r="26" spans="1:30" ht="15" customHeight="1" x14ac:dyDescent="0.35">
      <c r="A26" s="266" t="str">
        <f>Mon!U26</f>
        <v>(MK)</v>
      </c>
      <c r="B26" s="153">
        <v>18</v>
      </c>
      <c r="C26" s="153">
        <f>Sat!W26</f>
        <v>18</v>
      </c>
      <c r="D26" s="153">
        <f>SUM(COUNTIF(Mon!$P$11:$P$23,Reports!A26),COUNTIF(Tue!$P$11:$P$23,Reports!A26),COUNTIF(Wed!$P$11:$P$23,Reports!A26),COUNTIF(Thur!$P$11:$P$23,Reports!A26),COUNTIF(Fri!$P$11:$P$23,Reports!A26),COUNTIF(Sat!$P$11:$P$23,Reports!A26))</f>
        <v>0</v>
      </c>
      <c r="E26" s="153">
        <f>SUM(COUNTIF(Mon!$P$5:$P$9,Reports!A26),COUNTIF(Tue!$P$5:$P$9,Reports!A26),COUNTIF(Wed!$P$5:$P$9,Reports!A26),COUNTIF(Thur!$P$5:$P$9,Reports!A26),COUNTIF(Fri!$P$5:$P$9,Reports!A26),COUNTIF(Sat!$P$5:$P$9,Reports!A26))</f>
        <v>0</v>
      </c>
      <c r="F26" s="153"/>
      <c r="G26" s="153">
        <f t="shared" si="0"/>
        <v>0</v>
      </c>
      <c r="H26" s="153">
        <f>Mon!V26</f>
        <v>3</v>
      </c>
      <c r="I26" s="153">
        <f>Tue!V26</f>
        <v>4</v>
      </c>
      <c r="J26" s="153">
        <f>Wed!V26</f>
        <v>4</v>
      </c>
      <c r="K26" s="153">
        <f>Thur!V26</f>
        <v>2</v>
      </c>
      <c r="L26" s="128">
        <f>Fri!V26</f>
        <v>3</v>
      </c>
      <c r="M26" s="153">
        <f>Sat!V26</f>
        <v>2</v>
      </c>
      <c r="N26" s="16" t="b">
        <f t="shared" si="1"/>
        <v>0</v>
      </c>
      <c r="O26" s="129">
        <f>SUM(COUNTIF(Mon!$M$5:N70,Reports!A26),COUNTIF(Tue!$M$5:N70,Reports!A26),COUNTIF(Wed!$M$4:N70,Reports!A26),COUNTIF(Wed!$L$21:$L$33,Reports!A26),COUNTIF(Thur!$M$5:N70,Reports!A26),COUNTIF(Fri!$M$5:N70,Reports!A26),COUNTIF(Sat!$I$4:L70,Reports!A26))</f>
        <v>6</v>
      </c>
      <c r="Q26" s="15" t="s">
        <v>364</v>
      </c>
      <c r="R26" s="289">
        <f>COUNTIF(ITT!26:26,Q26)</f>
        <v>3</v>
      </c>
      <c r="S26" s="15" t="s">
        <v>365</v>
      </c>
      <c r="T26" s="289">
        <f>COUNTIF(ITT!26:26,S26)</f>
        <v>4</v>
      </c>
      <c r="U26" s="15" t="s">
        <v>366</v>
      </c>
      <c r="V26" s="289">
        <f>COUNTIF(ITT!26:26,U26)</f>
        <v>4</v>
      </c>
      <c r="W26" s="15" t="s">
        <v>367</v>
      </c>
      <c r="X26" s="289">
        <f>COUNTIF(ITT!26:26,W26)</f>
        <v>4</v>
      </c>
      <c r="Y26" s="15"/>
      <c r="Z26" s="292"/>
      <c r="AA26" s="15"/>
      <c r="AB26" s="288"/>
      <c r="AC26" s="15"/>
      <c r="AD26" s="296"/>
    </row>
    <row r="27" spans="1:30" s="158" customFormat="1" ht="15" customHeight="1" x14ac:dyDescent="0.35">
      <c r="A27" s="267" t="str">
        <f>Mon!U27</f>
        <v>(MS)</v>
      </c>
      <c r="B27" s="153">
        <v>17</v>
      </c>
      <c r="C27" s="155">
        <f>Sat!W27</f>
        <v>17</v>
      </c>
      <c r="D27" s="155">
        <f>SUM(COUNTIF(Mon!$P$11:$P$23,Reports!A27),COUNTIF(Tue!$P$11:$P$23,Reports!A27),COUNTIF(Wed!$P$11:$P$23,Reports!A27),COUNTIF(Thur!$P$11:$P$23,Reports!A27),COUNTIF(Fri!$P$11:$P$23,Reports!A27),COUNTIF(Sat!$P$11:$P$23,Reports!A27))</f>
        <v>0</v>
      </c>
      <c r="E27" s="155">
        <f>SUM(COUNTIF(Mon!$P$5:$P$9,Reports!A27),COUNTIF(Tue!$P$5:$P$9,Reports!A27),COUNTIF(Wed!$P$5:$P$9,Reports!A27),COUNTIF(Thur!$P$5:$P$9,Reports!A27),COUNTIF(Fri!$P$5:$P$9,Reports!A27),COUNTIF(Sat!$P$5:$P$9,Reports!A27))</f>
        <v>0</v>
      </c>
      <c r="F27" s="155"/>
      <c r="G27" s="153">
        <f t="shared" si="0"/>
        <v>0</v>
      </c>
      <c r="H27" s="155">
        <f>Mon!V27</f>
        <v>3</v>
      </c>
      <c r="I27" s="155">
        <f>Tue!V27</f>
        <v>3</v>
      </c>
      <c r="J27" s="155">
        <f>Wed!V27</f>
        <v>2</v>
      </c>
      <c r="K27" s="155">
        <f>Thur!V27</f>
        <v>4</v>
      </c>
      <c r="L27" s="156">
        <f>Fri!V27</f>
        <v>3</v>
      </c>
      <c r="M27" s="155">
        <f>Sat!V27</f>
        <v>2</v>
      </c>
      <c r="N27" s="157" t="b">
        <f t="shared" si="1"/>
        <v>1</v>
      </c>
      <c r="O27" s="129">
        <f>SUM(COUNTIF(Mon!$M$5:N70,Reports!A27),COUNTIF(Tue!$M$5:N70,Reports!A27),COUNTIF(Wed!$M$4:N70,Reports!A27),COUNTIF(Wed!$L$21:$L$33,Reports!A27),COUNTIF(Thur!$M$5:N70,Reports!A27),COUNTIF(Fri!$M$5:N70,Reports!A27),COUNTIF(Sat!$I$4:L70,Reports!A27))</f>
        <v>3</v>
      </c>
      <c r="Q27" s="15" t="s">
        <v>368</v>
      </c>
      <c r="R27" s="288">
        <f>COUNTIF(ITT!27:27,Q27)</f>
        <v>3</v>
      </c>
      <c r="S27" s="15" t="s">
        <v>369</v>
      </c>
      <c r="T27" s="289">
        <f>COUNTIF(ITT!27:27,S27)</f>
        <v>3</v>
      </c>
      <c r="U27" s="15" t="s">
        <v>370</v>
      </c>
      <c r="V27" s="288">
        <f>COUNTIF(ITT!27:27,U27)</f>
        <v>3</v>
      </c>
      <c r="W27" s="15" t="s">
        <v>371</v>
      </c>
      <c r="X27" s="288">
        <f>COUNTIF(ITT!27:27,W27)</f>
        <v>3</v>
      </c>
      <c r="Y27" s="15" t="s">
        <v>372</v>
      </c>
      <c r="Z27" s="291">
        <f>COUNTIF(ITT!27:27,Y27)</f>
        <v>3</v>
      </c>
      <c r="AA27" s="15" t="s">
        <v>373</v>
      </c>
      <c r="AB27" s="291">
        <f>COUNTIF(ITT!27:27,Reports!AA27)</f>
        <v>2</v>
      </c>
      <c r="AC27" s="15"/>
      <c r="AD27" s="294"/>
    </row>
    <row r="28" spans="1:30" ht="15" customHeight="1" x14ac:dyDescent="0.35">
      <c r="A28" s="266" t="str">
        <f>Mon!U28</f>
        <v>(ND)</v>
      </c>
      <c r="B28" s="153">
        <v>18</v>
      </c>
      <c r="C28" s="153">
        <f>Sat!W28</f>
        <v>18</v>
      </c>
      <c r="D28" s="153">
        <f>SUM(COUNTIF(Mon!$P$11:$P$23,Reports!A28),COUNTIF(Tue!$P$11:$P$23,Reports!A28),COUNTIF(Wed!$P$11:$P$23,Reports!A28),COUNTIF(Thur!$P$11:$P$23,Reports!A28),COUNTIF(Fri!$P$11:$P$23,Reports!A28),COUNTIF(Sat!$P$11:$P$23,Reports!A28))</f>
        <v>0</v>
      </c>
      <c r="E28" s="153">
        <f>SUM(COUNTIF(Mon!$P$5:$P$9,Reports!A28),COUNTIF(Tue!$P$5:$P$9,Reports!A28),COUNTIF(Wed!$P$5:$P$9,Reports!A28),COUNTIF(Thur!$P$5:$P$9,Reports!A28),COUNTIF(Fri!$P$5:$P$9,Reports!A28),COUNTIF(Sat!$P$5:$P$9,Reports!A28))</f>
        <v>0</v>
      </c>
      <c r="F28" s="153"/>
      <c r="G28" s="153">
        <f t="shared" si="0"/>
        <v>0</v>
      </c>
      <c r="H28" s="153">
        <f>Mon!V28</f>
        <v>3</v>
      </c>
      <c r="I28" s="153">
        <f>Tue!V28</f>
        <v>3</v>
      </c>
      <c r="J28" s="153">
        <f>Wed!V28</f>
        <v>3</v>
      </c>
      <c r="K28" s="153">
        <f>Thur!V28</f>
        <v>3</v>
      </c>
      <c r="L28" s="128">
        <f>Fri!V28</f>
        <v>4</v>
      </c>
      <c r="M28" s="153">
        <f>Sat!V28</f>
        <v>2</v>
      </c>
      <c r="N28" s="16" t="b">
        <f t="shared" si="1"/>
        <v>1</v>
      </c>
      <c r="O28" s="129">
        <f>SUM(COUNTIF(Mon!$M$5:N70,Reports!A28),COUNTIF(Tue!$M$5:N70,Reports!A28),COUNTIF(Wed!$M$4:N70,Reports!A28),COUNTIF(Wed!$L$21:$L$33,Reports!A28),COUNTIF(Thur!$M$5:N70,Reports!A28),COUNTIF(Fri!$M$5:N70,Reports!A28),COUNTIF(Sat!$I$4:L70,Reports!A28))</f>
        <v>6</v>
      </c>
      <c r="Q28" s="15" t="s">
        <v>374</v>
      </c>
      <c r="R28" s="289">
        <f>COUNTIF(ITT!28:28,Q28)</f>
        <v>3</v>
      </c>
      <c r="S28" s="15" t="s">
        <v>375</v>
      </c>
      <c r="T28" s="289">
        <f>COUNTIF(ITT!28:28,S28)</f>
        <v>3</v>
      </c>
      <c r="U28" s="15" t="s">
        <v>376</v>
      </c>
      <c r="V28" s="288">
        <f>COUNTIF(ITT!28:28,U28)</f>
        <v>3</v>
      </c>
      <c r="W28" s="15" t="s">
        <v>377</v>
      </c>
      <c r="X28" s="288">
        <f>COUNTIF(ITT!28:28,W28)</f>
        <v>3</v>
      </c>
      <c r="Y28" s="15" t="s">
        <v>378</v>
      </c>
      <c r="Z28" s="291">
        <f>COUNTIF(ITT!28:28,Y28)</f>
        <v>3</v>
      </c>
      <c r="AA28" s="15" t="s">
        <v>379</v>
      </c>
      <c r="AB28" s="291">
        <f>COUNTIF(ITT!28:28,Reports!AA28)</f>
        <v>3</v>
      </c>
      <c r="AC28" s="15"/>
      <c r="AD28" s="292"/>
    </row>
    <row r="29" spans="1:30" s="158" customFormat="1" ht="15" customHeight="1" x14ac:dyDescent="0.35">
      <c r="A29" s="267" t="str">
        <f>Mon!U29</f>
        <v>(NG)</v>
      </c>
      <c r="B29" s="153">
        <v>18</v>
      </c>
      <c r="C29" s="155">
        <f>Sat!W29</f>
        <v>18</v>
      </c>
      <c r="D29" s="155">
        <f>SUM(COUNTIF(Mon!$P$11:$P$23,Reports!A29),COUNTIF(Tue!$P$11:$P$23,Reports!A29),COUNTIF(Wed!$P$11:$P$23,Reports!A29),COUNTIF(Thur!$P$11:$P$23,Reports!A29),COUNTIF(Fri!$P$11:$P$23,Reports!A29),COUNTIF(Sat!$P$11:$P$23,Reports!A29))</f>
        <v>0</v>
      </c>
      <c r="E29" s="155">
        <f>SUM(COUNTIF(Mon!$P$5:$P$9,Reports!A29),COUNTIF(Tue!$P$5:$P$9,Reports!A29),COUNTIF(Wed!$P$5:$P$9,Reports!A29),COUNTIF(Thur!$P$5:$P$9,Reports!A29),COUNTIF(Fri!$P$5:$P$9,Reports!A29),COUNTIF(Sat!$P$5:$P$9,Reports!A29))</f>
        <v>0</v>
      </c>
      <c r="F29" s="155"/>
      <c r="G29" s="153">
        <f t="shared" si="0"/>
        <v>0</v>
      </c>
      <c r="H29" s="155">
        <f>Mon!V29</f>
        <v>3</v>
      </c>
      <c r="I29" s="155">
        <f>Tue!V29</f>
        <v>3</v>
      </c>
      <c r="J29" s="155">
        <f>Wed!V29</f>
        <v>4</v>
      </c>
      <c r="K29" s="155">
        <f>Thur!V29</f>
        <v>3</v>
      </c>
      <c r="L29" s="156">
        <f>Fri!V29</f>
        <v>3</v>
      </c>
      <c r="M29" s="155">
        <f>Sat!V29</f>
        <v>2</v>
      </c>
      <c r="N29" s="157" t="b">
        <f t="shared" si="1"/>
        <v>1</v>
      </c>
      <c r="O29" s="129">
        <f>SUM(COUNTIF(Mon!$M$5:N70,Reports!A29),COUNTIF(Tue!$M$5:N70,Reports!A29),COUNTIF(Wed!$M$4:N70,Reports!A29),COUNTIF(Wed!$L$21:$L$33,Reports!A29),COUNTIF(Thur!$M$5:N70,Reports!A29),COUNTIF(Fri!$M$5:N70,Reports!A29),COUNTIF(Sat!$I$4:L70,Reports!A29))</f>
        <v>4</v>
      </c>
      <c r="Q29" s="15" t="s">
        <v>380</v>
      </c>
      <c r="R29" s="288">
        <f>COUNTIF(ITT!29:29,Q29)</f>
        <v>3</v>
      </c>
      <c r="S29" s="15" t="s">
        <v>381</v>
      </c>
      <c r="T29" s="288">
        <f>COUNTIF(ITT!29:29,S29)</f>
        <v>3</v>
      </c>
      <c r="U29" s="15" t="s">
        <v>382</v>
      </c>
      <c r="V29" s="289">
        <f>COUNTIF(ITT!29:29,U29)</f>
        <v>4</v>
      </c>
      <c r="W29" s="15" t="s">
        <v>383</v>
      </c>
      <c r="X29" s="289">
        <f>COUNTIF(ITT!29:29,W29)</f>
        <v>4</v>
      </c>
      <c r="Y29" s="15" t="s">
        <v>384</v>
      </c>
      <c r="Z29" s="289">
        <f>COUNTIF(ITT!29:29,Y29)</f>
        <v>4</v>
      </c>
      <c r="AA29" s="15"/>
      <c r="AB29" s="288"/>
      <c r="AC29" s="15"/>
      <c r="AD29" s="294"/>
    </row>
    <row r="30" spans="1:30" ht="15" customHeight="1" x14ac:dyDescent="0.35">
      <c r="A30" s="266" t="str">
        <f>Mon!U30</f>
        <v>(PM)</v>
      </c>
      <c r="B30" s="153">
        <v>18</v>
      </c>
      <c r="C30" s="153">
        <f>Sat!W30</f>
        <v>18</v>
      </c>
      <c r="D30" s="153">
        <f>SUM(COUNTIF(Mon!$P$11:$P$23,Reports!A30),COUNTIF(Tue!$P$11:$P$23,Reports!A30),COUNTIF(Wed!$P$11:$P$23,Reports!A30),COUNTIF(Thur!$P$11:$P$23,Reports!A30),COUNTIF(Fri!$P$11:$P$23,Reports!A30),COUNTIF(Sat!$P$11:$P$23,Reports!A30))</f>
        <v>0</v>
      </c>
      <c r="E30" s="153">
        <f>SUM(COUNTIF(Mon!$P$5:$P$9,Reports!A30),COUNTIF(Tue!$P$5:$P$9,Reports!A30),COUNTIF(Wed!$P$5:$P$9,Reports!A30),COUNTIF(Thur!$P$5:$P$9,Reports!A30),COUNTIF(Fri!$P$5:$P$9,Reports!A30),COUNTIF(Sat!$P$5:$P$9,Reports!A30))</f>
        <v>0</v>
      </c>
      <c r="F30" s="153"/>
      <c r="G30" s="153">
        <f t="shared" si="0"/>
        <v>0</v>
      </c>
      <c r="H30" s="153">
        <f>Mon!V30</f>
        <v>2</v>
      </c>
      <c r="I30" s="153">
        <f>Tue!V30</f>
        <v>4</v>
      </c>
      <c r="J30" s="153">
        <f>Wed!V30</f>
        <v>3</v>
      </c>
      <c r="K30" s="153">
        <f>Thur!V30</f>
        <v>3</v>
      </c>
      <c r="L30" s="128">
        <f>Fri!V30</f>
        <v>3</v>
      </c>
      <c r="M30" s="153">
        <f>Sat!V30</f>
        <v>3</v>
      </c>
      <c r="N30" s="16" t="b">
        <f t="shared" si="1"/>
        <v>0</v>
      </c>
      <c r="O30" s="129">
        <f>SUM(COUNTIF(Mon!$M$5:N70,Reports!A30),COUNTIF(Tue!$M$5:N70,Reports!A30),COUNTIF(Wed!$M$4:N70,Reports!A30),COUNTIF(Wed!$L$21:$L$33,Reports!A30),COUNTIF(Thur!$M$5:N70,Reports!A30),COUNTIF(Fri!$M$5:N70,Reports!A30),COUNTIF(Sat!$I$4:L70,Reports!A30))</f>
        <v>6</v>
      </c>
      <c r="Q30" s="15" t="s">
        <v>385</v>
      </c>
      <c r="R30" s="289">
        <f>COUNTIF(ITT!30:30,Q30)</f>
        <v>4</v>
      </c>
      <c r="S30" s="15" t="s">
        <v>386</v>
      </c>
      <c r="T30" s="289">
        <f>COUNTIF(ITT!30:30,S30)</f>
        <v>4</v>
      </c>
      <c r="U30" s="15" t="s">
        <v>387</v>
      </c>
      <c r="V30" s="289">
        <f>COUNTIF(ITT!30:30,U30)</f>
        <v>4</v>
      </c>
      <c r="W30" s="15" t="s">
        <v>388</v>
      </c>
      <c r="X30" s="289">
        <f>COUNTIF(ITT!30:30,W30)</f>
        <v>3</v>
      </c>
      <c r="Y30" s="15"/>
      <c r="Z30" s="292"/>
      <c r="AA30" s="15"/>
      <c r="AB30" s="288"/>
      <c r="AC30" s="15"/>
      <c r="AD30" s="292"/>
    </row>
    <row r="31" spans="1:30" s="158" customFormat="1" ht="15" customHeight="1" x14ac:dyDescent="0.35">
      <c r="A31" s="267" t="str">
        <f>Mon!U31</f>
        <v>(PR)</v>
      </c>
      <c r="B31" s="153">
        <v>15</v>
      </c>
      <c r="C31" s="155">
        <f>Sat!W31</f>
        <v>17</v>
      </c>
      <c r="D31" s="155">
        <f>SUM(COUNTIF(Mon!$P$11:$P$23,Reports!A31),COUNTIF(Tue!$P$11:$P$23,Reports!A31),COUNTIF(Wed!$P$11:$P$23,Reports!A31),COUNTIF(Thur!$P$11:$P$23,Reports!A31),COUNTIF(Fri!$P$11:$P$23,Reports!A31),COUNTIF(Sat!$P$11:$P$23,Reports!A31))</f>
        <v>0</v>
      </c>
      <c r="E31" s="155">
        <f>SUM(COUNTIF(Mon!$P$5:$P$9,Reports!A31),COUNTIF(Tue!$P$5:$P$9,Reports!A31),COUNTIF(Wed!$P$5:$P$9,Reports!A31),COUNTIF(Thur!$P$5:$P$9,Reports!A31),COUNTIF(Fri!$P$5:$P$9,Reports!A31),COUNTIF(Sat!$P$5:$P$9,Reports!A31))</f>
        <v>0</v>
      </c>
      <c r="F31" s="155"/>
      <c r="G31" s="153">
        <f t="shared" si="0"/>
        <v>-2</v>
      </c>
      <c r="H31" s="155">
        <f>Mon!V31</f>
        <v>4</v>
      </c>
      <c r="I31" s="155">
        <f>Tue!V31</f>
        <v>4</v>
      </c>
      <c r="J31" s="155">
        <f>Wed!V31</f>
        <v>2</v>
      </c>
      <c r="K31" s="155">
        <f>Thur!V31</f>
        <v>1</v>
      </c>
      <c r="L31" s="156">
        <f>Fri!V31</f>
        <v>4</v>
      </c>
      <c r="M31" s="155">
        <f>Sat!V31</f>
        <v>2</v>
      </c>
      <c r="N31" s="157" t="b">
        <f t="shared" si="1"/>
        <v>0</v>
      </c>
      <c r="O31" s="129">
        <f>SUM(COUNTIF(Mon!$M$5:N70,Reports!A31),COUNTIF(Tue!$M$5:N70,Reports!A31),COUNTIF(Wed!$M$4:N70,Reports!A31),COUNTIF(Wed!$L$21:$L$33,Reports!A31),COUNTIF(Thur!$M$5:N70,Reports!A31),COUNTIF(Fri!$M$5:N70,Reports!A31),COUNTIF(Sat!$I$4:L70,Reports!A31))</f>
        <v>4</v>
      </c>
      <c r="Q31" s="15" t="s">
        <v>389</v>
      </c>
      <c r="R31" s="289">
        <f>COUNTIF(ITT!31:31,Q31)</f>
        <v>2</v>
      </c>
      <c r="S31" s="15" t="s">
        <v>390</v>
      </c>
      <c r="T31" s="289">
        <f>COUNTIF(ITT!31:31,S31)</f>
        <v>3</v>
      </c>
      <c r="U31" s="15" t="s">
        <v>391</v>
      </c>
      <c r="V31" s="288">
        <f>COUNTIF(ITT!31:31,U31)</f>
        <v>3</v>
      </c>
      <c r="W31" s="15" t="s">
        <v>392</v>
      </c>
      <c r="X31" s="288">
        <f>COUNTIF(ITT!31:31,W31)</f>
        <v>3</v>
      </c>
      <c r="Y31" s="15" t="s">
        <v>393</v>
      </c>
      <c r="Z31" s="289">
        <f>COUNTIF(ITT!31:31,Y31)</f>
        <v>3</v>
      </c>
      <c r="AA31" s="15"/>
      <c r="AB31" s="288"/>
      <c r="AC31" s="15"/>
      <c r="AD31" s="294"/>
    </row>
    <row r="32" spans="1:30" ht="15" customHeight="1" x14ac:dyDescent="0.35">
      <c r="A32" s="266" t="str">
        <f>Mon!U32</f>
        <v>(RG)</v>
      </c>
      <c r="B32" s="153">
        <v>14</v>
      </c>
      <c r="C32" s="153">
        <f>Sat!W32</f>
        <v>14</v>
      </c>
      <c r="D32" s="153">
        <f>SUM(COUNTIF(Mon!$P$11:$P$23,Reports!A32),COUNTIF(Tue!$P$11:$P$23,Reports!A32),COUNTIF(Wed!$P$11:$P$23,Reports!A32),COUNTIF(Thur!$P$11:$P$23,Reports!A32),COUNTIF(Fri!$P$11:$P$23,Reports!A32),COUNTIF(Sat!$P$11:$P$23,Reports!A32))</f>
        <v>0</v>
      </c>
      <c r="E32" s="153">
        <f>SUM(COUNTIF(Mon!$P$5:$P$9,Reports!A32),COUNTIF(Tue!$P$5:$P$9,Reports!A32),COUNTIF(Wed!$P$5:$P$9,Reports!A32),COUNTIF(Thur!$P$5:$P$9,Reports!A32),COUNTIF(Fri!$P$5:$P$9,Reports!A32),COUNTIF(Sat!$P$5:$P$9,Reports!A32))</f>
        <v>0</v>
      </c>
      <c r="F32" s="153"/>
      <c r="G32" s="153">
        <f t="shared" si="0"/>
        <v>0</v>
      </c>
      <c r="H32" s="153">
        <f>Mon!V32</f>
        <v>3</v>
      </c>
      <c r="I32" s="153">
        <f>Tue!V32</f>
        <v>2</v>
      </c>
      <c r="J32" s="153">
        <f>Wed!V32</f>
        <v>2</v>
      </c>
      <c r="K32" s="153">
        <f>Thur!V32</f>
        <v>2</v>
      </c>
      <c r="L32" s="128">
        <f>Fri!V32</f>
        <v>2</v>
      </c>
      <c r="M32" s="153">
        <f>Sat!V32</f>
        <v>3</v>
      </c>
      <c r="N32" s="16" t="b">
        <f t="shared" si="1"/>
        <v>0</v>
      </c>
      <c r="O32" s="129">
        <f>SUM(COUNTIF(Mon!$M$5:N70,Reports!A32),COUNTIF(Tue!$M$5:N70,Reports!A32),COUNTIF(Wed!$M$4:N70,Reports!A32),COUNTIF(Wed!$L$21:$L$33,Reports!A32),COUNTIF(Thur!$M$5:N70,Reports!A32),COUNTIF(Fri!$M$5:N70,Reports!A32),COUNTIF(Sat!$I$4:L70,Reports!A32))</f>
        <v>4</v>
      </c>
      <c r="Q32" s="15" t="s">
        <v>394</v>
      </c>
      <c r="R32" s="289">
        <f>COUNTIF(ITT!32:32,Q32)</f>
        <v>3</v>
      </c>
      <c r="S32" s="15" t="s">
        <v>395</v>
      </c>
      <c r="T32" s="289">
        <f>COUNTIF(ITT!32:32,S32)</f>
        <v>4</v>
      </c>
      <c r="U32" s="15" t="s">
        <v>396</v>
      </c>
      <c r="V32" s="289">
        <f>COUNTIF(ITT!32:32,U32)</f>
        <v>4</v>
      </c>
      <c r="W32" s="15" t="s">
        <v>335</v>
      </c>
      <c r="X32" s="289">
        <f>COUNTIF(ITT!32:32,W32)</f>
        <v>2</v>
      </c>
      <c r="Y32" s="15"/>
      <c r="Z32" s="292"/>
      <c r="AA32" s="15"/>
      <c r="AB32" s="288"/>
      <c r="AC32" s="15"/>
      <c r="AD32" s="294"/>
    </row>
    <row r="33" spans="1:30" s="158" customFormat="1" ht="15" customHeight="1" x14ac:dyDescent="0.35">
      <c r="A33" s="267" t="str">
        <f>Mon!U33</f>
        <v>(RP)</v>
      </c>
      <c r="B33" s="153">
        <v>3</v>
      </c>
      <c r="C33" s="155">
        <f>Sat!W33</f>
        <v>3</v>
      </c>
      <c r="D33" s="155">
        <f>SUM(COUNTIF(Mon!$P$11:$P$23,Reports!A33),COUNTIF(Tue!$P$11:$P$23,Reports!A33),COUNTIF(Wed!$P$11:$P$23,Reports!A33),COUNTIF(Thur!$P$11:$P$23,Reports!A33),COUNTIF(Fri!$P$11:$P$23,Reports!A33),COUNTIF(Sat!$P$11:$P$23,Reports!A33))</f>
        <v>0</v>
      </c>
      <c r="E33" s="155">
        <f>SUM(COUNTIF(Mon!$P$5:$P$9,Reports!A33),COUNTIF(Tue!$P$5:$P$9,Reports!A33),COUNTIF(Wed!$P$5:$P$9,Reports!A33),COUNTIF(Thur!$P$5:$P$9,Reports!A33),COUNTIF(Fri!$P$5:$P$9,Reports!A33),COUNTIF(Sat!$P$5:$P$9,Reports!A33))</f>
        <v>0</v>
      </c>
      <c r="F33" s="155"/>
      <c r="G33" s="153">
        <f t="shared" si="0"/>
        <v>0</v>
      </c>
      <c r="H33" s="155">
        <f>Mon!V33</f>
        <v>1</v>
      </c>
      <c r="I33" s="155">
        <f>Tue!V33</f>
        <v>1</v>
      </c>
      <c r="J33" s="155">
        <f>Wed!V33</f>
        <v>1</v>
      </c>
      <c r="K33" s="155">
        <f>Thur!V33</f>
        <v>0</v>
      </c>
      <c r="L33" s="156">
        <f>Fri!V33</f>
        <v>0</v>
      </c>
      <c r="M33" s="155">
        <f>Sat!V33</f>
        <v>0</v>
      </c>
      <c r="N33" s="157" t="b">
        <f t="shared" si="1"/>
        <v>1</v>
      </c>
      <c r="O33" s="129">
        <f>SUM(COUNTIF(Mon!$M$5:N70,Reports!A33),COUNTIF(Tue!$M$5:N70,Reports!A33),COUNTIF(Wed!$M$4:N70,Reports!A33),COUNTIF(Wed!$L$21:$L$33,Reports!A33),COUNTIF(Thur!$M$5:N70,Reports!A33),COUNTIF(Fri!$M$5:N70,Reports!A33),COUNTIF(Sat!$I$4:L70,Reports!A33))</f>
        <v>0</v>
      </c>
      <c r="Q33" s="15" t="s">
        <v>397</v>
      </c>
      <c r="R33" s="289">
        <f>COUNTIF(ITT!33:33,Q33)</f>
        <v>3</v>
      </c>
      <c r="S33" s="15"/>
      <c r="T33" s="292"/>
      <c r="U33" s="15"/>
      <c r="V33" s="292"/>
      <c r="W33" s="15"/>
      <c r="X33" s="292"/>
      <c r="Y33" s="15"/>
      <c r="Z33" s="292"/>
      <c r="AA33" s="15"/>
      <c r="AB33" s="288"/>
      <c r="AC33" s="15"/>
      <c r="AD33" s="292"/>
    </row>
    <row r="34" spans="1:30" ht="15" customHeight="1" x14ac:dyDescent="0.35">
      <c r="A34" s="266" t="str">
        <f>Mon!U34</f>
        <v>(RT)</v>
      </c>
      <c r="B34" s="153">
        <v>13</v>
      </c>
      <c r="C34" s="153">
        <f>Sat!W34</f>
        <v>13</v>
      </c>
      <c r="D34" s="153">
        <f>SUM(COUNTIF(Mon!$P$11:$P$23,Reports!A34),COUNTIF(Tue!$P$11:$P$23,Reports!A34),COUNTIF(Wed!$P$11:$P$23,Reports!A34),COUNTIF(Thur!$P$11:$P$23,Reports!A34),COUNTIF(Fri!$P$11:$P$23,Reports!A34),COUNTIF(Sat!$P$11:$P$23,Reports!A34))</f>
        <v>0</v>
      </c>
      <c r="E34" s="153">
        <f>SUM(COUNTIF(Mon!$P$5:$P$9,Reports!A34),COUNTIF(Tue!$P$5:$P$9,Reports!A34),COUNTIF(Wed!$P$5:$P$9,Reports!A34),COUNTIF(Thur!$P$5:$P$9,Reports!A34),COUNTIF(Fri!$P$5:$P$9,Reports!A34),COUNTIF(Sat!$P$5:$P$9,Reports!A34))</f>
        <v>0</v>
      </c>
      <c r="F34" s="153"/>
      <c r="G34" s="153">
        <f t="shared" si="0"/>
        <v>0</v>
      </c>
      <c r="H34" s="153">
        <f>Mon!V34</f>
        <v>2</v>
      </c>
      <c r="I34" s="153">
        <f>Tue!V34</f>
        <v>3</v>
      </c>
      <c r="J34" s="153">
        <f>Wed!V34</f>
        <v>2</v>
      </c>
      <c r="K34" s="153">
        <f>Thur!V34</f>
        <v>2</v>
      </c>
      <c r="L34" s="128">
        <f>Fri!V34</f>
        <v>2</v>
      </c>
      <c r="M34" s="153">
        <f>Sat!V34</f>
        <v>2</v>
      </c>
      <c r="N34" s="16" t="b">
        <f t="shared" si="1"/>
        <v>1</v>
      </c>
      <c r="O34" s="129">
        <f>SUM(COUNTIF(Mon!$M$5:N70,Reports!A34),COUNTIF(Tue!$M$5:N70,Reports!A34),COUNTIF(Wed!$M$4:N70,Reports!A34),COUNTIF(Wed!$L$21:$L$33,Reports!A34),COUNTIF(Thur!$M$5:N70,Reports!A34),COUNTIF(Fri!$M$5:N70,Reports!A34),COUNTIF(Sat!$I$4:L70,Reports!A34))</f>
        <v>3</v>
      </c>
      <c r="Q34" s="15" t="s">
        <v>398</v>
      </c>
      <c r="R34" s="289">
        <f>COUNTIF(ITT!34:34,Q34)</f>
        <v>3</v>
      </c>
      <c r="S34" s="15" t="s">
        <v>399</v>
      </c>
      <c r="T34" s="288">
        <f>COUNTIF(ITT!34:34,S34)</f>
        <v>3</v>
      </c>
      <c r="U34" s="15" t="s">
        <v>400</v>
      </c>
      <c r="V34" s="288">
        <f>COUNTIF(ITT!34:34,U34)</f>
        <v>3</v>
      </c>
      <c r="W34" s="15" t="s">
        <v>401</v>
      </c>
      <c r="X34" s="288">
        <f>COUNTIF(ITT!34:34,W34)</f>
        <v>3</v>
      </c>
      <c r="Y34" s="15" t="s">
        <v>283</v>
      </c>
      <c r="Z34" s="291">
        <f>COUNTIF(ITT!34:34,Y34)</f>
        <v>1</v>
      </c>
      <c r="AA34" s="15"/>
      <c r="AB34" s="288"/>
      <c r="AC34" s="15"/>
      <c r="AD34" s="294"/>
    </row>
    <row r="35" spans="1:30" s="158" customFormat="1" ht="15" customHeight="1" x14ac:dyDescent="0.35">
      <c r="A35" s="267" t="str">
        <f>Mon!U35</f>
        <v>(SA)</v>
      </c>
      <c r="B35" s="153">
        <v>15</v>
      </c>
      <c r="C35" s="155">
        <f>Sat!W35</f>
        <v>17</v>
      </c>
      <c r="D35" s="155">
        <f>SUM(COUNTIF(Mon!$P$11:$P$23,Reports!A35),COUNTIF(Tue!$P$11:$P$23,Reports!A35),COUNTIF(Wed!$P$11:$P$23,Reports!A35),COUNTIF(Thur!$P$11:$P$23,Reports!A35),COUNTIF(Fri!$P$11:$P$23,Reports!A35),COUNTIF(Sat!$P$11:$P$23,Reports!A35))</f>
        <v>0</v>
      </c>
      <c r="E35" s="155">
        <f>SUM(COUNTIF(Mon!$P$5:$P$9,Reports!A35),COUNTIF(Tue!$P$5:$P$9,Reports!A35),COUNTIF(Wed!$P$5:$P$9,Reports!A35),COUNTIF(Thur!$P$5:$P$9,Reports!A35),COUNTIF(Fri!$P$5:$P$9,Reports!A35),COUNTIF(Sat!$P$5:$P$9,Reports!A35))</f>
        <v>0</v>
      </c>
      <c r="F35" s="155"/>
      <c r="G35" s="153">
        <f t="shared" si="0"/>
        <v>-2</v>
      </c>
      <c r="H35" s="155">
        <f>Mon!V35</f>
        <v>5</v>
      </c>
      <c r="I35" s="155">
        <f>Tue!V35</f>
        <v>3</v>
      </c>
      <c r="J35" s="155">
        <f>Wed!V35</f>
        <v>2</v>
      </c>
      <c r="K35" s="155">
        <f>Thur!V35</f>
        <v>2</v>
      </c>
      <c r="L35" s="156">
        <f>Fri!V35</f>
        <v>4</v>
      </c>
      <c r="M35" s="155">
        <f>Sat!V35</f>
        <v>1</v>
      </c>
      <c r="N35" s="157" t="b">
        <f t="shared" si="1"/>
        <v>0</v>
      </c>
      <c r="O35" s="129">
        <f>SUM(COUNTIF(Mon!$M$5:N70,Reports!A35),COUNTIF(Tue!$M$5:N70,Reports!A35),COUNTIF(Wed!$M$4:N70,Reports!A35),COUNTIF(Wed!$L$21:$L$33,Reports!A35),COUNTIF(Thur!$M$5:N70,Reports!A35),COUNTIF(Fri!$M$5:N70,Reports!A35),COUNTIF(Sat!$I$4:L70,Reports!A35))</f>
        <v>3</v>
      </c>
      <c r="Q35" s="15" t="s">
        <v>402</v>
      </c>
      <c r="R35" s="289">
        <f>COUNTIF(ITT!35:35,Q35)</f>
        <v>3</v>
      </c>
      <c r="S35" s="15" t="s">
        <v>403</v>
      </c>
      <c r="T35" s="288">
        <f>COUNTIF(ITT!35:35,S35)</f>
        <v>3</v>
      </c>
      <c r="U35" s="15" t="s">
        <v>404</v>
      </c>
      <c r="V35" s="288">
        <f>COUNTIF(ITT!35:35,U35)</f>
        <v>3</v>
      </c>
      <c r="W35" s="15" t="s">
        <v>405</v>
      </c>
      <c r="X35" s="288">
        <f>COUNTIF(ITT!35:35,W35)</f>
        <v>3</v>
      </c>
      <c r="Y35" s="15" t="s">
        <v>406</v>
      </c>
      <c r="Z35" s="291">
        <f>COUNTIF(ITT!35:35,Y35)</f>
        <v>3</v>
      </c>
      <c r="AA35" s="15"/>
      <c r="AB35" s="288"/>
      <c r="AC35" s="15"/>
      <c r="AD35" s="292"/>
    </row>
    <row r="36" spans="1:30" ht="15" customHeight="1" x14ac:dyDescent="0.35">
      <c r="A36" s="266" t="str">
        <f>Mon!U36</f>
        <v>(SAK)</v>
      </c>
      <c r="B36" s="153">
        <v>18</v>
      </c>
      <c r="C36" s="153">
        <f>Sat!W36</f>
        <v>18</v>
      </c>
      <c r="D36" s="153">
        <f>SUM(COUNTIF(Mon!$P$11:$P$23,Reports!A36),COUNTIF(Tue!$P$11:$P$23,Reports!A36),COUNTIF(Wed!$P$11:$P$23,Reports!A36),COUNTIF(Thur!$P$11:$P$23,Reports!A36),COUNTIF(Fri!$P$11:$P$23,Reports!A36),COUNTIF(Sat!$P$11:$P$23,Reports!A36))</f>
        <v>0</v>
      </c>
      <c r="E36" s="153">
        <f>SUM(COUNTIF(Mon!$P$5:$P$9,Reports!A36),COUNTIF(Tue!$P$5:$P$9,Reports!A36),COUNTIF(Wed!$P$5:$P$9,Reports!A36),COUNTIF(Thur!$P$5:$P$9,Reports!A36),COUNTIF(Fri!$P$5:$P$9,Reports!A36),COUNTIF(Sat!$P$5:$P$9,Reports!A36))</f>
        <v>0</v>
      </c>
      <c r="F36" s="153"/>
      <c r="G36" s="153">
        <f t="shared" si="0"/>
        <v>0</v>
      </c>
      <c r="H36" s="153">
        <f>Mon!V36</f>
        <v>3</v>
      </c>
      <c r="I36" s="153">
        <f>Tue!V36</f>
        <v>3</v>
      </c>
      <c r="J36" s="153">
        <f>Wed!V36</f>
        <v>3</v>
      </c>
      <c r="K36" s="153">
        <f>Thur!V36</f>
        <v>4</v>
      </c>
      <c r="L36" s="128">
        <f>Fri!V36</f>
        <v>2</v>
      </c>
      <c r="M36" s="153">
        <f>Sat!V36</f>
        <v>3</v>
      </c>
      <c r="N36" s="16" t="b">
        <f t="shared" si="1"/>
        <v>1</v>
      </c>
      <c r="O36" s="129">
        <f>SUM(COUNTIF(Mon!$M$5:N70,Reports!A36),COUNTIF(Tue!$M$5:N70,Reports!A36),COUNTIF(Wed!$M$4:N70,Reports!A36),COUNTIF(Wed!$L$21:$L$33,Reports!A36),COUNTIF(Thur!$M$5:N70,Reports!A36),COUNTIF(Fri!$M$5:N70,Reports!A36),COUNTIF(Sat!$I$4:L70,Reports!A36))</f>
        <v>5</v>
      </c>
      <c r="Q36" s="15" t="s">
        <v>407</v>
      </c>
      <c r="R36" s="288">
        <f>COUNTIF(ITT!36:36,Q36)</f>
        <v>3</v>
      </c>
      <c r="S36" s="15" t="s">
        <v>408</v>
      </c>
      <c r="T36" s="288">
        <f>COUNTIF(ITT!36:36,S36)</f>
        <v>3</v>
      </c>
      <c r="U36" s="15" t="s">
        <v>409</v>
      </c>
      <c r="V36" s="288">
        <f>COUNTIF(ITT!36:36,U36)</f>
        <v>3</v>
      </c>
      <c r="W36" s="15" t="s">
        <v>410</v>
      </c>
      <c r="X36" s="288">
        <f>COUNTIF(ITT!36:36,W36)</f>
        <v>3</v>
      </c>
      <c r="Y36" s="15" t="s">
        <v>411</v>
      </c>
      <c r="Z36" s="291">
        <f>COUNTIF(ITT!36:36,Y36)</f>
        <v>3</v>
      </c>
      <c r="AA36" s="15" t="s">
        <v>412</v>
      </c>
      <c r="AB36" s="291">
        <f>COUNTIF(ITT!36:36,Reports!AA36)</f>
        <v>3</v>
      </c>
      <c r="AC36" s="15"/>
      <c r="AD36" s="294"/>
    </row>
    <row r="37" spans="1:30" s="158" customFormat="1" ht="15" customHeight="1" x14ac:dyDescent="0.35">
      <c r="A37" s="267" t="str">
        <f>Mon!U37</f>
        <v>(SB)</v>
      </c>
      <c r="B37" s="153">
        <v>18</v>
      </c>
      <c r="C37" s="155">
        <f>Sat!W37</f>
        <v>18</v>
      </c>
      <c r="D37" s="155">
        <f>SUM(COUNTIF(Mon!$P$11:$P$23,Reports!A37),COUNTIF(Tue!$P$11:$P$23,Reports!A37),COUNTIF(Wed!$P$11:$P$23,Reports!A37),COUNTIF(Thur!$P$11:$P$23,Reports!A37),COUNTIF(Fri!$P$11:$P$23,Reports!A37),COUNTIF(Sat!$P$11:$P$23,Reports!A37))</f>
        <v>0</v>
      </c>
      <c r="E37" s="155">
        <f>SUM(COUNTIF(Mon!$P$5:$P$9,Reports!A37),COUNTIF(Tue!$P$5:$P$9,Reports!A37),COUNTIF(Wed!$P$5:$P$9,Reports!A37),COUNTIF(Thur!$P$5:$P$9,Reports!A37),COUNTIF(Fri!$P$5:$P$9,Reports!A37),COUNTIF(Sat!$P$5:$P$9,Reports!A37))</f>
        <v>0</v>
      </c>
      <c r="F37" s="155"/>
      <c r="G37" s="153">
        <f t="shared" si="0"/>
        <v>0</v>
      </c>
      <c r="H37" s="155">
        <f>Mon!V37</f>
        <v>3</v>
      </c>
      <c r="I37" s="155">
        <f>Tue!V37</f>
        <v>3</v>
      </c>
      <c r="J37" s="155">
        <f>Wed!V37</f>
        <v>3</v>
      </c>
      <c r="K37" s="155">
        <f>Thur!V37</f>
        <v>3</v>
      </c>
      <c r="L37" s="156">
        <f>Fri!V37</f>
        <v>3</v>
      </c>
      <c r="M37" s="155">
        <f>Sat!V37</f>
        <v>3</v>
      </c>
      <c r="N37" s="157" t="b">
        <f t="shared" si="1"/>
        <v>1</v>
      </c>
      <c r="O37" s="129">
        <f>SUM(COUNTIF(Mon!$M$5:N70,Reports!A37),COUNTIF(Tue!$M$5:N70,Reports!A37),COUNTIF(Wed!$M$4:N70,Reports!A37),COUNTIF(Wed!$L$21:$L$33,Reports!A37),COUNTIF(Thur!$M$5:N70,Reports!A37),COUNTIF(Fri!$M$5:N70,Reports!A37),COUNTIF(Sat!$I$4:L70,Reports!A37))</f>
        <v>5</v>
      </c>
      <c r="Q37" s="15" t="s">
        <v>413</v>
      </c>
      <c r="R37" s="288">
        <f>COUNTIF(ITT!37:37,Q37)</f>
        <v>3</v>
      </c>
      <c r="S37" s="15" t="s">
        <v>414</v>
      </c>
      <c r="T37" s="288">
        <f>COUNTIF(ITT!37:37,S37)</f>
        <v>3</v>
      </c>
      <c r="U37" s="15" t="s">
        <v>415</v>
      </c>
      <c r="V37" s="288">
        <f>COUNTIF(ITT!37:37,U37)</f>
        <v>3</v>
      </c>
      <c r="W37" s="15" t="s">
        <v>416</v>
      </c>
      <c r="X37" s="288">
        <f>COUNTIF(ITT!37:37,W37)</f>
        <v>3</v>
      </c>
      <c r="Y37" s="15" t="s">
        <v>417</v>
      </c>
      <c r="Z37" s="291">
        <f>COUNTIF(ITT!37:37,Y37)</f>
        <v>3</v>
      </c>
      <c r="AA37" s="15" t="s">
        <v>418</v>
      </c>
      <c r="AB37" s="291">
        <f>COUNTIF(ITT!37:37,Reports!AA37)</f>
        <v>3</v>
      </c>
      <c r="AC37" s="15"/>
      <c r="AD37" s="292"/>
    </row>
    <row r="38" spans="1:30" ht="15" customHeight="1" x14ac:dyDescent="0.35">
      <c r="A38" s="266" t="str">
        <f>Mon!U38</f>
        <v>(SC)</v>
      </c>
      <c r="B38" s="153">
        <v>15</v>
      </c>
      <c r="C38" s="153">
        <f>Sat!W38</f>
        <v>15</v>
      </c>
      <c r="D38" s="153">
        <f>SUM(COUNTIF(Mon!$P$11:$P$23,Reports!A38),COUNTIF(Tue!$P$11:$P$23,Reports!A38),COUNTIF(Wed!$P$11:$P$23,Reports!A38),COUNTIF(Thur!$P$11:$P$23,Reports!A38),COUNTIF(Fri!$P$11:$P$23,Reports!A38),COUNTIF(Sat!$P$11:$P$23,Reports!A38))</f>
        <v>0</v>
      </c>
      <c r="E38" s="153">
        <f>SUM(COUNTIF(Mon!$P$5:$P$9,Reports!A38),COUNTIF(Tue!$P$5:$P$9,Reports!A38),COUNTIF(Wed!$P$5:$P$9,Reports!A38),COUNTIF(Thur!$P$5:$P$9,Reports!A38),COUNTIF(Fri!$P$5:$P$9,Reports!A38),COUNTIF(Sat!$P$5:$P$9,Reports!A38))</f>
        <v>0</v>
      </c>
      <c r="F38" s="153"/>
      <c r="G38" s="153">
        <f t="shared" si="0"/>
        <v>0</v>
      </c>
      <c r="H38" s="153">
        <f>Mon!V38</f>
        <v>3</v>
      </c>
      <c r="I38" s="153">
        <f>Tue!V38</f>
        <v>3</v>
      </c>
      <c r="J38" s="153">
        <f>Wed!V38</f>
        <v>2</v>
      </c>
      <c r="K38" s="153">
        <f>Thur!V38</f>
        <v>2</v>
      </c>
      <c r="L38" s="128">
        <f>Fri!V38</f>
        <v>4</v>
      </c>
      <c r="M38" s="153">
        <f>Sat!V38</f>
        <v>1</v>
      </c>
      <c r="N38" s="16" t="b">
        <f t="shared" si="1"/>
        <v>1</v>
      </c>
      <c r="O38" s="129">
        <f>SUM(COUNTIF(Mon!$M$5:N70,Reports!A38),COUNTIF(Tue!$M$5:N70,Reports!A38),COUNTIF(Wed!$M$4:N70,Reports!A38),COUNTIF(Wed!$L$21:$L$33,Reports!A38),COUNTIF(Thur!$M$5:N70,Reports!A38),COUNTIF(Fri!$M$5:N70,Reports!A38),COUNTIF(Sat!$I$4:L70,Reports!A38))</f>
        <v>5</v>
      </c>
      <c r="Q38" s="15" t="s">
        <v>419</v>
      </c>
      <c r="R38" s="289">
        <f>COUNTIF(ITT!38:38,Q38)</f>
        <v>3</v>
      </c>
      <c r="S38" s="15" t="s">
        <v>420</v>
      </c>
      <c r="T38" s="289">
        <f>COUNTIF(ITT!38:38,S38)</f>
        <v>3</v>
      </c>
      <c r="U38" s="15" t="s">
        <v>421</v>
      </c>
      <c r="V38" s="288">
        <f>COUNTIF(ITT!38:38,U38)</f>
        <v>3</v>
      </c>
      <c r="W38" s="15" t="s">
        <v>422</v>
      </c>
      <c r="X38" s="288">
        <f>COUNTIF(ITT!38:38,W38)</f>
        <v>3</v>
      </c>
      <c r="Y38" s="15" t="s">
        <v>423</v>
      </c>
      <c r="Z38" s="291">
        <f>COUNTIF(ITT!38:38,Y38)</f>
        <v>3</v>
      </c>
      <c r="AA38" s="15"/>
      <c r="AB38" s="288"/>
      <c r="AC38" s="15"/>
      <c r="AD38" s="294"/>
    </row>
    <row r="39" spans="1:30" s="158" customFormat="1" ht="15" customHeight="1" x14ac:dyDescent="0.35">
      <c r="A39" s="267" t="str">
        <f>Mon!U39</f>
        <v>(SE)</v>
      </c>
      <c r="B39" s="153">
        <v>18</v>
      </c>
      <c r="C39" s="155">
        <f>Sat!W39</f>
        <v>18</v>
      </c>
      <c r="D39" s="155">
        <f>SUM(COUNTIF(Mon!$P$11:$P$23,Reports!A39),COUNTIF(Tue!$P$11:$P$23,Reports!A39),COUNTIF(Wed!$P$11:$P$23,Reports!A39),COUNTIF(Thur!$P$11:$P$23,Reports!A39),COUNTIF(Fri!$P$11:$P$23,Reports!A39),COUNTIF(Sat!$P$11:$P$23,Reports!A39))</f>
        <v>0</v>
      </c>
      <c r="E39" s="155">
        <f>SUM(COUNTIF(Mon!$P$5:$P$9,Reports!A39),COUNTIF(Tue!$P$5:$P$9,Reports!A39),COUNTIF(Wed!$P$5:$P$9,Reports!A39),COUNTIF(Thur!$P$5:$P$9,Reports!A39),COUNTIF(Fri!$P$5:$P$9,Reports!A39),COUNTIF(Sat!$P$5:$P$9,Reports!A39))</f>
        <v>0</v>
      </c>
      <c r="F39" s="155"/>
      <c r="G39" s="153">
        <f t="shared" si="0"/>
        <v>0</v>
      </c>
      <c r="H39" s="155">
        <f>Mon!V39</f>
        <v>4</v>
      </c>
      <c r="I39" s="155">
        <f>Tue!V39</f>
        <v>4</v>
      </c>
      <c r="J39" s="155">
        <f>Wed!V39</f>
        <v>3</v>
      </c>
      <c r="K39" s="155">
        <f>Thur!V39</f>
        <v>2</v>
      </c>
      <c r="L39" s="156">
        <f>Fri!V39</f>
        <v>3</v>
      </c>
      <c r="M39" s="155">
        <f>Sat!V39</f>
        <v>2</v>
      </c>
      <c r="N39" s="157" t="b">
        <f t="shared" si="1"/>
        <v>0</v>
      </c>
      <c r="O39" s="129">
        <f>SUM(COUNTIF(Mon!$M$5:N70,Reports!A39),COUNTIF(Tue!$M$5:N70,Reports!A39),COUNTIF(Wed!$M$4:N70,Reports!A39),COUNTIF(Wed!$L$21:$L$33,Reports!A39),COUNTIF(Thur!$M$5:N70,Reports!A39),COUNTIF(Fri!$M$5:N70,Reports!A39),COUNTIF(Sat!$I$4:L70,Reports!A39))</f>
        <v>5</v>
      </c>
      <c r="Q39" s="15" t="s">
        <v>424</v>
      </c>
      <c r="R39" s="289">
        <f>COUNTIF(ITT!39:39,Q39)</f>
        <v>3</v>
      </c>
      <c r="S39" s="15" t="s">
        <v>425</v>
      </c>
      <c r="T39" s="289">
        <f>COUNTIF(ITT!39:39,S39)</f>
        <v>3</v>
      </c>
      <c r="U39" s="15" t="s">
        <v>426</v>
      </c>
      <c r="V39" s="288">
        <f>COUNTIF(ITT!39:39,U39)</f>
        <v>3</v>
      </c>
      <c r="W39" s="15" t="s">
        <v>427</v>
      </c>
      <c r="X39" s="288">
        <f>COUNTIF(ITT!39:39,W39)</f>
        <v>2</v>
      </c>
      <c r="Y39" s="15" t="s">
        <v>428</v>
      </c>
      <c r="Z39" s="291">
        <f>COUNTIF(ITT!39:39,Y39)</f>
        <v>3</v>
      </c>
      <c r="AA39" s="15"/>
      <c r="AB39" s="288"/>
      <c r="AC39" s="15"/>
      <c r="AD39" s="292"/>
    </row>
    <row r="40" spans="1:30" ht="15" customHeight="1" x14ac:dyDescent="0.35">
      <c r="A40" s="266" t="str">
        <f>Mon!U40</f>
        <v>(SN)</v>
      </c>
      <c r="B40" s="153">
        <v>15</v>
      </c>
      <c r="C40" s="153">
        <f>Sat!W40</f>
        <v>15</v>
      </c>
      <c r="D40" s="153">
        <f>SUM(COUNTIF(Mon!$P$11:$P$23,Reports!A40),COUNTIF(Tue!$P$11:$P$23,Reports!A40),COUNTIF(Wed!$P$11:$P$23,Reports!A40),COUNTIF(Thur!$P$11:$P$23,Reports!A40),COUNTIF(Fri!$P$11:$P$23,Reports!A40),COUNTIF(Sat!$P$11:$P$23,Reports!A40))</f>
        <v>0</v>
      </c>
      <c r="E40" s="153">
        <f>SUM(COUNTIF(Mon!$P$5:$P$9,Reports!A40),COUNTIF(Tue!$P$5:$P$9,Reports!A40),COUNTIF(Wed!$P$5:$P$9,Reports!A40),COUNTIF(Thur!$P$5:$P$9,Reports!A40),COUNTIF(Fri!$P$5:$P$9,Reports!A40),COUNTIF(Sat!$P$5:$P$9,Reports!A40))</f>
        <v>0</v>
      </c>
      <c r="F40" s="153"/>
      <c r="G40" s="153">
        <f t="shared" si="0"/>
        <v>0</v>
      </c>
      <c r="H40" s="153">
        <f>Mon!V40</f>
        <v>3</v>
      </c>
      <c r="I40" s="153">
        <f>Tue!V40</f>
        <v>3</v>
      </c>
      <c r="J40" s="153">
        <f>Wed!V40</f>
        <v>3</v>
      </c>
      <c r="K40" s="153">
        <f>Thur!V40</f>
        <v>1</v>
      </c>
      <c r="L40" s="128">
        <f>Fri!V40</f>
        <v>4</v>
      </c>
      <c r="M40" s="153">
        <f>Sat!V40</f>
        <v>1</v>
      </c>
      <c r="N40" s="16" t="b">
        <f t="shared" si="1"/>
        <v>0</v>
      </c>
      <c r="O40" s="129">
        <f>SUM(COUNTIF(Mon!$M$5:N70,Reports!A40),COUNTIF(Tue!$M$5:N70,Reports!A40),COUNTIF(Wed!$M$4:N70,Reports!A40),COUNTIF(Wed!$L$21:$L$33,Reports!A40),COUNTIF(Thur!$M$5:N70,Reports!A40),COUNTIF(Fri!$M$5:N70,Reports!A40),COUNTIF(Sat!$I$4:L70,Reports!A40))</f>
        <v>4</v>
      </c>
      <c r="Q40" s="15" t="s">
        <v>429</v>
      </c>
      <c r="R40" s="289">
        <f>COUNTIF(ITT!40:40,Q40)</f>
        <v>3</v>
      </c>
      <c r="S40" s="15" t="s">
        <v>430</v>
      </c>
      <c r="T40" s="289">
        <f>COUNTIF(ITT!40:40,S40)</f>
        <v>3</v>
      </c>
      <c r="U40" s="15" t="s">
        <v>431</v>
      </c>
      <c r="V40" s="288">
        <f>COUNTIF(ITT!40:40,U40)</f>
        <v>2</v>
      </c>
      <c r="W40" s="15" t="s">
        <v>432</v>
      </c>
      <c r="X40" s="288">
        <f>COUNTIF(ITT!40:40,W40)</f>
        <v>3</v>
      </c>
      <c r="Y40" s="15" t="s">
        <v>433</v>
      </c>
      <c r="Z40" s="291">
        <f>COUNTIF(ITT!40:40,Y40)</f>
        <v>3</v>
      </c>
      <c r="AA40" s="15"/>
      <c r="AB40" s="288"/>
      <c r="AC40" s="15"/>
      <c r="AD40" s="294"/>
    </row>
    <row r="41" spans="1:30" s="158" customFormat="1" ht="15" customHeight="1" x14ac:dyDescent="0.35">
      <c r="A41" s="267" t="str">
        <f>Mon!U41</f>
        <v>(SP)</v>
      </c>
      <c r="B41" s="153">
        <v>17</v>
      </c>
      <c r="C41" s="155">
        <f>Sat!W41</f>
        <v>20</v>
      </c>
      <c r="D41" s="155">
        <f>SUM(COUNTIF(Mon!$P$11:$P$23,Reports!A41),COUNTIF(Tue!$P$11:$P$23,Reports!A41),COUNTIF(Wed!$P$11:$P$23,Reports!A41),COUNTIF(Thur!$P$11:$P$23,Reports!A41),COUNTIF(Fri!$P$11:$P$23,Reports!A41),COUNTIF(Sat!$P$11:$P$23,Reports!A41))</f>
        <v>0</v>
      </c>
      <c r="E41" s="155">
        <f>SUM(COUNTIF(Mon!$P$5:$P$9,Reports!A41),COUNTIF(Tue!$P$5:$P$9,Reports!A41),COUNTIF(Wed!$P$5:$P$9,Reports!A41),COUNTIF(Thur!$P$5:$P$9,Reports!A41),COUNTIF(Fri!$P$5:$P$9,Reports!A41),COUNTIF(Sat!$P$5:$P$9,Reports!A41))</f>
        <v>0</v>
      </c>
      <c r="F41" s="155" t="s">
        <v>434</v>
      </c>
      <c r="G41" s="153">
        <f t="shared" si="0"/>
        <v>-3</v>
      </c>
      <c r="H41" s="155">
        <f>Mon!V41</f>
        <v>4</v>
      </c>
      <c r="I41" s="155">
        <f>Tue!V41</f>
        <v>3</v>
      </c>
      <c r="J41" s="155">
        <f>Wed!V41</f>
        <v>3</v>
      </c>
      <c r="K41" s="155">
        <f>Thur!V41</f>
        <v>4</v>
      </c>
      <c r="L41" s="156">
        <f>Fri!V41</f>
        <v>4</v>
      </c>
      <c r="M41" s="155">
        <f>Sat!V41</f>
        <v>2</v>
      </c>
      <c r="N41" s="157" t="b">
        <f t="shared" si="1"/>
        <v>0</v>
      </c>
      <c r="O41" s="129">
        <f>SUM(COUNTIF(Mon!$M$5:N70,Reports!A41),COUNTIF(Tue!$M$5:N70,Reports!A41),COUNTIF(Wed!$M$4:N70,Reports!A41),COUNTIF(Wed!$L$21:$L$33,Reports!A41),COUNTIF(Thur!$M$5:N70,Reports!A41),COUNTIF(Fri!$M$5:N70,Reports!A41),COUNTIF(Sat!$I$4:L70,Reports!A41))</f>
        <v>6</v>
      </c>
      <c r="Q41" s="15" t="s">
        <v>435</v>
      </c>
      <c r="R41" s="288">
        <f>COUNTIF(ITT!41:41,Q41)</f>
        <v>3</v>
      </c>
      <c r="S41" s="15" t="s">
        <v>436</v>
      </c>
      <c r="T41" s="288">
        <f>COUNTIF(ITT!41:41,S41)</f>
        <v>3</v>
      </c>
      <c r="U41" s="15" t="s">
        <v>354</v>
      </c>
      <c r="V41" s="288">
        <f>COUNTIF(ITT!41:41,U41)</f>
        <v>2</v>
      </c>
      <c r="W41" s="15" t="s">
        <v>437</v>
      </c>
      <c r="X41" s="288">
        <f>COUNTIF(ITT!41:41,W41)</f>
        <v>3</v>
      </c>
      <c r="Y41" s="15" t="s">
        <v>438</v>
      </c>
      <c r="Z41" s="291">
        <f>COUNTIF(ITT!41:41,Y41)</f>
        <v>3</v>
      </c>
      <c r="AA41" s="15" t="s">
        <v>439</v>
      </c>
      <c r="AB41" s="291">
        <f>COUNTIF(ITT!41:41,Reports!AA41)</f>
        <v>2</v>
      </c>
      <c r="AC41" s="15" t="str">
        <f>VLOOKUP($A41,[1]Old!$A$4:$Q$61,16,0)</f>
        <v>CP (N)</v>
      </c>
      <c r="AD41" s="292" t="s">
        <v>277</v>
      </c>
    </row>
    <row r="42" spans="1:30" ht="15" customHeight="1" x14ac:dyDescent="0.35">
      <c r="A42" s="266" t="str">
        <f>Mon!U42</f>
        <v>(SR)</v>
      </c>
      <c r="B42" s="153">
        <v>18</v>
      </c>
      <c r="C42" s="153">
        <f>Sat!W42</f>
        <v>18</v>
      </c>
      <c r="D42" s="153">
        <f>SUM(COUNTIF(Mon!$P$11:$P$23,Reports!A42),COUNTIF(Tue!$P$11:$P$23,Reports!A42),COUNTIF(Wed!$P$11:$P$23,Reports!A42),COUNTIF(Thur!$P$11:$P$23,Reports!A42),COUNTIF(Fri!$P$11:$P$23,Reports!A42),COUNTIF(Sat!$P$11:$P$23,Reports!A42))</f>
        <v>0</v>
      </c>
      <c r="E42" s="153">
        <f>SUM(COUNTIF(Mon!$P$5:$P$9,Reports!A42),COUNTIF(Tue!$P$5:$P$9,Reports!A42),COUNTIF(Wed!$P$5:$P$9,Reports!A42),COUNTIF(Thur!$P$5:$P$9,Reports!A42),COUNTIF(Fri!$P$5:$P$9,Reports!A42),COUNTIF(Sat!$P$5:$P$9,Reports!A42))</f>
        <v>0</v>
      </c>
      <c r="F42" s="153"/>
      <c r="G42" s="153">
        <f t="shared" si="0"/>
        <v>0</v>
      </c>
      <c r="H42" s="153">
        <f>Mon!V42</f>
        <v>3</v>
      </c>
      <c r="I42" s="153">
        <f>Tue!V42</f>
        <v>3</v>
      </c>
      <c r="J42" s="153">
        <f>Wed!V42</f>
        <v>3</v>
      </c>
      <c r="K42" s="153">
        <f>Thur!V42</f>
        <v>3</v>
      </c>
      <c r="L42" s="128">
        <f>Fri!V42</f>
        <v>3</v>
      </c>
      <c r="M42" s="153">
        <f>Sat!V42</f>
        <v>3</v>
      </c>
      <c r="N42" s="16" t="b">
        <f t="shared" si="1"/>
        <v>1</v>
      </c>
      <c r="O42" s="129">
        <f>SUM(COUNTIF(Mon!$M$5:N70,Reports!A42),COUNTIF(Tue!$M$5:N70,Reports!A42),COUNTIF(Wed!$M$4:N70,Reports!A42),COUNTIF(Wed!$L$21:$L$33,Reports!A42),COUNTIF(Thur!$M$5:N70,Reports!A42),COUNTIF(Fri!$M$5:N70,Reports!A42),COUNTIF(Sat!$I$4:L70,Reports!A42))</f>
        <v>4</v>
      </c>
      <c r="Q42" s="15" t="s">
        <v>440</v>
      </c>
      <c r="R42" s="288">
        <f>COUNTIF(ITT!42:42,Q42)</f>
        <v>3</v>
      </c>
      <c r="S42" s="15" t="s">
        <v>441</v>
      </c>
      <c r="T42" s="288">
        <f>COUNTIF(ITT!42:42,S42)</f>
        <v>3</v>
      </c>
      <c r="U42" s="15" t="s">
        <v>442</v>
      </c>
      <c r="V42" s="288">
        <f>COUNTIF(ITT!42:42,U42)</f>
        <v>3</v>
      </c>
      <c r="W42" s="15" t="s">
        <v>443</v>
      </c>
      <c r="X42" s="288">
        <f>COUNTIF(ITT!42:42,W42)</f>
        <v>3</v>
      </c>
      <c r="Y42" s="15" t="s">
        <v>444</v>
      </c>
      <c r="Z42" s="291">
        <f>COUNTIF(ITT!42:42,Y42)</f>
        <v>3</v>
      </c>
      <c r="AA42" s="15" t="s">
        <v>445</v>
      </c>
      <c r="AB42" s="291">
        <f>COUNTIF(ITT!42:42,Reports!AA42)</f>
        <v>3</v>
      </c>
      <c r="AC42" s="15"/>
      <c r="AD42" s="294"/>
    </row>
    <row r="43" spans="1:30" s="158" customFormat="1" ht="15" customHeight="1" x14ac:dyDescent="0.35">
      <c r="A43" s="267" t="str">
        <f>Mon!U43</f>
        <v>(SRN)</v>
      </c>
      <c r="B43" s="153">
        <v>18</v>
      </c>
      <c r="C43" s="155">
        <f>Sat!W43</f>
        <v>19</v>
      </c>
      <c r="D43" s="155">
        <f>SUM(COUNTIF(Mon!$P$11:$P$23,Reports!A43),COUNTIF(Tue!$P$11:$P$23,Reports!A43),COUNTIF(Wed!$P$11:$P$23,Reports!A43),COUNTIF(Thur!$P$11:$P$23,Reports!A43),COUNTIF(Fri!$P$11:$P$23,Reports!A43),COUNTIF(Sat!$P$11:$P$23,Reports!A43))</f>
        <v>0</v>
      </c>
      <c r="E43" s="155">
        <f>SUM(COUNTIF(Mon!$P$5:$P$9,Reports!A43),COUNTIF(Tue!$P$5:$P$9,Reports!A43),COUNTIF(Wed!$P$5:$P$9,Reports!A43),COUNTIF(Thur!$P$5:$P$9,Reports!A43),COUNTIF(Fri!$P$5:$P$9,Reports!A43),COUNTIF(Sat!$P$5:$P$9,Reports!A43))</f>
        <v>0</v>
      </c>
      <c r="F43" s="155"/>
      <c r="G43" s="153">
        <f t="shared" si="0"/>
        <v>-1</v>
      </c>
      <c r="H43" s="155">
        <f>Mon!V43</f>
        <v>4</v>
      </c>
      <c r="I43" s="155">
        <f>Tue!V43</f>
        <v>3</v>
      </c>
      <c r="J43" s="155">
        <f>Wed!V43</f>
        <v>3</v>
      </c>
      <c r="K43" s="155">
        <f>Thur!V43</f>
        <v>3</v>
      </c>
      <c r="L43" s="156">
        <f>Fri!V43</f>
        <v>3</v>
      </c>
      <c r="M43" s="155">
        <f>Sat!V43</f>
        <v>3</v>
      </c>
      <c r="N43" s="157" t="b">
        <f t="shared" si="1"/>
        <v>1</v>
      </c>
      <c r="O43" s="129">
        <f>SUM(COUNTIF(Mon!$M$5:N70,Reports!A43),COUNTIF(Tue!$M$5:N70,Reports!A43),COUNTIF(Wed!$M$4:N70,Reports!A43),COUNTIF(Wed!$L$21:$L$33,Reports!A43),COUNTIF(Thur!$M$5:N70,Reports!A43),COUNTIF(Fri!$M$5:N70,Reports!A43),COUNTIF(Sat!$I$4:L70,Reports!A43))</f>
        <v>4</v>
      </c>
      <c r="Q43" s="15" t="s">
        <v>446</v>
      </c>
      <c r="R43" s="289">
        <f>COUNTIF(ITT!43:43,Q43)</f>
        <v>5</v>
      </c>
      <c r="S43" s="15" t="s">
        <v>447</v>
      </c>
      <c r="T43" s="289">
        <f>COUNTIF(ITT!43:43,S43)</f>
        <v>3</v>
      </c>
      <c r="U43" s="15" t="s">
        <v>448</v>
      </c>
      <c r="V43" s="289">
        <f>COUNTIF(ITT!43:43,U43)</f>
        <v>4</v>
      </c>
      <c r="W43" s="15" t="s">
        <v>449</v>
      </c>
      <c r="X43" s="288">
        <f>COUNTIF(ITT!43:43,W43)</f>
        <v>3</v>
      </c>
      <c r="Y43" s="15" t="s">
        <v>450</v>
      </c>
      <c r="Z43" s="289">
        <f>COUNTIF(ITT!43:43,Y43)</f>
        <v>4</v>
      </c>
      <c r="AA43" s="15"/>
      <c r="AB43" s="288"/>
      <c r="AC43" s="15"/>
      <c r="AD43" s="292"/>
    </row>
    <row r="44" spans="1:30" ht="15" customHeight="1" x14ac:dyDescent="0.35">
      <c r="A44" s="266" t="str">
        <f>Mon!U44</f>
        <v>(SRS)</v>
      </c>
      <c r="B44" s="153">
        <v>18</v>
      </c>
      <c r="C44" s="153">
        <f>Sat!W44</f>
        <v>18</v>
      </c>
      <c r="D44" s="153">
        <f>SUM(COUNTIF(Mon!$P$11:$P$23,Reports!A44),COUNTIF(Tue!$P$11:$P$23,Reports!A44),COUNTIF(Wed!$P$11:$P$23,Reports!A44),COUNTIF(Thur!$P$11:$P$23,Reports!A44),COUNTIF(Fri!$P$11:$P$23,Reports!A44),COUNTIF(Sat!$P$11:$P$23,Reports!A44))</f>
        <v>0</v>
      </c>
      <c r="E44" s="153">
        <f>SUM(COUNTIF(Mon!$P$5:$P$9,Reports!A44),COUNTIF(Tue!$P$5:$P$9,Reports!A44),COUNTIF(Wed!$P$5:$P$9,Reports!A44),COUNTIF(Thur!$P$5:$P$9,Reports!A44),COUNTIF(Fri!$P$5:$P$9,Reports!A44),COUNTIF(Sat!$P$5:$P$9,Reports!A44))</f>
        <v>0</v>
      </c>
      <c r="F44" s="153"/>
      <c r="G44" s="153">
        <f t="shared" si="0"/>
        <v>0</v>
      </c>
      <c r="H44" s="153">
        <f>Mon!V44</f>
        <v>3</v>
      </c>
      <c r="I44" s="153">
        <f>Tue!V44</f>
        <v>3</v>
      </c>
      <c r="J44" s="153">
        <f>Wed!V44</f>
        <v>4</v>
      </c>
      <c r="K44" s="153">
        <f>Thur!V44</f>
        <v>3</v>
      </c>
      <c r="L44" s="128">
        <f>Fri!V44</f>
        <v>3</v>
      </c>
      <c r="M44" s="153">
        <f>Sat!V44</f>
        <v>2</v>
      </c>
      <c r="N44" s="16" t="b">
        <f t="shared" si="1"/>
        <v>1</v>
      </c>
      <c r="O44" s="129">
        <f>SUM(COUNTIF(Mon!$M$5:N70,Reports!A44),COUNTIF(Tue!$M$5:N70,Reports!A44),COUNTIF(Wed!$M$4:N70,Reports!A44),COUNTIF(Wed!$L$21:$L$33,Reports!A44),COUNTIF(Thur!$M$5:N70,Reports!A44),COUNTIF(Fri!$M$5:N70,Reports!A44),COUNTIF(Sat!$I$4:L70,Reports!A44))</f>
        <v>5</v>
      </c>
      <c r="Q44" s="15" t="s">
        <v>451</v>
      </c>
      <c r="R44" s="288">
        <f>COUNTIF(ITT!44:44,Q44)</f>
        <v>3</v>
      </c>
      <c r="S44" s="15" t="s">
        <v>452</v>
      </c>
      <c r="T44" s="288">
        <f>COUNTIF(ITT!44:44,S44)</f>
        <v>3</v>
      </c>
      <c r="U44" s="15" t="s">
        <v>453</v>
      </c>
      <c r="V44" s="288">
        <f>COUNTIF(ITT!44:44,U44)</f>
        <v>3</v>
      </c>
      <c r="W44" s="15" t="s">
        <v>454</v>
      </c>
      <c r="X44" s="288">
        <f>COUNTIF(ITT!44:44,W44)</f>
        <v>3</v>
      </c>
      <c r="Y44" s="15" t="s">
        <v>455</v>
      </c>
      <c r="Z44" s="291">
        <f>COUNTIF(ITT!44:44,Y44)</f>
        <v>3</v>
      </c>
      <c r="AA44" s="15" t="s">
        <v>456</v>
      </c>
      <c r="AB44" s="291">
        <f>COUNTIF(ITT!44:44,Reports!AA44)</f>
        <v>3</v>
      </c>
      <c r="AC44" s="15"/>
      <c r="AD44" s="294"/>
    </row>
    <row r="45" spans="1:30" s="158" customFormat="1" ht="15" customHeight="1" x14ac:dyDescent="0.35">
      <c r="A45" s="267" t="str">
        <f>Mon!U45</f>
        <v>(SUH)</v>
      </c>
      <c r="B45" s="153">
        <v>18</v>
      </c>
      <c r="C45" s="155">
        <f>Sat!W45</f>
        <v>18</v>
      </c>
      <c r="D45" s="155">
        <f>SUM(COUNTIF(Mon!$P$11:$P$23,Reports!A45),COUNTIF(Tue!$P$11:$P$23,Reports!A45),COUNTIF(Wed!$P$11:$P$23,Reports!A45),COUNTIF(Thur!$P$11:$P$23,Reports!A45),COUNTIF(Fri!$P$11:$P$23,Reports!A45),COUNTIF(Sat!$P$11:$P$23,Reports!A45))</f>
        <v>0</v>
      </c>
      <c r="E45" s="155">
        <f>SUM(COUNTIF(Mon!$P$5:$P$9,Reports!A45),COUNTIF(Tue!$P$5:$P$9,Reports!A45),COUNTIF(Wed!$P$5:$P$9,Reports!A45),COUNTIF(Thur!$P$5:$P$9,Reports!A45),COUNTIF(Fri!$P$5:$P$9,Reports!A45),COUNTIF(Sat!$P$5:$P$9,Reports!A45))</f>
        <v>0</v>
      </c>
      <c r="F45" s="155"/>
      <c r="G45" s="153">
        <f t="shared" si="0"/>
        <v>0</v>
      </c>
      <c r="H45" s="155">
        <f>Mon!V45</f>
        <v>4</v>
      </c>
      <c r="I45" s="155">
        <f>Tue!V45</f>
        <v>3</v>
      </c>
      <c r="J45" s="155">
        <f>Wed!V45</f>
        <v>3</v>
      </c>
      <c r="K45" s="155">
        <f>Thur!V45</f>
        <v>2</v>
      </c>
      <c r="L45" s="156">
        <f>Fri!V45</f>
        <v>3</v>
      </c>
      <c r="M45" s="155">
        <f>Sat!V45</f>
        <v>3</v>
      </c>
      <c r="N45" s="157" t="b">
        <f t="shared" si="1"/>
        <v>0</v>
      </c>
      <c r="O45" s="129">
        <f>SUM(COUNTIF(Mon!$M$5:N70,Reports!A45),COUNTIF(Tue!$M$5:N70,Reports!A45),COUNTIF(Wed!$M$4:N70,Reports!A45),COUNTIF(Wed!$L$21:$L$33,Reports!A45),COUNTIF(Thur!$M$5:N70,Reports!A45),COUNTIF(Fri!$M$5:N70,Reports!A45),COUNTIF(Sat!$I$4:L70,Reports!A45))</f>
        <v>4</v>
      </c>
      <c r="Q45" s="15" t="s">
        <v>457</v>
      </c>
      <c r="R45" s="289">
        <f>COUNTIF(ITT!45:45,Q45)</f>
        <v>1</v>
      </c>
      <c r="S45" s="15" t="s">
        <v>458</v>
      </c>
      <c r="T45" s="289">
        <f>COUNTIF(ITT!45:45,S45)</f>
        <v>3</v>
      </c>
      <c r="U45" s="15" t="s">
        <v>459</v>
      </c>
      <c r="V45" s="288">
        <f>COUNTIF(ITT!45:45,U45)</f>
        <v>3</v>
      </c>
      <c r="W45" s="15" t="s">
        <v>460</v>
      </c>
      <c r="X45" s="288">
        <f>COUNTIF(ITT!45:45,W45)</f>
        <v>3</v>
      </c>
      <c r="Y45" s="15"/>
      <c r="Z45" s="292"/>
      <c r="AA45" s="15"/>
      <c r="AB45" s="288"/>
      <c r="AC45" s="15"/>
      <c r="AD45" s="292"/>
    </row>
    <row r="46" spans="1:30" ht="15" customHeight="1" x14ac:dyDescent="0.35">
      <c r="A46" s="266" t="str">
        <f>Mon!U46</f>
        <v>(SUN)</v>
      </c>
      <c r="B46" s="153">
        <v>13</v>
      </c>
      <c r="C46" s="153">
        <f>Sat!W46</f>
        <v>13</v>
      </c>
      <c r="D46" s="153">
        <f>SUM(COUNTIF(Mon!$P$11:$P$23,Reports!A46),COUNTIF(Tue!$P$11:$P$23,Reports!A46),COUNTIF(Wed!$P$11:$P$23,Reports!A46),COUNTIF(Thur!$P$11:$P$23,Reports!A46),COUNTIF(Fri!$P$11:$P$23,Reports!A46),COUNTIF(Sat!$P$11:$P$23,Reports!A46))</f>
        <v>0</v>
      </c>
      <c r="E46" s="153">
        <f>SUM(COUNTIF(Mon!$P$5:$P$9,Reports!A46),COUNTIF(Tue!$P$5:$P$9,Reports!A46),COUNTIF(Wed!$P$5:$P$9,Reports!A46),COUNTIF(Thur!$P$5:$P$9,Reports!A46),COUNTIF(Fri!$P$5:$P$9,Reports!A46),COUNTIF(Sat!$P$5:$P$9,Reports!A46))</f>
        <v>0</v>
      </c>
      <c r="F46" s="153"/>
      <c r="G46" s="153">
        <f t="shared" si="0"/>
        <v>0</v>
      </c>
      <c r="H46" s="153">
        <f>Mon!V46</f>
        <v>3</v>
      </c>
      <c r="I46" s="153">
        <f>Tue!V46</f>
        <v>2</v>
      </c>
      <c r="J46" s="153">
        <f>Wed!V46</f>
        <v>2</v>
      </c>
      <c r="K46" s="153">
        <f>Thur!V46</f>
        <v>3</v>
      </c>
      <c r="L46" s="128">
        <f>Fri!V46</f>
        <v>2</v>
      </c>
      <c r="M46" s="153">
        <f>Sat!V46</f>
        <v>1</v>
      </c>
      <c r="N46" s="16" t="b">
        <f t="shared" si="1"/>
        <v>0</v>
      </c>
      <c r="O46" s="129">
        <f>SUM(COUNTIF(Mon!$M$5:N70,Reports!A46),COUNTIF(Tue!$M$5:N70,Reports!A46),COUNTIF(Wed!$M$4:N70,Reports!A46),COUNTIF(Wed!$L$21:$L$33,Reports!A46),COUNTIF(Thur!$M$5:N70,Reports!A46),COUNTIF(Fri!$M$5:N70,Reports!A46),COUNTIF(Sat!$I$4:L70,Reports!A46))</f>
        <v>3</v>
      </c>
      <c r="Q46" s="15" t="s">
        <v>461</v>
      </c>
      <c r="R46" s="288">
        <f>COUNTIF(ITT!46:46,Q46)</f>
        <v>3</v>
      </c>
      <c r="S46" s="15" t="s">
        <v>462</v>
      </c>
      <c r="T46" s="288">
        <f>COUNTIF(ITT!46:46,S46)</f>
        <v>3</v>
      </c>
      <c r="U46" s="15" t="s">
        <v>463</v>
      </c>
      <c r="V46" s="288">
        <f>COUNTIF(ITT!46:46,U46)</f>
        <v>3</v>
      </c>
      <c r="W46" s="15" t="s">
        <v>464</v>
      </c>
      <c r="X46" s="288">
        <f>COUNTIF(ITT!46:46,W46)</f>
        <v>3</v>
      </c>
      <c r="Y46" s="15"/>
      <c r="Z46" s="292"/>
      <c r="AA46" s="15"/>
      <c r="AB46" s="288"/>
      <c r="AC46" s="15"/>
      <c r="AD46" s="294"/>
    </row>
    <row r="47" spans="1:30" s="158" customFormat="1" ht="15" customHeight="1" x14ac:dyDescent="0.35">
      <c r="A47" s="267" t="str">
        <f>Mon!U47</f>
        <v>(SUP)</v>
      </c>
      <c r="B47" s="153">
        <v>17</v>
      </c>
      <c r="C47" s="155">
        <f>Sat!W47</f>
        <v>17</v>
      </c>
      <c r="D47" s="155">
        <f>SUM(COUNTIF(Mon!$P$11:$P$23,Reports!A47),COUNTIF(Tue!$P$11:$P$23,Reports!A47),COUNTIF(Wed!$P$11:$P$23,Reports!A47),COUNTIF(Thur!$P$11:$P$23,Reports!A47),COUNTIF(Fri!$P$11:$P$23,Reports!A47),COUNTIF(Sat!$P$11:$P$23,Reports!A47))</f>
        <v>0</v>
      </c>
      <c r="E47" s="155">
        <f>SUM(COUNTIF(Mon!$P$5:$P$9,Reports!A47),COUNTIF(Tue!$P$5:$P$9,Reports!A47),COUNTIF(Wed!$P$5:$P$9,Reports!A47),COUNTIF(Thur!$P$5:$P$9,Reports!A47),COUNTIF(Fri!$P$5:$P$9,Reports!A47),COUNTIF(Sat!$P$5:$P$9,Reports!A47))</f>
        <v>0</v>
      </c>
      <c r="F47" s="155"/>
      <c r="G47" s="153">
        <f t="shared" si="0"/>
        <v>0</v>
      </c>
      <c r="H47" s="155">
        <f>Mon!V47</f>
        <v>3</v>
      </c>
      <c r="I47" s="155">
        <f>Tue!V47</f>
        <v>3</v>
      </c>
      <c r="J47" s="155">
        <f>Wed!V47</f>
        <v>3</v>
      </c>
      <c r="K47" s="155">
        <f>Thur!V47</f>
        <v>2</v>
      </c>
      <c r="L47" s="156">
        <f>Fri!V47</f>
        <v>4</v>
      </c>
      <c r="M47" s="155">
        <f>Sat!V47</f>
        <v>2</v>
      </c>
      <c r="N47" s="157" t="b">
        <f t="shared" si="1"/>
        <v>1</v>
      </c>
      <c r="O47" s="129">
        <f>SUM(COUNTIF(Mon!$M$5:N70,Reports!A47),COUNTIF(Tue!$M$5:N70,Reports!A47),COUNTIF(Wed!$M$4:N70,Reports!A47),COUNTIF(Wed!$L$21:$L$33,Reports!A47),COUNTIF(Thur!$M$5:N70,Reports!A47),COUNTIF(Fri!$M$5:N70,Reports!A47),COUNTIF(Sat!$I$4:L70,Reports!A47))</f>
        <v>5</v>
      </c>
      <c r="Q47" s="15" t="s">
        <v>465</v>
      </c>
      <c r="R47" s="288">
        <f>COUNTIF(ITT!47:47,Q47)</f>
        <v>3</v>
      </c>
      <c r="S47" s="15" t="s">
        <v>466</v>
      </c>
      <c r="T47" s="288">
        <f>COUNTIF(ITT!47:47,S47)</f>
        <v>4</v>
      </c>
      <c r="U47" s="15" t="s">
        <v>467</v>
      </c>
      <c r="V47" s="288">
        <f>COUNTIF(ITT!47:47,U47)</f>
        <v>3</v>
      </c>
      <c r="W47" s="15" t="s">
        <v>468</v>
      </c>
      <c r="X47" s="288">
        <f>COUNTIF(ITT!47:47,W47)</f>
        <v>3</v>
      </c>
      <c r="Y47" s="15" t="s">
        <v>469</v>
      </c>
      <c r="Z47" s="289">
        <f>COUNTIF(ITT!47:47,Y47)</f>
        <v>4</v>
      </c>
      <c r="AA47" s="15"/>
      <c r="AB47" s="288"/>
      <c r="AC47" s="15"/>
      <c r="AD47" s="292"/>
    </row>
    <row r="48" spans="1:30" ht="15" customHeight="1" x14ac:dyDescent="0.35">
      <c r="A48" s="266" t="str">
        <f>Mon!U48</f>
        <v>(SV)</v>
      </c>
      <c r="B48" s="153">
        <v>12</v>
      </c>
      <c r="C48" s="153">
        <f>Sat!W48</f>
        <v>12</v>
      </c>
      <c r="D48" s="153">
        <f>SUM(COUNTIF(Mon!$P$11:$P$23,Reports!A48),COUNTIF(Tue!$P$11:$P$23,Reports!A48),COUNTIF(Wed!$P$11:$P$23,Reports!A48),COUNTIF(Thur!$P$11:$P$23,Reports!A48),COUNTIF(Fri!$P$11:$P$23,Reports!A48),COUNTIF(Sat!$P$11:$P$23,Reports!A48))</f>
        <v>0</v>
      </c>
      <c r="E48" s="153">
        <f>SUM(COUNTIF(Mon!$P$5:$P$9,Reports!A48),COUNTIF(Tue!$P$5:$P$9,Reports!A48),COUNTIF(Wed!$P$5:$P$9,Reports!A48),COUNTIF(Thur!$P$5:$P$9,Reports!A48),COUNTIF(Fri!$P$5:$P$9,Reports!A48),COUNTIF(Sat!$P$5:$P$9,Reports!A48))</f>
        <v>0</v>
      </c>
      <c r="F48" s="153"/>
      <c r="G48" s="153">
        <f t="shared" si="0"/>
        <v>0</v>
      </c>
      <c r="H48" s="153">
        <f>Mon!V48</f>
        <v>2</v>
      </c>
      <c r="I48" s="153">
        <f>Tue!V48</f>
        <v>2</v>
      </c>
      <c r="J48" s="153">
        <f>Wed!V48</f>
        <v>3</v>
      </c>
      <c r="K48" s="153">
        <f>Thur!V48</f>
        <v>1</v>
      </c>
      <c r="L48" s="128">
        <f>Fri!V48</f>
        <v>3</v>
      </c>
      <c r="M48" s="153">
        <f>Sat!V48</f>
        <v>1</v>
      </c>
      <c r="N48" s="16" t="b">
        <f t="shared" si="1"/>
        <v>0</v>
      </c>
      <c r="O48" s="129">
        <f>SUM(COUNTIF(Mon!$M$5:N70,Reports!A48),COUNTIF(Tue!$M$5:N70,Reports!A48),COUNTIF(Wed!$M$4:N70,Reports!A48),COUNTIF(Wed!$L$21:$L$33,Reports!A48),COUNTIF(Thur!$M$5:N70,Reports!A48),COUNTIF(Fri!$M$5:N70,Reports!A48),COUNTIF(Sat!$I$4:L70,Reports!A48))</f>
        <v>6</v>
      </c>
      <c r="Q48" s="15" t="s">
        <v>470</v>
      </c>
      <c r="R48" s="289">
        <f>COUNTIF(ITT!48:48,Q48)</f>
        <v>3</v>
      </c>
      <c r="S48" s="15" t="s">
        <v>471</v>
      </c>
      <c r="T48" s="289">
        <f>COUNTIF(ITT!48:48,S48)</f>
        <v>3</v>
      </c>
      <c r="U48" s="15" t="s">
        <v>472</v>
      </c>
      <c r="V48" s="288">
        <f>COUNTIF(ITT!48:48,U48)</f>
        <v>3</v>
      </c>
      <c r="W48" s="15" t="s">
        <v>473</v>
      </c>
      <c r="X48" s="288">
        <f>COUNTIF(ITT!48:48,W48)</f>
        <v>2</v>
      </c>
      <c r="Y48" s="15"/>
      <c r="Z48" s="292"/>
      <c r="AA48" s="15"/>
      <c r="AB48" s="288"/>
      <c r="AC48" s="15"/>
      <c r="AD48" s="294"/>
    </row>
    <row r="49" spans="1:30" s="158" customFormat="1" ht="15" customHeight="1" x14ac:dyDescent="0.35">
      <c r="A49" s="267" t="str">
        <f>Mon!U49</f>
        <v>(SW)</v>
      </c>
      <c r="B49" s="153">
        <v>19</v>
      </c>
      <c r="C49" s="155">
        <f>Sat!W49</f>
        <v>19</v>
      </c>
      <c r="D49" s="155">
        <f>SUM(COUNTIF(Mon!$P$11:$P$23,Reports!A49),COUNTIF(Tue!$P$11:$P$23,Reports!A49),COUNTIF(Wed!$P$11:$P$23,Reports!A49),COUNTIF(Thur!$P$11:$P$23,Reports!A49),COUNTIF(Fri!$P$11:$P$23,Reports!A49),COUNTIF(Sat!$P$11:$P$23,Reports!A49))</f>
        <v>0</v>
      </c>
      <c r="E49" s="155">
        <f>SUM(COUNTIF(Mon!$P$5:$P$9,Reports!A49),COUNTIF(Tue!$P$5:$P$9,Reports!A49),COUNTIF(Wed!$P$5:$P$9,Reports!A49),COUNTIF(Thur!$P$5:$P$9,Reports!A49),COUNTIF(Fri!$P$5:$P$9,Reports!A49),COUNTIF(Sat!$P$5:$P$9,Reports!A49))</f>
        <v>0</v>
      </c>
      <c r="F49" s="155"/>
      <c r="G49" s="153">
        <f t="shared" si="0"/>
        <v>0</v>
      </c>
      <c r="H49" s="155">
        <f>Mon!V49</f>
        <v>4</v>
      </c>
      <c r="I49" s="155">
        <f>Tue!V49</f>
        <v>3</v>
      </c>
      <c r="J49" s="155">
        <f>Wed!V49</f>
        <v>3</v>
      </c>
      <c r="K49" s="155">
        <f>Thur!V49</f>
        <v>3</v>
      </c>
      <c r="L49" s="156">
        <f>Fri!V49</f>
        <v>3</v>
      </c>
      <c r="M49" s="155">
        <f>Sat!V49</f>
        <v>3</v>
      </c>
      <c r="N49" s="157" t="b">
        <f t="shared" si="1"/>
        <v>1</v>
      </c>
      <c r="O49" s="129">
        <f>SUM(COUNTIF(Mon!$M$5:N70,Reports!A49),COUNTIF(Tue!$M$5:N70,Reports!A49),COUNTIF(Wed!$M$4:N70,Reports!A49),COUNTIF(Wed!$L$21:$L$33,Reports!A49),COUNTIF(Thur!$M$5:N70,Reports!A49),COUNTIF(Fri!$M$5:N70,Reports!A49),COUNTIF(Sat!$I$4:L70,Reports!A49))</f>
        <v>5</v>
      </c>
      <c r="Q49" s="15" t="s">
        <v>474</v>
      </c>
      <c r="R49" s="289">
        <f>COUNTIF(ITT!49:49,Q49)</f>
        <v>3</v>
      </c>
      <c r="S49" s="15" t="s">
        <v>475</v>
      </c>
      <c r="T49" s="289">
        <f>COUNTIF(ITT!49:49,S49)</f>
        <v>4</v>
      </c>
      <c r="U49" s="15" t="s">
        <v>476</v>
      </c>
      <c r="V49" s="288">
        <f>COUNTIF(ITT!49:49,U49)</f>
        <v>4</v>
      </c>
      <c r="W49" s="15" t="s">
        <v>477</v>
      </c>
      <c r="X49" s="289">
        <f>COUNTIF(ITT!49:49,W49)</f>
        <v>4</v>
      </c>
      <c r="Y49" s="15" t="s">
        <v>478</v>
      </c>
      <c r="Z49" s="289">
        <f>COUNTIF(ITT!49:49,Y49)</f>
        <v>4</v>
      </c>
      <c r="AA49" s="15"/>
      <c r="AB49" s="288"/>
      <c r="AC49" s="15"/>
      <c r="AD49" s="292"/>
    </row>
    <row r="50" spans="1:30" ht="15" customHeight="1" x14ac:dyDescent="0.35">
      <c r="A50" s="266" t="str">
        <f>Mon!U50</f>
        <v>(TK)</v>
      </c>
      <c r="B50" s="153">
        <v>16</v>
      </c>
      <c r="C50" s="153">
        <f>Sat!W50</f>
        <v>16</v>
      </c>
      <c r="D50" s="153">
        <f>SUM(COUNTIF(Mon!$P$11:$P$23,Reports!A50),COUNTIF(Tue!$P$11:$P$23,Reports!A50),COUNTIF(Wed!$P$11:$P$23,Reports!A50),COUNTIF(Thur!$P$11:$P$23,Reports!A50),COUNTIF(Fri!$P$11:$P$23,Reports!A50),COUNTIF(Sat!$P$11:$P$23,Reports!A50))</f>
        <v>0</v>
      </c>
      <c r="E50" s="153">
        <f>SUM(COUNTIF(Mon!$P$5:$P$9,Reports!A50),COUNTIF(Tue!$P$5:$P$9,Reports!A50),COUNTIF(Wed!$P$5:$P$9,Reports!A50),COUNTIF(Thur!$P$5:$P$9,Reports!A50),COUNTIF(Fri!$P$5:$P$9,Reports!A50),COUNTIF(Sat!$P$5:$P$9,Reports!A50))</f>
        <v>0</v>
      </c>
      <c r="F50" s="153"/>
      <c r="G50" s="153">
        <f t="shared" si="0"/>
        <v>0</v>
      </c>
      <c r="H50" s="153">
        <f>Mon!V50</f>
        <v>2</v>
      </c>
      <c r="I50" s="153">
        <f>Tue!V50</f>
        <v>3</v>
      </c>
      <c r="J50" s="153">
        <f>Wed!V50</f>
        <v>3</v>
      </c>
      <c r="K50" s="153">
        <f>Thur!V50</f>
        <v>3</v>
      </c>
      <c r="L50" s="128">
        <f>Fri!V50</f>
        <v>3</v>
      </c>
      <c r="M50" s="153">
        <f>Sat!V50</f>
        <v>2</v>
      </c>
      <c r="N50" s="16" t="b">
        <f t="shared" si="1"/>
        <v>0</v>
      </c>
      <c r="O50" s="129">
        <f>SUM(COUNTIF(Mon!$M$5:N70,Reports!A50),COUNTIF(Tue!$M$5:N70,Reports!A50),COUNTIF(Wed!$M$4:N70,Reports!A50),COUNTIF(Wed!$L$21:$L$33,Reports!A50),COUNTIF(Thur!$M$5:N70,Reports!A50),COUNTIF(Fri!$M$5:N70,Reports!A50),COUNTIF(Sat!$I$4:L70,Reports!A50))</f>
        <v>4</v>
      </c>
      <c r="Q50" s="15" t="s">
        <v>479</v>
      </c>
      <c r="R50" s="289">
        <f>COUNTIF(ITT!50:50,Q50)</f>
        <v>4</v>
      </c>
      <c r="S50" s="15" t="s">
        <v>480</v>
      </c>
      <c r="T50" s="289">
        <f>COUNTIF(ITT!50:50,S50)</f>
        <v>4</v>
      </c>
      <c r="U50" s="15" t="s">
        <v>481</v>
      </c>
      <c r="V50" s="288">
        <f>COUNTIF(ITT!50:50,U50)</f>
        <v>3</v>
      </c>
      <c r="W50" s="15" t="s">
        <v>482</v>
      </c>
      <c r="X50" s="289">
        <f>COUNTIF(ITT!50:50,W50)</f>
        <v>4</v>
      </c>
      <c r="Y50" s="15"/>
      <c r="Z50" s="292"/>
      <c r="AA50" s="15"/>
      <c r="AB50" s="288"/>
      <c r="AC50" s="15"/>
      <c r="AD50" s="296"/>
    </row>
    <row r="51" spans="1:30" s="158" customFormat="1" ht="15" customHeight="1" x14ac:dyDescent="0.35">
      <c r="A51" s="267" t="str">
        <f>Mon!U51</f>
        <v>(UK)</v>
      </c>
      <c r="B51" s="153">
        <v>13</v>
      </c>
      <c r="C51" s="155">
        <f>Sat!W51</f>
        <v>13</v>
      </c>
      <c r="D51" s="155">
        <f>SUM(COUNTIF(Mon!$P$11:$P$23,Reports!A51),COUNTIF(Tue!$P$11:$P$23,Reports!A51),COUNTIF(Wed!$P$11:$P$23,Reports!A51),COUNTIF(Thur!$P$11:$P$23,Reports!A51),COUNTIF(Fri!$P$11:$P$23,Reports!A51),COUNTIF(Sat!$P$11:$P$23,Reports!A51))</f>
        <v>0</v>
      </c>
      <c r="E51" s="155">
        <f>SUM(COUNTIF(Mon!$P$5:$P$9,Reports!A51),COUNTIF(Tue!$P$5:$P$9,Reports!A51),COUNTIF(Wed!$P$5:$P$9,Reports!A51),COUNTIF(Thur!$P$5:$P$9,Reports!A51),COUNTIF(Fri!$P$5:$P$9,Reports!A51),COUNTIF(Sat!$P$5:$P$9,Reports!A51))</f>
        <v>0</v>
      </c>
      <c r="F51" s="155"/>
      <c r="G51" s="153">
        <f t="shared" si="0"/>
        <v>0</v>
      </c>
      <c r="H51" s="155">
        <f>Mon!V51</f>
        <v>2</v>
      </c>
      <c r="I51" s="155">
        <f>Tue!V51</f>
        <v>2</v>
      </c>
      <c r="J51" s="155">
        <f>Wed!V51</f>
        <v>2</v>
      </c>
      <c r="K51" s="155">
        <f>Thur!V51</f>
        <v>2</v>
      </c>
      <c r="L51" s="156">
        <f>Fri!V51</f>
        <v>3</v>
      </c>
      <c r="M51" s="155">
        <f>Sat!V51</f>
        <v>2</v>
      </c>
      <c r="N51" s="157" t="b">
        <f t="shared" si="1"/>
        <v>1</v>
      </c>
      <c r="O51" s="129">
        <f>SUM(COUNTIF(Mon!$M$5:N70,Reports!A51),COUNTIF(Tue!$M$5:N70,Reports!A51),COUNTIF(Wed!$M$4:N70,Reports!A51),COUNTIF(Wed!$L$21:$L$33,Reports!A51),COUNTIF(Thur!$M$5:N70,Reports!A51),COUNTIF(Fri!$M$5:N70,Reports!A51),COUNTIF(Sat!$I$4:L70,Reports!A51))</f>
        <v>3</v>
      </c>
      <c r="Q51" s="15" t="s">
        <v>483</v>
      </c>
      <c r="R51" s="289">
        <f>COUNTIF(ITT!51:51,Q51)</f>
        <v>4</v>
      </c>
      <c r="S51" s="15" t="s">
        <v>484</v>
      </c>
      <c r="T51" s="289">
        <f>COUNTIF(ITT!51:51,S51)</f>
        <v>4</v>
      </c>
      <c r="U51" s="15" t="s">
        <v>485</v>
      </c>
      <c r="V51" s="288">
        <f>COUNTIF(ITT!51:51,U51)</f>
        <v>4</v>
      </c>
      <c r="W51" s="15" t="s">
        <v>270</v>
      </c>
      <c r="X51" s="289">
        <f>COUNTIF(ITT!51:51,W51)</f>
        <v>1</v>
      </c>
      <c r="Y51" s="15"/>
      <c r="Z51" s="292"/>
      <c r="AA51" s="15"/>
      <c r="AB51" s="288"/>
      <c r="AC51" s="15"/>
      <c r="AD51" s="292"/>
    </row>
    <row r="52" spans="1:30" ht="15" customHeight="1" x14ac:dyDescent="0.35">
      <c r="A52" s="266" t="str">
        <f>Mon!U52</f>
        <v>(VA)</v>
      </c>
      <c r="B52" s="153">
        <v>18</v>
      </c>
      <c r="C52" s="153">
        <f>Sat!W52</f>
        <v>18</v>
      </c>
      <c r="D52" s="153">
        <f>SUM(COUNTIF(Mon!$P$11:$P$23,Reports!A52),COUNTIF(Tue!$P$11:$P$23,Reports!A52),COUNTIF(Wed!$P$11:$P$23,Reports!A52),COUNTIF(Thur!$P$11:$P$23,Reports!A52),COUNTIF(Fri!$P$11:$P$23,Reports!A52),COUNTIF(Sat!$P$11:$P$23,Reports!A52))</f>
        <v>0</v>
      </c>
      <c r="E52" s="153">
        <f>SUM(COUNTIF(Mon!$P$5:$P$9,Reports!A52),COUNTIF(Tue!$P$5:$P$9,Reports!A52),COUNTIF(Wed!$P$5:$P$9,Reports!A52),COUNTIF(Thur!$P$5:$P$9,Reports!A52),COUNTIF(Fri!$P$5:$P$9,Reports!A52),COUNTIF(Sat!$P$5:$P$9,Reports!A52))</f>
        <v>0</v>
      </c>
      <c r="F52" s="153"/>
      <c r="G52" s="153">
        <f t="shared" si="0"/>
        <v>0</v>
      </c>
      <c r="H52" s="153">
        <f>Mon!V52</f>
        <v>3</v>
      </c>
      <c r="I52" s="153">
        <f>Tue!V52</f>
        <v>4</v>
      </c>
      <c r="J52" s="153">
        <f>Wed!V52</f>
        <v>2</v>
      </c>
      <c r="K52" s="153">
        <f>Thur!V52</f>
        <v>3</v>
      </c>
      <c r="L52" s="128">
        <f>Fri!V52</f>
        <v>3</v>
      </c>
      <c r="M52" s="153">
        <f>Sat!V52</f>
        <v>3</v>
      </c>
      <c r="N52" s="16" t="b">
        <f t="shared" si="1"/>
        <v>1</v>
      </c>
      <c r="O52" s="129">
        <f>SUM(COUNTIF(Mon!$M$5:N70,Reports!A52),COUNTIF(Tue!$M$5:N70,Reports!A52),COUNTIF(Wed!$M$4:N70,Reports!A52),COUNTIF(Wed!$L$21:$L$33,Reports!A52),COUNTIF(Thur!$M$5:N70,Reports!A52),COUNTIF(Fri!$M$5:N70,Reports!A52),COUNTIF(Sat!$I$4:L70,Reports!A52))</f>
        <v>4</v>
      </c>
      <c r="Q52" s="15" t="s">
        <v>486</v>
      </c>
      <c r="R52" s="289">
        <f>COUNTIF(ITT!52:52,Q52)</f>
        <v>4</v>
      </c>
      <c r="S52" s="15" t="s">
        <v>487</v>
      </c>
      <c r="T52" s="289">
        <f>COUNTIF(ITT!52:52,S52)</f>
        <v>4</v>
      </c>
      <c r="U52" s="15" t="s">
        <v>488</v>
      </c>
      <c r="V52" s="288">
        <f>COUNTIF(ITT!52:52,U52)</f>
        <v>4</v>
      </c>
      <c r="W52" s="15" t="s">
        <v>489</v>
      </c>
      <c r="X52" s="289">
        <f>COUNTIF(ITT!52:52,W52)</f>
        <v>4</v>
      </c>
      <c r="Y52" s="15" t="s">
        <v>490</v>
      </c>
      <c r="Z52" s="289">
        <f>COUNTIF(ITT!52:52,Y52)</f>
        <v>2</v>
      </c>
      <c r="AA52" s="15"/>
      <c r="AB52" s="288"/>
      <c r="AC52" s="15"/>
      <c r="AD52" s="292"/>
    </row>
    <row r="53" spans="1:30" s="158" customFormat="1" ht="15" customHeight="1" x14ac:dyDescent="0.35">
      <c r="A53" s="267" t="str">
        <f>Mon!U53</f>
        <v>(VAR)</v>
      </c>
      <c r="B53" s="153">
        <v>18</v>
      </c>
      <c r="C53" s="155">
        <f>Sat!W53</f>
        <v>18</v>
      </c>
      <c r="D53" s="155">
        <f>SUM(COUNTIF(Mon!$P$11:$P$23,Reports!A53),COUNTIF(Tue!$P$11:$P$23,Reports!A53),COUNTIF(Wed!$P$11:$P$23,Reports!A53),COUNTIF(Thur!$P$11:$P$23,Reports!A53),COUNTIF(Fri!$P$11:$P$23,Reports!A53),COUNTIF(Sat!$P$11:$P$23,Reports!A53))</f>
        <v>0</v>
      </c>
      <c r="E53" s="155">
        <f>SUM(COUNTIF(Mon!$P$5:$P$9,Reports!A53),COUNTIF(Tue!$P$5:$P$9,Reports!A53),COUNTIF(Wed!$P$5:$P$9,Reports!A53),COUNTIF(Thur!$P$5:$P$9,Reports!A53),COUNTIF(Fri!$P$5:$P$9,Reports!A53),COUNTIF(Sat!$P$5:$P$9,Reports!A53))</f>
        <v>0</v>
      </c>
      <c r="F53" s="155"/>
      <c r="G53" s="153">
        <f t="shared" si="0"/>
        <v>0</v>
      </c>
      <c r="H53" s="155">
        <f>Mon!V53</f>
        <v>3</v>
      </c>
      <c r="I53" s="155">
        <f>Tue!V53</f>
        <v>3</v>
      </c>
      <c r="J53" s="155">
        <f>Wed!V53</f>
        <v>3</v>
      </c>
      <c r="K53" s="155">
        <f>Thur!V53</f>
        <v>3</v>
      </c>
      <c r="L53" s="156">
        <f>Fri!V53</f>
        <v>4</v>
      </c>
      <c r="M53" s="155">
        <f>Sat!V53</f>
        <v>2</v>
      </c>
      <c r="N53" s="157" t="b">
        <f t="shared" si="1"/>
        <v>1</v>
      </c>
      <c r="O53" s="129">
        <f>SUM(COUNTIF(Mon!$M$5:N70,Reports!A53),COUNTIF(Tue!$M$5:N70,Reports!A53),COUNTIF(Wed!$M$4:N70,Reports!A53),COUNTIF(Wed!$L$21:$L$33,Reports!A53),COUNTIF(Thur!$M$5:N70,Reports!A53),COUNTIF(Fri!$M$5:N70,Reports!A53),COUNTIF(Sat!$I$4:L70,Reports!A53))</f>
        <v>5</v>
      </c>
      <c r="Q53" s="15" t="s">
        <v>491</v>
      </c>
      <c r="R53" s="288">
        <f>COUNTIF(ITT!53:53,Q53)</f>
        <v>3</v>
      </c>
      <c r="S53" s="15" t="s">
        <v>492</v>
      </c>
      <c r="T53" s="288">
        <f>COUNTIF(ITT!53:53,S53)</f>
        <v>3</v>
      </c>
      <c r="U53" s="15" t="s">
        <v>493</v>
      </c>
      <c r="V53" s="288">
        <f>COUNTIF(ITT!53:53,U53)</f>
        <v>3</v>
      </c>
      <c r="W53" s="15" t="s">
        <v>494</v>
      </c>
      <c r="X53" s="288">
        <f>COUNTIF(ITT!53:53,W53)</f>
        <v>3</v>
      </c>
      <c r="Y53" s="15" t="s">
        <v>495</v>
      </c>
      <c r="Z53" s="291">
        <f>COUNTIF(ITT!53:53,Y53)</f>
        <v>3</v>
      </c>
      <c r="AA53" s="15" t="s">
        <v>496</v>
      </c>
      <c r="AB53" s="291">
        <f>COUNTIF(ITT!53:53,Reports!AA53)</f>
        <v>3</v>
      </c>
      <c r="AC53" s="15"/>
      <c r="AD53" s="296"/>
    </row>
    <row r="54" spans="1:30" ht="15" customHeight="1" x14ac:dyDescent="0.35">
      <c r="A54" s="266" t="str">
        <f>Mon!U54</f>
        <v>(VIN)</v>
      </c>
      <c r="B54" s="153">
        <v>18</v>
      </c>
      <c r="C54" s="153">
        <f>Sat!W54</f>
        <v>18</v>
      </c>
      <c r="D54" s="153">
        <f>SUM(COUNTIF(Mon!$P$11:$P$23,Reports!A54),COUNTIF(Tue!$P$11:$P$23,Reports!A54),COUNTIF(Wed!$P$11:$P$23,Reports!A54),COUNTIF(Thur!$P$11:$P$23,Reports!A54),COUNTIF(Fri!$P$11:$P$23,Reports!A54),COUNTIF(Sat!$P$11:$P$23,Reports!A54))</f>
        <v>0</v>
      </c>
      <c r="E54" s="153">
        <f>SUM(COUNTIF(Mon!$P$5:$P$9,Reports!A54),COUNTIF(Tue!$P$5:$P$9,Reports!A54),COUNTIF(Wed!$P$5:$P$9,Reports!A54),COUNTIF(Thur!$P$5:$P$9,Reports!A54),COUNTIF(Fri!$P$5:$P$9,Reports!A54),COUNTIF(Sat!$P$5:$P$9,Reports!A54))</f>
        <v>0</v>
      </c>
      <c r="F54" s="153"/>
      <c r="G54" s="153">
        <f t="shared" si="0"/>
        <v>0</v>
      </c>
      <c r="H54" s="153">
        <f>Mon!V54</f>
        <v>3</v>
      </c>
      <c r="I54" s="153">
        <f>Tue!V54</f>
        <v>3</v>
      </c>
      <c r="J54" s="153">
        <f>Wed!V54</f>
        <v>4</v>
      </c>
      <c r="K54" s="153">
        <f>Thur!V54</f>
        <v>2</v>
      </c>
      <c r="L54" s="128">
        <f>Fri!V54</f>
        <v>4</v>
      </c>
      <c r="M54" s="153">
        <f>Sat!V54</f>
        <v>2</v>
      </c>
      <c r="N54" s="16" t="b">
        <f t="shared" si="1"/>
        <v>0</v>
      </c>
      <c r="O54" s="129">
        <f>SUM(COUNTIF(Mon!$M$5:N70,Reports!A54),COUNTIF(Tue!$M$5:N70,Reports!A54),COUNTIF(Wed!$M$4:N70,Reports!A54),COUNTIF(Wed!$L$21:$L$33,Reports!A54),COUNTIF(Thur!$M$5:N70,Reports!A54),COUNTIF(Fri!$M$5:N70,Reports!A54),COUNTIF(Sat!$I$4:L70,Reports!A54))</f>
        <v>6</v>
      </c>
      <c r="Q54" s="15" t="s">
        <v>497</v>
      </c>
      <c r="R54" s="288">
        <f>COUNTIF(ITT!54:54,Q54)</f>
        <v>4</v>
      </c>
      <c r="S54" s="15" t="s">
        <v>498</v>
      </c>
      <c r="T54" s="288">
        <f>COUNTIF(ITT!54:54,S54)</f>
        <v>3</v>
      </c>
      <c r="U54" s="15" t="s">
        <v>499</v>
      </c>
      <c r="V54" s="288">
        <f>COUNTIF(ITT!54:54,U54)</f>
        <v>4</v>
      </c>
      <c r="W54" s="15" t="s">
        <v>500</v>
      </c>
      <c r="X54" s="288">
        <f>COUNTIF(ITT!54:54,W54)</f>
        <v>4</v>
      </c>
      <c r="Y54" s="15" t="s">
        <v>501</v>
      </c>
      <c r="Z54" s="289">
        <f>COUNTIF(ITT!54:54,Y54)</f>
        <v>2</v>
      </c>
      <c r="AA54" s="15"/>
      <c r="AB54" s="288"/>
      <c r="AC54" s="15"/>
      <c r="AD54" s="296"/>
    </row>
    <row r="55" spans="1:30" s="158" customFormat="1" ht="15" customHeight="1" x14ac:dyDescent="0.35">
      <c r="A55" s="267" t="str">
        <f>Mon!U55</f>
        <v>(VRL)</v>
      </c>
      <c r="B55" s="153">
        <v>17</v>
      </c>
      <c r="C55" s="155">
        <f>Sat!W55</f>
        <v>17</v>
      </c>
      <c r="D55" s="155">
        <f>SUM(COUNTIF(Mon!$P$11:$P$23,Reports!A55),COUNTIF(Tue!$P$11:$P$23,Reports!A55),COUNTIF(Wed!$P$11:$P$23,Reports!A55),COUNTIF(Thur!$P$11:$P$23,Reports!A55),COUNTIF(Fri!$P$11:$P$23,Reports!A55),COUNTIF(Sat!$P$11:$P$23,Reports!A55))</f>
        <v>0</v>
      </c>
      <c r="E55" s="155">
        <f>SUM(COUNTIF(Mon!$P$5:$P$9,Reports!A55),COUNTIF(Tue!$P$5:$P$9,Reports!A55),COUNTIF(Wed!$P$5:$P$9,Reports!A55),COUNTIF(Thur!$P$5:$P$9,Reports!A55),COUNTIF(Fri!$P$5:$P$9,Reports!A55),COUNTIF(Sat!$P$5:$P$9,Reports!A55))</f>
        <v>0</v>
      </c>
      <c r="F55" s="155"/>
      <c r="G55" s="153">
        <f t="shared" si="0"/>
        <v>0</v>
      </c>
      <c r="H55" s="155">
        <f>Mon!V55</f>
        <v>3</v>
      </c>
      <c r="I55" s="155">
        <f>Tue!V55</f>
        <v>3</v>
      </c>
      <c r="J55" s="155">
        <f>Wed!V55</f>
        <v>4</v>
      </c>
      <c r="K55" s="155">
        <f>Thur!V55</f>
        <v>2</v>
      </c>
      <c r="L55" s="156">
        <f>Fri!V55</f>
        <v>3</v>
      </c>
      <c r="M55" s="155">
        <f>Sat!V55</f>
        <v>2</v>
      </c>
      <c r="N55" s="157" t="b">
        <f t="shared" si="1"/>
        <v>0</v>
      </c>
      <c r="O55" s="129">
        <f>SUM(COUNTIF(Mon!$M$5:N70,Reports!A55),COUNTIF(Tue!$M$5:N70,Reports!A55),COUNTIF(Wed!$M$4:N70,Reports!A55),COUNTIF(Wed!$L$21:$L$33,Reports!A55),COUNTIF(Thur!$M$5:N70,Reports!A55),COUNTIF(Fri!$M$5:N70,Reports!A55),COUNTIF(Sat!$I$4:L70,Reports!A55))</f>
        <v>7</v>
      </c>
      <c r="Q55" s="15" t="s">
        <v>502</v>
      </c>
      <c r="R55" s="288">
        <f>COUNTIF(ITT!55:55,Q55)</f>
        <v>4</v>
      </c>
      <c r="S55" s="15" t="s">
        <v>503</v>
      </c>
      <c r="T55" s="288">
        <f>COUNTIF(ITT!55:55,S55)</f>
        <v>3</v>
      </c>
      <c r="U55" s="15" t="s">
        <v>504</v>
      </c>
      <c r="V55" s="289">
        <f>COUNTIF(ITT!55:55,U55)</f>
        <v>4</v>
      </c>
      <c r="W55" s="15" t="s">
        <v>505</v>
      </c>
      <c r="X55" s="288">
        <f>COUNTIF(ITT!55:55,W55)</f>
        <v>3</v>
      </c>
      <c r="Y55" s="15"/>
      <c r="Z55" s="292"/>
      <c r="AA55" s="15"/>
      <c r="AB55" s="288"/>
      <c r="AC55" s="15"/>
      <c r="AD55" s="296"/>
    </row>
    <row r="56" spans="1:30" ht="15" customHeight="1" x14ac:dyDescent="0.35">
      <c r="A56" s="266" t="str">
        <f>Mon!U56</f>
        <v>(YL)</v>
      </c>
      <c r="B56" s="153">
        <v>18</v>
      </c>
      <c r="C56" s="153">
        <f>Sat!W56</f>
        <v>18</v>
      </c>
      <c r="D56" s="153">
        <f>SUM(COUNTIF(Mon!$P$11:$P$23,Reports!A56),COUNTIF(Tue!$P$11:$P$23,Reports!A56),COUNTIF(Wed!$P$11:$P$23,Reports!A56),COUNTIF(Thur!$P$11:$P$23,Reports!A56),COUNTIF(Fri!$P$11:$P$23,Reports!A56),COUNTIF(Sat!$P$11:$P$23,Reports!A56))</f>
        <v>0</v>
      </c>
      <c r="E56" s="153">
        <f>SUM(COUNTIF(Mon!$P$5:$P$9,Reports!A56),COUNTIF(Tue!$P$5:$P$9,Reports!A56),COUNTIF(Wed!$P$5:$P$9,Reports!A56),COUNTIF(Thur!$P$5:$P$9,Reports!A56),COUNTIF(Fri!$P$5:$P$9,Reports!A56),COUNTIF(Sat!$P$5:$P$9,Reports!A56))</f>
        <v>0</v>
      </c>
      <c r="F56" s="153"/>
      <c r="G56" s="153">
        <f t="shared" si="0"/>
        <v>0</v>
      </c>
      <c r="H56" s="153">
        <f>Mon!V56</f>
        <v>3</v>
      </c>
      <c r="I56" s="153">
        <f>Tue!V56</f>
        <v>3</v>
      </c>
      <c r="J56" s="153">
        <f>Wed!V56</f>
        <v>3</v>
      </c>
      <c r="K56" s="153">
        <f>Thur!V56</f>
        <v>4</v>
      </c>
      <c r="L56" s="128">
        <f>Fri!V56</f>
        <v>3</v>
      </c>
      <c r="M56" s="153">
        <f>Sat!V56</f>
        <v>2</v>
      </c>
      <c r="N56" s="16" t="b">
        <f t="shared" si="1"/>
        <v>0</v>
      </c>
      <c r="O56" s="129">
        <f>SUM(COUNTIF(Mon!$M$5:N70,Reports!A56),COUNTIF(Tue!$M$5:N70,Reports!A56),COUNTIF(Wed!$M$4:N70,Reports!A56),COUNTIF(Wed!$L$21:$L$33,Reports!A56),COUNTIF(Thur!$M$5:N70,Reports!A56),COUNTIF(Fri!$M$5:N70,Reports!A56),COUNTIF(Sat!$I$4:L70,Reports!A56))</f>
        <v>4</v>
      </c>
      <c r="Q56" s="15" t="s">
        <v>506</v>
      </c>
      <c r="R56" s="288">
        <f>COUNTIF(ITT!56:56,Q56)</f>
        <v>2</v>
      </c>
      <c r="S56" s="15" t="s">
        <v>507</v>
      </c>
      <c r="T56" s="288">
        <f>COUNTIF(ITT!56:56,S56)</f>
        <v>3</v>
      </c>
      <c r="U56" s="15" t="s">
        <v>508</v>
      </c>
      <c r="V56" s="288">
        <f>COUNTIF(ITT!56:56,U56)</f>
        <v>3</v>
      </c>
      <c r="W56" s="15" t="s">
        <v>509</v>
      </c>
      <c r="X56" s="288">
        <f>COUNTIF(ITT!56:56,W56)</f>
        <v>3</v>
      </c>
      <c r="Y56" s="15" t="s">
        <v>510</v>
      </c>
      <c r="Z56" s="288">
        <f>COUNTIF(ITT!56:56,Y56)</f>
        <v>3</v>
      </c>
      <c r="AA56" s="15" t="s">
        <v>511</v>
      </c>
      <c r="AB56" s="291">
        <f>COUNTIF(ITT!56:56,Reports!AA56)</f>
        <v>3</v>
      </c>
      <c r="AC56" s="15"/>
      <c r="AD56" s="296"/>
    </row>
    <row r="57" spans="1:30" s="158" customFormat="1" ht="15" customHeight="1" x14ac:dyDescent="0.35">
      <c r="A57" s="267" t="str">
        <f>Mon!U57</f>
        <v>(RR)</v>
      </c>
      <c r="B57" s="153">
        <v>18</v>
      </c>
      <c r="C57" s="153">
        <f>Sat!W57</f>
        <v>19</v>
      </c>
      <c r="D57" s="153">
        <f>SUM(COUNTIF(Mon!$P$11:$P$23,Reports!A57),COUNTIF(Tue!$P$11:$P$23,Reports!A57),COUNTIF(Wed!$P$11:$P$23,Reports!A57),COUNTIF(Thur!$P$11:$P$23,Reports!A57),COUNTIF(Fri!$P$11:$P$23,Reports!A57),COUNTIF(Sat!$P$11:$P$23,Reports!A57))</f>
        <v>0</v>
      </c>
      <c r="E57" s="153">
        <f>SUM(COUNTIF(Mon!$P$5:$P$9,Reports!A57),COUNTIF(Tue!$P$5:$P$9,Reports!A57),COUNTIF(Wed!$P$5:$P$9,Reports!A57),COUNTIF(Thur!$P$5:$P$9,Reports!A57),COUNTIF(Fri!$P$5:$P$9,Reports!A57),COUNTIF(Sat!$P$5:$P$9,Reports!A57))</f>
        <v>0</v>
      </c>
      <c r="F57" s="153"/>
      <c r="G57" s="153">
        <f t="shared" ref="G57:G58" si="2">B57-C57</f>
        <v>-1</v>
      </c>
      <c r="H57" s="153">
        <f>Mon!V57</f>
        <v>4</v>
      </c>
      <c r="I57" s="153">
        <f>Tue!V57</f>
        <v>3</v>
      </c>
      <c r="J57" s="153">
        <f>Wed!V57</f>
        <v>2</v>
      </c>
      <c r="K57" s="153">
        <f>Thur!V57</f>
        <v>3</v>
      </c>
      <c r="L57" s="128">
        <f>Fri!V57</f>
        <v>4</v>
      </c>
      <c r="M57" s="153">
        <f>Sat!V57</f>
        <v>3</v>
      </c>
      <c r="N57" s="16" t="b">
        <f t="shared" ref="N57" si="3">SUM(H57:M57)=SUM(Q57:AD57)</f>
        <v>0</v>
      </c>
      <c r="O57" s="129">
        <f>SUM(COUNTIF(Mon!$M$5:N71,Reports!A57),COUNTIF(Tue!$M$5:N71,Reports!A57),COUNTIF(Wed!$M$4:N71,Reports!A57),COUNTIF(Wed!$L$21:$L$33,Reports!A57),COUNTIF(Thur!$M$5:N71,Reports!A57),COUNTIF(Fri!$M$5:N71,Reports!A57),COUNTIF(Sat!$I$4:L71,Reports!A57))</f>
        <v>5</v>
      </c>
      <c r="Q57" s="15" t="s">
        <v>512</v>
      </c>
      <c r="R57" s="293">
        <f>COUNTIF(ITT!57:57,Q57)</f>
        <v>3</v>
      </c>
      <c r="S57" s="15" t="s">
        <v>513</v>
      </c>
      <c r="T57" s="293">
        <f>COUNTIF(ITT!57:57,S57)</f>
        <v>3</v>
      </c>
      <c r="U57" s="15" t="s">
        <v>514</v>
      </c>
      <c r="V57" s="293">
        <f>COUNTIF(ITT!57:57,U57)</f>
        <v>1</v>
      </c>
      <c r="W57" s="15" t="s">
        <v>515</v>
      </c>
      <c r="X57" s="293">
        <f>COUNTIF(ITT!57:57,W57)</f>
        <v>3</v>
      </c>
      <c r="Y57" s="15" t="s">
        <v>516</v>
      </c>
      <c r="Z57" s="293">
        <f>COUNTIF(ITT!57:57,Y57)</f>
        <v>3</v>
      </c>
      <c r="AA57" s="15" t="s">
        <v>517</v>
      </c>
      <c r="AB57" s="291">
        <f>COUNTIF(ITT!57:57,Reports!AA57)</f>
        <v>3</v>
      </c>
      <c r="AC57" s="15"/>
      <c r="AD57" s="296"/>
    </row>
    <row r="58" spans="1:30" ht="15" customHeight="1" x14ac:dyDescent="0.35">
      <c r="A58" s="267" t="str">
        <f>Mon!U58</f>
        <v>(DRP)</v>
      </c>
      <c r="B58" s="153">
        <v>15</v>
      </c>
      <c r="C58" s="153">
        <f>Sat!W58</f>
        <v>15</v>
      </c>
      <c r="D58" s="153">
        <f>SUM(COUNTIF(Mon!$P$11:$P$23,Reports!A58),COUNTIF(Tue!$P$11:$P$23,Reports!A58),COUNTIF(Wed!$P$11:$P$23,Reports!A58),COUNTIF(Thur!$P$11:$P$23,Reports!A58),COUNTIF(Fri!$P$11:$P$23,Reports!A58),COUNTIF(Sat!$P$11:$P$23,Reports!A58))</f>
        <v>0</v>
      </c>
      <c r="E58" s="153">
        <f>SUM(COUNTIF(Mon!$P$5:$P$9,Reports!A58),COUNTIF(Tue!$P$5:$P$9,Reports!A58),COUNTIF(Wed!$P$5:$P$9,Reports!A58),COUNTIF(Thur!$P$5:$P$9,Reports!A58),COUNTIF(Fri!$P$5:$P$9,Reports!A58),COUNTIF(Sat!$P$5:$P$9,Reports!A58))</f>
        <v>0</v>
      </c>
      <c r="F58" s="153"/>
      <c r="G58" s="153">
        <f t="shared" si="2"/>
        <v>0</v>
      </c>
      <c r="H58" s="153">
        <f>Mon!V58</f>
        <v>4</v>
      </c>
      <c r="I58" s="153">
        <f>Tue!V58</f>
        <v>3</v>
      </c>
      <c r="J58" s="153">
        <f>Wed!V58</f>
        <v>3</v>
      </c>
      <c r="K58" s="153">
        <f>Thur!V58</f>
        <v>1</v>
      </c>
      <c r="L58" s="128">
        <f>Fri!V58</f>
        <v>3</v>
      </c>
      <c r="M58" s="153">
        <f>Sat!V58</f>
        <v>1</v>
      </c>
      <c r="N58" s="16" t="b">
        <f t="shared" ref="N58:N59" si="4">SUM(H58:M58)=SUM(Q58:AD58)</f>
        <v>0</v>
      </c>
      <c r="O58" s="129">
        <f>SUM(COUNTIF(Mon!$M$5:N72,Reports!A58),COUNTIF(Tue!$M$5:N72,Reports!A58),COUNTIF(Wed!$M$4:N72,Reports!A58),COUNTIF(Wed!$L$21:$L$33,Reports!A58),COUNTIF(Thur!$M$5:N72,Reports!A58),COUNTIF(Fri!$M$5:N72,Reports!A58),COUNTIF(Sat!$I$4:L72,Reports!A58))</f>
        <v>6</v>
      </c>
      <c r="Q58" s="15" t="s">
        <v>518</v>
      </c>
      <c r="R58" s="289">
        <f>COUNTIF(ITT!58:58,Q58)</f>
        <v>3</v>
      </c>
      <c r="S58" s="15" t="s">
        <v>519</v>
      </c>
      <c r="T58" s="289">
        <f>COUNTIF(ITT!58:58,S58)</f>
        <v>3</v>
      </c>
      <c r="U58" s="15" t="s">
        <v>520</v>
      </c>
      <c r="V58" s="289">
        <f>COUNTIF(ITT!58:58,U58)</f>
        <v>3</v>
      </c>
      <c r="W58" s="15" t="s">
        <v>521</v>
      </c>
      <c r="X58" s="289">
        <f>COUNTIF(ITT!58:58,W58)</f>
        <v>3</v>
      </c>
      <c r="Y58" s="15" t="s">
        <v>522</v>
      </c>
      <c r="Z58" s="297">
        <f>COUNTIF(ITT!58:58,Y58)</f>
        <v>2</v>
      </c>
      <c r="AA58" s="15"/>
      <c r="AB58" s="153"/>
      <c r="AC58" s="15"/>
      <c r="AD58" s="153"/>
    </row>
    <row r="59" spans="1:30" s="158" customFormat="1" ht="15" customHeight="1" x14ac:dyDescent="0.35">
      <c r="A59" s="268"/>
      <c r="B59" s="213"/>
      <c r="C59" s="153"/>
      <c r="D59" s="153"/>
      <c r="E59" s="153"/>
      <c r="F59" s="153"/>
      <c r="G59" s="153"/>
      <c r="H59" s="153"/>
      <c r="I59" s="153"/>
      <c r="J59" s="153"/>
      <c r="K59" s="153"/>
      <c r="L59" s="128"/>
      <c r="M59" s="153"/>
      <c r="N59" s="16" t="b">
        <f t="shared" si="4"/>
        <v>1</v>
      </c>
      <c r="O59" s="129"/>
      <c r="Q59" s="1"/>
      <c r="R59" s="1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5">
      <c r="A60" s="269"/>
      <c r="B60" s="218"/>
      <c r="C60" s="153"/>
      <c r="D60" s="153"/>
      <c r="E60" s="153"/>
      <c r="F60" s="153"/>
      <c r="G60" s="153"/>
      <c r="H60" s="153"/>
      <c r="I60" s="153"/>
      <c r="J60" s="153"/>
      <c r="K60" s="153"/>
      <c r="L60" s="128"/>
      <c r="M60" s="153"/>
      <c r="N60" s="16"/>
      <c r="O60" s="129"/>
      <c r="T60" s="1"/>
      <c r="V60" s="1"/>
      <c r="X60" s="1"/>
      <c r="Z60" s="1"/>
      <c r="AB60" s="1"/>
      <c r="AD60" s="1"/>
    </row>
    <row r="61" spans="1:30" x14ac:dyDescent="0.35">
      <c r="A61" s="154"/>
      <c r="B61" s="155"/>
      <c r="C61" s="155"/>
      <c r="D61" s="155"/>
      <c r="E61" s="155"/>
      <c r="F61" s="155"/>
      <c r="G61" s="153"/>
      <c r="H61" s="153"/>
      <c r="I61" s="153"/>
      <c r="J61" s="153"/>
      <c r="K61" s="153"/>
      <c r="L61" s="128"/>
      <c r="M61" s="153"/>
      <c r="N61" s="157"/>
      <c r="O61" s="129"/>
      <c r="T61" s="1"/>
      <c r="V61" s="1"/>
      <c r="X61" s="1"/>
      <c r="Z61" s="1"/>
      <c r="AB61" s="1"/>
      <c r="AD61" s="1"/>
    </row>
    <row r="62" spans="1:30" ht="15" customHeight="1" x14ac:dyDescent="0.35">
      <c r="A62" s="15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28"/>
      <c r="M62" s="153"/>
      <c r="N62" s="16"/>
      <c r="O62" s="129"/>
      <c r="T62" s="1"/>
      <c r="V62" s="1"/>
      <c r="X62" s="1"/>
      <c r="Z62" s="1"/>
      <c r="AB62" s="1"/>
      <c r="AD62" s="1"/>
    </row>
    <row r="63" spans="1:30" x14ac:dyDescent="0.35">
      <c r="H63" s="127"/>
      <c r="I63" s="127"/>
      <c r="J63" s="127"/>
      <c r="K63" s="127"/>
      <c r="L63" s="127"/>
      <c r="M63" s="127"/>
      <c r="T63" s="1"/>
      <c r="V63" s="1"/>
      <c r="X63" s="1"/>
      <c r="Z63" s="1"/>
      <c r="AB63" s="1"/>
      <c r="AD63" s="1"/>
    </row>
    <row r="64" spans="1:30" x14ac:dyDescent="0.35">
      <c r="T64" s="1"/>
      <c r="V64" s="1"/>
      <c r="X64" s="1"/>
      <c r="Z64" s="1"/>
      <c r="AB64" s="1"/>
      <c r="AD64" s="1"/>
    </row>
    <row r="65" spans="20:30" x14ac:dyDescent="0.35">
      <c r="T65" s="1"/>
      <c r="V65" s="1"/>
      <c r="X65" s="1"/>
      <c r="Z65" s="1"/>
      <c r="AB65" s="1"/>
      <c r="AD65" s="1"/>
    </row>
    <row r="66" spans="20:30" x14ac:dyDescent="0.35">
      <c r="T66" s="1"/>
      <c r="V66" s="1"/>
      <c r="X66" s="1"/>
      <c r="Z66" s="1"/>
      <c r="AB66" s="1"/>
      <c r="AD66" s="1"/>
    </row>
    <row r="67" spans="20:30" x14ac:dyDescent="0.35">
      <c r="T67" s="1"/>
      <c r="V67" s="1"/>
      <c r="X67" s="1"/>
      <c r="Z67" s="1"/>
      <c r="AB67" s="1"/>
      <c r="AD67" s="1"/>
    </row>
    <row r="68" spans="20:30" x14ac:dyDescent="0.35">
      <c r="T68" s="1"/>
      <c r="V68" s="1"/>
      <c r="X68" s="1"/>
      <c r="Z68" s="1"/>
      <c r="AB68" s="1"/>
      <c r="AD68" s="1"/>
    </row>
    <row r="69" spans="20:30" x14ac:dyDescent="0.35">
      <c r="T69" s="1"/>
      <c r="V69" s="1"/>
      <c r="X69" s="1"/>
      <c r="Z69" s="1"/>
      <c r="AB69" s="1"/>
      <c r="AD69" s="1"/>
    </row>
    <row r="70" spans="20:30" x14ac:dyDescent="0.35">
      <c r="T70" s="1"/>
      <c r="V70" s="1"/>
      <c r="X70" s="1"/>
      <c r="Z70" s="1"/>
      <c r="AB70" s="1"/>
      <c r="AD70" s="1"/>
    </row>
    <row r="71" spans="20:30" x14ac:dyDescent="0.35">
      <c r="T71" s="1"/>
      <c r="V71" s="1"/>
      <c r="X71" s="1"/>
      <c r="Z71" s="1"/>
      <c r="AB71" s="1"/>
      <c r="AD71" s="1"/>
    </row>
    <row r="72" spans="20:30" x14ac:dyDescent="0.35">
      <c r="T72" s="1"/>
      <c r="V72" s="1"/>
      <c r="X72" s="1"/>
      <c r="Z72" s="1"/>
      <c r="AB72" s="1"/>
      <c r="AD72" s="1"/>
    </row>
    <row r="73" spans="20:30" x14ac:dyDescent="0.35">
      <c r="T73" s="1"/>
      <c r="V73" s="1"/>
      <c r="X73" s="1"/>
      <c r="Z73" s="1"/>
      <c r="AB73" s="1"/>
      <c r="AD73" s="1"/>
    </row>
    <row r="74" spans="20:30" x14ac:dyDescent="0.35">
      <c r="T74" s="1"/>
      <c r="V74" s="1"/>
      <c r="X74" s="1"/>
      <c r="Z74" s="1"/>
      <c r="AB74" s="1"/>
      <c r="AD74" s="1"/>
    </row>
    <row r="75" spans="20:30" x14ac:dyDescent="0.35">
      <c r="T75" s="1"/>
      <c r="V75" s="1"/>
      <c r="X75" s="1"/>
      <c r="Z75" s="1"/>
      <c r="AB75" s="1"/>
      <c r="AD75" s="1"/>
    </row>
    <row r="76" spans="20:30" x14ac:dyDescent="0.35">
      <c r="T76" s="1"/>
      <c r="V76" s="1"/>
      <c r="X76" s="1"/>
      <c r="Z76" s="1"/>
      <c r="AB76" s="1"/>
      <c r="AD76" s="1"/>
    </row>
    <row r="77" spans="20:30" x14ac:dyDescent="0.35">
      <c r="T77" s="1"/>
      <c r="V77" s="1"/>
      <c r="X77" s="1"/>
      <c r="Z77" s="1"/>
      <c r="AB77" s="1"/>
      <c r="AD77" s="1"/>
    </row>
    <row r="78" spans="20:30" x14ac:dyDescent="0.35">
      <c r="T78" s="1"/>
      <c r="V78" s="1"/>
      <c r="X78" s="1"/>
      <c r="Z78" s="1"/>
      <c r="AB78" s="1"/>
      <c r="AD78" s="1"/>
    </row>
    <row r="79" spans="20:30" x14ac:dyDescent="0.35">
      <c r="T79" s="1"/>
      <c r="V79" s="1"/>
      <c r="X79" s="1"/>
      <c r="Z79" s="1"/>
      <c r="AB79" s="1"/>
      <c r="AD79" s="1"/>
    </row>
    <row r="80" spans="20:30" x14ac:dyDescent="0.35">
      <c r="T80" s="1"/>
      <c r="V80" s="1"/>
      <c r="X80" s="1"/>
      <c r="Z80" s="1"/>
      <c r="AB80" s="1"/>
      <c r="AD80" s="1"/>
    </row>
    <row r="81" spans="20:30" x14ac:dyDescent="0.35">
      <c r="T81" s="1"/>
      <c r="V81" s="1"/>
      <c r="X81" s="1"/>
      <c r="Z81" s="1"/>
      <c r="AB81" s="1"/>
      <c r="AD81" s="1"/>
    </row>
    <row r="82" spans="20:30" x14ac:dyDescent="0.35">
      <c r="T82" s="1"/>
      <c r="V82" s="1"/>
      <c r="X82" s="1"/>
      <c r="Z82" s="1"/>
      <c r="AB82" s="1"/>
      <c r="AD82" s="1"/>
    </row>
    <row r="83" spans="20:30" x14ac:dyDescent="0.35">
      <c r="T83" s="1"/>
      <c r="V83" s="1"/>
      <c r="X83" s="1"/>
      <c r="Z83" s="1"/>
      <c r="AB83" s="1"/>
      <c r="AD83" s="1"/>
    </row>
    <row r="84" spans="20:30" x14ac:dyDescent="0.35">
      <c r="T84" s="1"/>
      <c r="V84" s="1"/>
      <c r="X84" s="1"/>
      <c r="Z84" s="1"/>
      <c r="AB84" s="1"/>
      <c r="AD84" s="1"/>
    </row>
    <row r="85" spans="20:30" x14ac:dyDescent="0.35">
      <c r="T85" s="1"/>
      <c r="V85" s="1"/>
      <c r="X85" s="1"/>
      <c r="Z85" s="1"/>
      <c r="AB85" s="1"/>
      <c r="AD85" s="1"/>
    </row>
    <row r="86" spans="20:30" x14ac:dyDescent="0.35">
      <c r="T86" s="1"/>
      <c r="V86" s="1"/>
      <c r="X86" s="1"/>
      <c r="Z86" s="1"/>
      <c r="AB86" s="1"/>
      <c r="AD86" s="1"/>
    </row>
    <row r="87" spans="20:30" x14ac:dyDescent="0.35">
      <c r="T87" s="1"/>
      <c r="V87" s="1"/>
      <c r="X87" s="1"/>
      <c r="Z87" s="1"/>
      <c r="AB87" s="1"/>
      <c r="AD87" s="1"/>
    </row>
  </sheetData>
  <autoFilter ref="A3:AD62" xr:uid="{00000000-0009-0000-0000-000006000000}"/>
  <mergeCells count="4">
    <mergeCell ref="A1:F1"/>
    <mergeCell ref="A2:F2"/>
    <mergeCell ref="H1:M1"/>
    <mergeCell ref="Q1:AD1"/>
  </mergeCells>
  <conditionalFormatting sqref="N1:N5 N63:N1048576">
    <cfRule type="containsText" dxfId="9066" priority="3149" operator="containsText" text="FALSE">
      <formula>NOT(ISERROR(SEARCH("FALSE",N1)))</formula>
    </cfRule>
  </conditionalFormatting>
  <conditionalFormatting sqref="N6:N62">
    <cfRule type="containsText" dxfId="9065" priority="3142" operator="containsText" text="FALSE">
      <formula>NOT(ISERROR(SEARCH("FALSE",N6)))</formula>
    </cfRule>
  </conditionalFormatting>
  <conditionalFormatting sqref="Q3:AD3">
    <cfRule type="cellIs" dxfId="9064" priority="3139" operator="equal">
      <formula>3</formula>
    </cfRule>
    <cfRule type="cellIs" dxfId="9063" priority="3140" operator="equal">
      <formula>4</formula>
    </cfRule>
  </conditionalFormatting>
  <conditionalFormatting sqref="R7 Z13 R17 V4 T16:T17 T7 V7 V16:V17 X16:X17 X7 Z7 Z16:Z17 Z4 X4">
    <cfRule type="duplicateValues" dxfId="9062" priority="2811"/>
  </conditionalFormatting>
  <conditionalFormatting sqref="H4:M62">
    <cfRule type="colorScale" priority="2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">
    <cfRule type="cellIs" dxfId="9061" priority="2699" operator="equal">
      <formula>3</formula>
    </cfRule>
  </conditionalFormatting>
  <conditionalFormatting sqref="R4">
    <cfRule type="cellIs" dxfId="9060" priority="2695" operator="equal">
      <formula>3</formula>
    </cfRule>
  </conditionalFormatting>
  <conditionalFormatting sqref="R4">
    <cfRule type="cellIs" dxfId="9059" priority="2694" operator="notEqual">
      <formula>3</formula>
    </cfRule>
  </conditionalFormatting>
  <conditionalFormatting sqref="V14:V15 V18:V20 V55:V57">
    <cfRule type="cellIs" dxfId="9058" priority="2543" operator="equal">
      <formula>3</formula>
    </cfRule>
  </conditionalFormatting>
  <conditionalFormatting sqref="V14:V15 V18:V20 V55:V57">
    <cfRule type="cellIs" dxfId="9057" priority="2542" operator="equal">
      <formula>3</formula>
    </cfRule>
  </conditionalFormatting>
  <conditionalFormatting sqref="V14:V15 V18:V20 V55:V57">
    <cfRule type="cellIs" dxfId="9056" priority="2541" operator="notEqual">
      <formula>3</formula>
    </cfRule>
  </conditionalFormatting>
  <conditionalFormatting sqref="X19 X15">
    <cfRule type="cellIs" dxfId="9055" priority="2537" operator="equal">
      <formula>3</formula>
    </cfRule>
  </conditionalFormatting>
  <conditionalFormatting sqref="X19 X15">
    <cfRule type="cellIs" dxfId="9054" priority="2536" operator="equal">
      <formula>3</formula>
    </cfRule>
  </conditionalFormatting>
  <conditionalFormatting sqref="X19 X15">
    <cfRule type="cellIs" dxfId="9053" priority="2535" operator="notEqual">
      <formula>3</formula>
    </cfRule>
  </conditionalFormatting>
  <conditionalFormatting sqref="Z14:Z15 Z18:Z19">
    <cfRule type="cellIs" dxfId="9052" priority="2534" operator="equal">
      <formula>3</formula>
    </cfRule>
  </conditionalFormatting>
  <conditionalFormatting sqref="Z14:Z15 Z18:Z19">
    <cfRule type="cellIs" dxfId="9051" priority="2533" operator="equal">
      <formula>3</formula>
    </cfRule>
  </conditionalFormatting>
  <conditionalFormatting sqref="Z14:Z15 Z18:Z19">
    <cfRule type="cellIs" dxfId="9050" priority="2532" operator="notEqual">
      <formula>3</formula>
    </cfRule>
  </conditionalFormatting>
  <conditionalFormatting sqref="V25 V27:V29 V35 V38:V46 V31:V32 V49:V53 V55:V57">
    <cfRule type="cellIs" dxfId="9049" priority="2519" operator="equal">
      <formula>3</formula>
    </cfRule>
  </conditionalFormatting>
  <conditionalFormatting sqref="V25 V27:V29 V35 V38:V46 V31:V32 V49:V53 V55:V57">
    <cfRule type="cellIs" dxfId="9048" priority="2518" operator="equal">
      <formula>3</formula>
    </cfRule>
  </conditionalFormatting>
  <conditionalFormatting sqref="V25 V27:V29 V35 V38:V46 V31:V32 V49:V53 V55:V57">
    <cfRule type="cellIs" dxfId="9047" priority="2517" operator="notEqual">
      <formula>3</formula>
    </cfRule>
  </conditionalFormatting>
  <conditionalFormatting sqref="X48 X31 X34:X37 X44:X46 X25 X27:X28 X39:X42 X53 X55:X57">
    <cfRule type="cellIs" dxfId="9046" priority="2513" operator="equal">
      <formula>3</formula>
    </cfRule>
  </conditionalFormatting>
  <conditionalFormatting sqref="X48 X31 X34:X37 X44:X46 X25 X27:X28 X39:X42 X53 X55:X57">
    <cfRule type="cellIs" dxfId="9045" priority="2512" operator="equal">
      <formula>3</formula>
    </cfRule>
  </conditionalFormatting>
  <conditionalFormatting sqref="X48 X31 X34:X37 X44:X46 X25 X27:X28 X39:X42 X53 X55:X57">
    <cfRule type="cellIs" dxfId="9044" priority="2511" operator="notEqual">
      <formula>3</formula>
    </cfRule>
  </conditionalFormatting>
  <conditionalFormatting sqref="Z6 Z8">
    <cfRule type="cellIs" dxfId="9043" priority="2507" operator="equal">
      <formula>3</formula>
    </cfRule>
  </conditionalFormatting>
  <conditionalFormatting sqref="Z6 Z8">
    <cfRule type="cellIs" dxfId="9042" priority="2506" operator="equal">
      <formula>3</formula>
    </cfRule>
  </conditionalFormatting>
  <conditionalFormatting sqref="Z6 Z8">
    <cfRule type="cellIs" dxfId="9041" priority="2505" operator="notEqual">
      <formula>3</formula>
    </cfRule>
  </conditionalFormatting>
  <conditionalFormatting sqref="R5 R21:R23 R37:R49 R33:R35 R25 R27:R29 R53 R31 R55:R57">
    <cfRule type="cellIs" dxfId="9040" priority="2504" operator="equal">
      <formula>4</formula>
    </cfRule>
  </conditionalFormatting>
  <conditionalFormatting sqref="R5 R21:R23 R37:R49 R33:R35 R25 R27:R29 R53 R31 R55:R57">
    <cfRule type="cellIs" dxfId="9039" priority="2503" operator="lessThan">
      <formula>4</formula>
    </cfRule>
  </conditionalFormatting>
  <conditionalFormatting sqref="R5 R21:R23 R37:R49 R33:R35 R25 R27:R29 R53 R31 R55:R57">
    <cfRule type="cellIs" dxfId="9038" priority="2502" operator="greaterThan">
      <formula>4</formula>
    </cfRule>
  </conditionalFormatting>
  <conditionalFormatting sqref="T14:T15 T19 T22:T23 T37:T40 T42:T46 T25 T27:T29 T53 T31 T56:T57 T48">
    <cfRule type="cellIs" dxfId="9037" priority="2501" operator="equal">
      <formula>4</formula>
    </cfRule>
  </conditionalFormatting>
  <conditionalFormatting sqref="T14:T15 T19 T22:T23 T37:T40 T42:T46 T25 T27:T29 T53 T31 T56:T57 T48">
    <cfRule type="cellIs" dxfId="9036" priority="2500" operator="lessThan">
      <formula>4</formula>
    </cfRule>
  </conditionalFormatting>
  <conditionalFormatting sqref="T14:T15 T19 T22:T23 T37:T40 T42:T46 T25 T27:T29 T53 T31 T56:T57 T48">
    <cfRule type="cellIs" dxfId="9035" priority="2499" operator="greaterThan">
      <formula>4</formula>
    </cfRule>
  </conditionalFormatting>
  <conditionalFormatting sqref="V5">
    <cfRule type="cellIs" dxfId="9034" priority="2498" operator="equal">
      <formula>4</formula>
    </cfRule>
  </conditionalFormatting>
  <conditionalFormatting sqref="V5">
    <cfRule type="cellIs" dxfId="9033" priority="2497" operator="lessThan">
      <formula>4</formula>
    </cfRule>
  </conditionalFormatting>
  <conditionalFormatting sqref="V5">
    <cfRule type="cellIs" dxfId="9032" priority="2496" operator="greaterThan">
      <formula>4</formula>
    </cfRule>
  </conditionalFormatting>
  <conditionalFormatting sqref="X5">
    <cfRule type="cellIs" dxfId="9031" priority="2495" operator="equal">
      <formula>4</formula>
    </cfRule>
  </conditionalFormatting>
  <conditionalFormatting sqref="X5">
    <cfRule type="cellIs" dxfId="9030" priority="2494" operator="lessThan">
      <formula>4</formula>
    </cfRule>
  </conditionalFormatting>
  <conditionalFormatting sqref="X5">
    <cfRule type="cellIs" dxfId="9029" priority="2493" operator="greaterThan">
      <formula>4</formula>
    </cfRule>
  </conditionalFormatting>
  <conditionalFormatting sqref="R42">
    <cfRule type="cellIs" dxfId="9028" priority="2492" operator="equal">
      <formula>3</formula>
    </cfRule>
  </conditionalFormatting>
  <conditionalFormatting sqref="R42">
    <cfRule type="cellIs" dxfId="9027" priority="2491" operator="equal">
      <formula>3</formula>
    </cfRule>
  </conditionalFormatting>
  <conditionalFormatting sqref="R42">
    <cfRule type="cellIs" dxfId="9026" priority="2490" operator="notEqual">
      <formula>3</formula>
    </cfRule>
  </conditionalFormatting>
  <conditionalFormatting sqref="T42">
    <cfRule type="cellIs" dxfId="9025" priority="2489" operator="equal">
      <formula>3</formula>
    </cfRule>
  </conditionalFormatting>
  <conditionalFormatting sqref="T42">
    <cfRule type="cellIs" dxfId="9024" priority="2488" operator="equal">
      <formula>3</formula>
    </cfRule>
  </conditionalFormatting>
  <conditionalFormatting sqref="T42">
    <cfRule type="cellIs" dxfId="9023" priority="2487" operator="notEqual">
      <formula>3</formula>
    </cfRule>
  </conditionalFormatting>
  <conditionalFormatting sqref="T4:T6 T10 T8">
    <cfRule type="cellIs" dxfId="9022" priority="2483" operator="equal">
      <formula>3</formula>
    </cfRule>
  </conditionalFormatting>
  <conditionalFormatting sqref="T4:T6 T10 T8">
    <cfRule type="cellIs" dxfId="9021" priority="2482" operator="equal">
      <formula>3</formula>
    </cfRule>
  </conditionalFormatting>
  <conditionalFormatting sqref="T4:T6 T10 T8">
    <cfRule type="cellIs" dxfId="9020" priority="2481" operator="notEqual">
      <formula>3</formula>
    </cfRule>
  </conditionalFormatting>
  <conditionalFormatting sqref="R6">
    <cfRule type="cellIs" dxfId="9019" priority="2480" operator="equal">
      <formula>3</formula>
    </cfRule>
  </conditionalFormatting>
  <conditionalFormatting sqref="R6">
    <cfRule type="cellIs" dxfId="9018" priority="2479" operator="equal">
      <formula>3</formula>
    </cfRule>
  </conditionalFormatting>
  <conditionalFormatting sqref="R6">
    <cfRule type="cellIs" dxfId="9017" priority="2478" operator="notEqual">
      <formula>3</formula>
    </cfRule>
  </conditionalFormatting>
  <conditionalFormatting sqref="R8 R10">
    <cfRule type="cellIs" dxfId="9016" priority="2477" operator="equal">
      <formula>3</formula>
    </cfRule>
  </conditionalFormatting>
  <conditionalFormatting sqref="R8 R10">
    <cfRule type="cellIs" dxfId="9015" priority="2476" operator="equal">
      <formula>3</formula>
    </cfRule>
  </conditionalFormatting>
  <conditionalFormatting sqref="R8 R10">
    <cfRule type="cellIs" dxfId="9014" priority="2475" operator="notEqual">
      <formula>3</formula>
    </cfRule>
  </conditionalFormatting>
  <conditionalFormatting sqref="R14:R16 R18:R19 R21:R22">
    <cfRule type="cellIs" dxfId="9013" priority="2474" operator="equal">
      <formula>3</formula>
    </cfRule>
  </conditionalFormatting>
  <conditionalFormatting sqref="R14:R16 R18:R19 R21:R22">
    <cfRule type="cellIs" dxfId="9012" priority="2473" operator="equal">
      <formula>3</formula>
    </cfRule>
  </conditionalFormatting>
  <conditionalFormatting sqref="R14:R16 R18:R19 R21:R22">
    <cfRule type="cellIs" dxfId="9011" priority="2472" operator="notEqual">
      <formula>3</formula>
    </cfRule>
  </conditionalFormatting>
  <conditionalFormatting sqref="T22">
    <cfRule type="cellIs" dxfId="9010" priority="2471" operator="equal">
      <formula>3</formula>
    </cfRule>
  </conditionalFormatting>
  <conditionalFormatting sqref="T22">
    <cfRule type="cellIs" dxfId="9009" priority="2470" operator="equal">
      <formula>3</formula>
    </cfRule>
  </conditionalFormatting>
  <conditionalFormatting sqref="T22">
    <cfRule type="cellIs" dxfId="9008" priority="2469" operator="notEqual">
      <formula>3</formula>
    </cfRule>
  </conditionalFormatting>
  <conditionalFormatting sqref="R57">
    <cfRule type="cellIs" dxfId="9007" priority="2251" operator="equal">
      <formula>3</formula>
    </cfRule>
  </conditionalFormatting>
  <conditionalFormatting sqref="R21:R23 R25 R27">
    <cfRule type="cellIs" dxfId="9006" priority="2450" operator="equal">
      <formula>3</formula>
    </cfRule>
  </conditionalFormatting>
  <conditionalFormatting sqref="R21:R23 R25 R27">
    <cfRule type="cellIs" dxfId="9005" priority="2449" operator="equal">
      <formula>3</formula>
    </cfRule>
  </conditionalFormatting>
  <conditionalFormatting sqref="R21:R23 R25 R27">
    <cfRule type="cellIs" dxfId="9004" priority="2448" operator="notEqual">
      <formula>3</formula>
    </cfRule>
  </conditionalFormatting>
  <conditionalFormatting sqref="R29">
    <cfRule type="cellIs" dxfId="9003" priority="2447" operator="equal">
      <formula>3</formula>
    </cfRule>
  </conditionalFormatting>
  <conditionalFormatting sqref="R29">
    <cfRule type="cellIs" dxfId="9002" priority="2446" operator="equal">
      <formula>3</formula>
    </cfRule>
  </conditionalFormatting>
  <conditionalFormatting sqref="R29">
    <cfRule type="cellIs" dxfId="9001" priority="2445" operator="notEqual">
      <formula>3</formula>
    </cfRule>
  </conditionalFormatting>
  <conditionalFormatting sqref="R31">
    <cfRule type="cellIs" dxfId="9000" priority="2444" operator="equal">
      <formula>3</formula>
    </cfRule>
  </conditionalFormatting>
  <conditionalFormatting sqref="R31">
    <cfRule type="cellIs" dxfId="8999" priority="2443" operator="equal">
      <formula>3</formula>
    </cfRule>
  </conditionalFormatting>
  <conditionalFormatting sqref="R31">
    <cfRule type="cellIs" dxfId="8998" priority="2442" operator="notEqual">
      <formula>3</formula>
    </cfRule>
  </conditionalFormatting>
  <conditionalFormatting sqref="T29">
    <cfRule type="cellIs" dxfId="8997" priority="2441" operator="equal">
      <formula>3</formula>
    </cfRule>
  </conditionalFormatting>
  <conditionalFormatting sqref="T29">
    <cfRule type="cellIs" dxfId="8996" priority="2440" operator="equal">
      <formula>3</formula>
    </cfRule>
  </conditionalFormatting>
  <conditionalFormatting sqref="T29">
    <cfRule type="cellIs" dxfId="8995" priority="2439" operator="notEqual">
      <formula>3</formula>
    </cfRule>
  </conditionalFormatting>
  <conditionalFormatting sqref="V29">
    <cfRule type="cellIs" dxfId="8994" priority="2438" operator="equal">
      <formula>3</formula>
    </cfRule>
  </conditionalFormatting>
  <conditionalFormatting sqref="V29">
    <cfRule type="cellIs" dxfId="8993" priority="2437" operator="equal">
      <formula>3</formula>
    </cfRule>
  </conditionalFormatting>
  <conditionalFormatting sqref="V29">
    <cfRule type="cellIs" dxfId="8992" priority="2436" operator="notEqual">
      <formula>3</formula>
    </cfRule>
  </conditionalFormatting>
  <conditionalFormatting sqref="T57">
    <cfRule type="cellIs" dxfId="8991" priority="2144" operator="equal">
      <formula>3</formula>
    </cfRule>
  </conditionalFormatting>
  <conditionalFormatting sqref="T57">
    <cfRule type="cellIs" dxfId="8990" priority="2143" operator="equal">
      <formula>3</formula>
    </cfRule>
  </conditionalFormatting>
  <conditionalFormatting sqref="T57">
    <cfRule type="cellIs" dxfId="8989" priority="2142" operator="notEqual">
      <formula>3</formula>
    </cfRule>
  </conditionalFormatting>
  <conditionalFormatting sqref="R49">
    <cfRule type="cellIs" dxfId="8988" priority="2393" operator="equal">
      <formula>3</formula>
    </cfRule>
  </conditionalFormatting>
  <conditionalFormatting sqref="R49">
    <cfRule type="cellIs" dxfId="8987" priority="2392" operator="equal">
      <formula>3</formula>
    </cfRule>
  </conditionalFormatting>
  <conditionalFormatting sqref="R49">
    <cfRule type="cellIs" dxfId="8986" priority="2391" operator="notEqual">
      <formula>3</formula>
    </cfRule>
  </conditionalFormatting>
  <conditionalFormatting sqref="T45">
    <cfRule type="cellIs" dxfId="8985" priority="2056" operator="equal">
      <formula>3</formula>
    </cfRule>
  </conditionalFormatting>
  <conditionalFormatting sqref="R47">
    <cfRule type="cellIs" dxfId="8984" priority="2387" operator="equal">
      <formula>3</formula>
    </cfRule>
  </conditionalFormatting>
  <conditionalFormatting sqref="R47">
    <cfRule type="cellIs" dxfId="8983" priority="2386" operator="equal">
      <formula>3</formula>
    </cfRule>
  </conditionalFormatting>
  <conditionalFormatting sqref="R47">
    <cfRule type="cellIs" dxfId="8982" priority="2385" operator="notEqual">
      <formula>3</formula>
    </cfRule>
  </conditionalFormatting>
  <conditionalFormatting sqref="R46">
    <cfRule type="cellIs" dxfId="8981" priority="2381" operator="equal">
      <formula>3</formula>
    </cfRule>
  </conditionalFormatting>
  <conditionalFormatting sqref="R46">
    <cfRule type="cellIs" dxfId="8980" priority="2380" operator="equal">
      <formula>3</formula>
    </cfRule>
  </conditionalFormatting>
  <conditionalFormatting sqref="R46">
    <cfRule type="cellIs" dxfId="8979" priority="2379" operator="notEqual">
      <formula>3</formula>
    </cfRule>
  </conditionalFormatting>
  <conditionalFormatting sqref="T46">
    <cfRule type="cellIs" dxfId="8978" priority="2378" operator="equal">
      <formula>3</formula>
    </cfRule>
  </conditionalFormatting>
  <conditionalFormatting sqref="T46">
    <cfRule type="cellIs" dxfId="8977" priority="2377" operator="equal">
      <formula>3</formula>
    </cfRule>
  </conditionalFormatting>
  <conditionalFormatting sqref="T46">
    <cfRule type="cellIs" dxfId="8976" priority="2376" operator="notEqual">
      <formula>3</formula>
    </cfRule>
  </conditionalFormatting>
  <conditionalFormatting sqref="V46">
    <cfRule type="cellIs" dxfId="8975" priority="2375" operator="equal">
      <formula>3</formula>
    </cfRule>
  </conditionalFormatting>
  <conditionalFormatting sqref="V46">
    <cfRule type="cellIs" dxfId="8974" priority="2374" operator="equal">
      <formula>3</formula>
    </cfRule>
  </conditionalFormatting>
  <conditionalFormatting sqref="V46">
    <cfRule type="cellIs" dxfId="8973" priority="2373" operator="notEqual">
      <formula>3</formula>
    </cfRule>
  </conditionalFormatting>
  <conditionalFormatting sqref="R46:R49">
    <cfRule type="cellIs" dxfId="8972" priority="2369" operator="equal">
      <formula>3</formula>
    </cfRule>
  </conditionalFormatting>
  <conditionalFormatting sqref="R46:R49">
    <cfRule type="cellIs" dxfId="8971" priority="2368" operator="equal">
      <formula>3</formula>
    </cfRule>
  </conditionalFormatting>
  <conditionalFormatting sqref="R46:R49">
    <cfRule type="cellIs" dxfId="8970" priority="2367" operator="notEqual">
      <formula>3</formula>
    </cfRule>
  </conditionalFormatting>
  <conditionalFormatting sqref="T46 T48">
    <cfRule type="cellIs" dxfId="8969" priority="2366" operator="equal">
      <formula>3</formula>
    </cfRule>
  </conditionalFormatting>
  <conditionalFormatting sqref="T46 T48">
    <cfRule type="cellIs" dxfId="8968" priority="2365" operator="equal">
      <formula>3</formula>
    </cfRule>
  </conditionalFormatting>
  <conditionalFormatting sqref="T46 T48">
    <cfRule type="cellIs" dxfId="8967" priority="2364" operator="notEqual">
      <formula>3</formula>
    </cfRule>
  </conditionalFormatting>
  <conditionalFormatting sqref="R33">
    <cfRule type="cellIs" dxfId="8966" priority="2357" operator="equal">
      <formula>3</formula>
    </cfRule>
  </conditionalFormatting>
  <conditionalFormatting sqref="R33">
    <cfRule type="cellIs" dxfId="8965" priority="2356" operator="equal">
      <formula>3</formula>
    </cfRule>
  </conditionalFormatting>
  <conditionalFormatting sqref="R33">
    <cfRule type="cellIs" dxfId="8964" priority="2355" operator="notEqual">
      <formula>3</formula>
    </cfRule>
  </conditionalFormatting>
  <conditionalFormatting sqref="T25">
    <cfRule type="cellIs" dxfId="8963" priority="2351" operator="equal">
      <formula>3</formula>
    </cfRule>
  </conditionalFormatting>
  <conditionalFormatting sqref="T25">
    <cfRule type="cellIs" dxfId="8962" priority="2350" operator="equal">
      <formula>3</formula>
    </cfRule>
  </conditionalFormatting>
  <conditionalFormatting sqref="T25">
    <cfRule type="cellIs" dxfId="8961" priority="2349" operator="notEqual">
      <formula>3</formula>
    </cfRule>
  </conditionalFormatting>
  <conditionalFormatting sqref="V52">
    <cfRule type="cellIs" dxfId="8960" priority="2345" operator="equal">
      <formula>4</formula>
    </cfRule>
  </conditionalFormatting>
  <conditionalFormatting sqref="V52">
    <cfRule type="cellIs" dxfId="8959" priority="2344" operator="lessThan">
      <formula>4</formula>
    </cfRule>
  </conditionalFormatting>
  <conditionalFormatting sqref="V52">
    <cfRule type="cellIs" dxfId="8958" priority="2343" operator="greaterThan">
      <formula>4</formula>
    </cfRule>
  </conditionalFormatting>
  <conditionalFormatting sqref="R41">
    <cfRule type="cellIs" dxfId="8957" priority="2323" operator="equal">
      <formula>3</formula>
    </cfRule>
  </conditionalFormatting>
  <conditionalFormatting sqref="R41">
    <cfRule type="cellIs" dxfId="8956" priority="2322" operator="equal">
      <formula>3</formula>
    </cfRule>
  </conditionalFormatting>
  <conditionalFormatting sqref="R41">
    <cfRule type="cellIs" dxfId="8955" priority="2321" operator="notEqual">
      <formula>3</formula>
    </cfRule>
  </conditionalFormatting>
  <conditionalFormatting sqref="R48">
    <cfRule type="cellIs" dxfId="8954" priority="2278" operator="equal">
      <formula>3</formula>
    </cfRule>
  </conditionalFormatting>
  <conditionalFormatting sqref="R48">
    <cfRule type="cellIs" dxfId="8953" priority="2277" operator="equal">
      <formula>3</formula>
    </cfRule>
  </conditionalFormatting>
  <conditionalFormatting sqref="R48">
    <cfRule type="cellIs" dxfId="8952" priority="2276" operator="notEqual">
      <formula>3</formula>
    </cfRule>
  </conditionalFormatting>
  <conditionalFormatting sqref="T48">
    <cfRule type="cellIs" dxfId="8951" priority="2275" operator="equal">
      <formula>3</formula>
    </cfRule>
  </conditionalFormatting>
  <conditionalFormatting sqref="T48">
    <cfRule type="cellIs" dxfId="8950" priority="2274" operator="equal">
      <formula>3</formula>
    </cfRule>
  </conditionalFormatting>
  <conditionalFormatting sqref="T48">
    <cfRule type="cellIs" dxfId="8949" priority="2273" operator="notEqual">
      <formula>3</formula>
    </cfRule>
  </conditionalFormatting>
  <conditionalFormatting sqref="R46">
    <cfRule type="cellIs" dxfId="8948" priority="2272" operator="equal">
      <formula>3</formula>
    </cfRule>
  </conditionalFormatting>
  <conditionalFormatting sqref="R46">
    <cfRule type="cellIs" dxfId="8947" priority="2271" operator="equal">
      <formula>3</formula>
    </cfRule>
  </conditionalFormatting>
  <conditionalFormatting sqref="R46">
    <cfRule type="cellIs" dxfId="8946" priority="2270" operator="notEqual">
      <formula>3</formula>
    </cfRule>
  </conditionalFormatting>
  <conditionalFormatting sqref="T46">
    <cfRule type="cellIs" dxfId="8945" priority="2269" operator="equal">
      <formula>3</formula>
    </cfRule>
  </conditionalFormatting>
  <conditionalFormatting sqref="T46">
    <cfRule type="cellIs" dxfId="8944" priority="2268" operator="equal">
      <formula>3</formula>
    </cfRule>
  </conditionalFormatting>
  <conditionalFormatting sqref="T46">
    <cfRule type="cellIs" dxfId="8943" priority="2267" operator="notEqual">
      <formula>3</formula>
    </cfRule>
  </conditionalFormatting>
  <conditionalFormatting sqref="R45">
    <cfRule type="cellIs" dxfId="8942" priority="2266" operator="equal">
      <formula>3</formula>
    </cfRule>
  </conditionalFormatting>
  <conditionalFormatting sqref="R45">
    <cfRule type="cellIs" dxfId="8941" priority="2265" operator="equal">
      <formula>3</formula>
    </cfRule>
  </conditionalFormatting>
  <conditionalFormatting sqref="R45">
    <cfRule type="cellIs" dxfId="8940" priority="2264" operator="notEqual">
      <formula>3</formula>
    </cfRule>
  </conditionalFormatting>
  <conditionalFormatting sqref="T45">
    <cfRule type="cellIs" dxfId="8939" priority="2263" operator="equal">
      <formula>3</formula>
    </cfRule>
  </conditionalFormatting>
  <conditionalFormatting sqref="T45">
    <cfRule type="cellIs" dxfId="8938" priority="2262" operator="equal">
      <formula>3</formula>
    </cfRule>
  </conditionalFormatting>
  <conditionalFormatting sqref="T45">
    <cfRule type="cellIs" dxfId="8937" priority="2261" operator="notEqual">
      <formula>3</formula>
    </cfRule>
  </conditionalFormatting>
  <conditionalFormatting sqref="V45">
    <cfRule type="cellIs" dxfId="8936" priority="2260" operator="equal">
      <formula>3</formula>
    </cfRule>
  </conditionalFormatting>
  <conditionalFormatting sqref="V45">
    <cfRule type="cellIs" dxfId="8935" priority="2259" operator="equal">
      <formula>3</formula>
    </cfRule>
  </conditionalFormatting>
  <conditionalFormatting sqref="V45">
    <cfRule type="cellIs" dxfId="8934" priority="2258" operator="notEqual">
      <formula>3</formula>
    </cfRule>
  </conditionalFormatting>
  <conditionalFormatting sqref="T57">
    <cfRule type="cellIs" dxfId="8933" priority="2254" operator="equal">
      <formula>3</formula>
    </cfRule>
  </conditionalFormatting>
  <conditionalFormatting sqref="T57">
    <cfRule type="cellIs" dxfId="8932" priority="2253" operator="equal">
      <formula>3</formula>
    </cfRule>
  </conditionalFormatting>
  <conditionalFormatting sqref="T57">
    <cfRule type="cellIs" dxfId="8931" priority="2252" operator="notEqual">
      <formula>3</formula>
    </cfRule>
  </conditionalFormatting>
  <conditionalFormatting sqref="R57">
    <cfRule type="cellIs" dxfId="8930" priority="2250" operator="equal">
      <formula>3</formula>
    </cfRule>
  </conditionalFormatting>
  <conditionalFormatting sqref="R57">
    <cfRule type="cellIs" dxfId="8929" priority="2249" operator="notEqual">
      <formula>3</formula>
    </cfRule>
  </conditionalFormatting>
  <conditionalFormatting sqref="V51">
    <cfRule type="cellIs" dxfId="8928" priority="2245" operator="equal">
      <formula>4</formula>
    </cfRule>
  </conditionalFormatting>
  <conditionalFormatting sqref="V51">
    <cfRule type="cellIs" dxfId="8927" priority="2244" operator="lessThan">
      <formula>4</formula>
    </cfRule>
  </conditionalFormatting>
  <conditionalFormatting sqref="V51">
    <cfRule type="cellIs" dxfId="8926" priority="2243" operator="greaterThan">
      <formula>4</formula>
    </cfRule>
  </conditionalFormatting>
  <conditionalFormatting sqref="R41">
    <cfRule type="cellIs" dxfId="8925" priority="2228" operator="equal">
      <formula>3</formula>
    </cfRule>
  </conditionalFormatting>
  <conditionalFormatting sqref="R41">
    <cfRule type="cellIs" dxfId="8924" priority="2227" operator="equal">
      <formula>3</formula>
    </cfRule>
  </conditionalFormatting>
  <conditionalFormatting sqref="R41">
    <cfRule type="cellIs" dxfId="8923" priority="2226" operator="notEqual">
      <formula>3</formula>
    </cfRule>
  </conditionalFormatting>
  <conditionalFormatting sqref="R28">
    <cfRule type="cellIs" dxfId="8922" priority="2222" operator="equal">
      <formula>3</formula>
    </cfRule>
  </conditionalFormatting>
  <conditionalFormatting sqref="R28">
    <cfRule type="cellIs" dxfId="8921" priority="2221" operator="equal">
      <formula>3</formula>
    </cfRule>
  </conditionalFormatting>
  <conditionalFormatting sqref="R28">
    <cfRule type="cellIs" dxfId="8920" priority="2220" operator="notEqual">
      <formula>3</formula>
    </cfRule>
  </conditionalFormatting>
  <conditionalFormatting sqref="T28">
    <cfRule type="cellIs" dxfId="8919" priority="2216" operator="equal">
      <formula>3</formula>
    </cfRule>
  </conditionalFormatting>
  <conditionalFormatting sqref="T28">
    <cfRule type="cellIs" dxfId="8918" priority="2215" operator="equal">
      <formula>3</formula>
    </cfRule>
  </conditionalFormatting>
  <conditionalFormatting sqref="T28">
    <cfRule type="cellIs" dxfId="8917" priority="2214" operator="notEqual">
      <formula>3</formula>
    </cfRule>
  </conditionalFormatting>
  <conditionalFormatting sqref="V28">
    <cfRule type="cellIs" dxfId="8916" priority="2213" operator="equal">
      <formula>3</formula>
    </cfRule>
  </conditionalFormatting>
  <conditionalFormatting sqref="V28">
    <cfRule type="cellIs" dxfId="8915" priority="2212" operator="equal">
      <formula>3</formula>
    </cfRule>
  </conditionalFormatting>
  <conditionalFormatting sqref="V28">
    <cfRule type="cellIs" dxfId="8914" priority="2211" operator="notEqual">
      <formula>3</formula>
    </cfRule>
  </conditionalFormatting>
  <conditionalFormatting sqref="X28">
    <cfRule type="cellIs" dxfId="8913" priority="2210" operator="equal">
      <formula>3</formula>
    </cfRule>
  </conditionalFormatting>
  <conditionalFormatting sqref="X28">
    <cfRule type="cellIs" dxfId="8912" priority="2209" operator="equal">
      <formula>3</formula>
    </cfRule>
  </conditionalFormatting>
  <conditionalFormatting sqref="X28">
    <cfRule type="cellIs" dxfId="8911" priority="2208" operator="notEqual">
      <formula>3</formula>
    </cfRule>
  </conditionalFormatting>
  <conditionalFormatting sqref="R48">
    <cfRule type="cellIs" dxfId="8910" priority="2168" operator="equal">
      <formula>3</formula>
    </cfRule>
  </conditionalFormatting>
  <conditionalFormatting sqref="R48">
    <cfRule type="cellIs" dxfId="8909" priority="2167" operator="equal">
      <formula>3</formula>
    </cfRule>
  </conditionalFormatting>
  <conditionalFormatting sqref="R48">
    <cfRule type="cellIs" dxfId="8908" priority="2166" operator="notEqual">
      <formula>3</formula>
    </cfRule>
  </conditionalFormatting>
  <conditionalFormatting sqref="T48">
    <cfRule type="cellIs" dxfId="8907" priority="2165" operator="equal">
      <formula>3</formula>
    </cfRule>
  </conditionalFormatting>
  <conditionalFormatting sqref="T48">
    <cfRule type="cellIs" dxfId="8906" priority="2164" operator="equal">
      <formula>3</formula>
    </cfRule>
  </conditionalFormatting>
  <conditionalFormatting sqref="T48">
    <cfRule type="cellIs" dxfId="8905" priority="2163" operator="notEqual">
      <formula>3</formula>
    </cfRule>
  </conditionalFormatting>
  <conditionalFormatting sqref="R46">
    <cfRule type="cellIs" dxfId="8904" priority="2162" operator="equal">
      <formula>3</formula>
    </cfRule>
  </conditionalFormatting>
  <conditionalFormatting sqref="R46">
    <cfRule type="cellIs" dxfId="8903" priority="2161" operator="equal">
      <formula>3</formula>
    </cfRule>
  </conditionalFormatting>
  <conditionalFormatting sqref="R46">
    <cfRule type="cellIs" dxfId="8902" priority="2160" operator="notEqual">
      <formula>3</formula>
    </cfRule>
  </conditionalFormatting>
  <conditionalFormatting sqref="T46">
    <cfRule type="cellIs" dxfId="8901" priority="2159" operator="equal">
      <formula>3</formula>
    </cfRule>
  </conditionalFormatting>
  <conditionalFormatting sqref="T46">
    <cfRule type="cellIs" dxfId="8900" priority="2158" operator="equal">
      <formula>3</formula>
    </cfRule>
  </conditionalFormatting>
  <conditionalFormatting sqref="T46">
    <cfRule type="cellIs" dxfId="8899" priority="2157" operator="notEqual">
      <formula>3</formula>
    </cfRule>
  </conditionalFormatting>
  <conditionalFormatting sqref="R45">
    <cfRule type="cellIs" dxfId="8898" priority="2156" operator="equal">
      <formula>3</formula>
    </cfRule>
  </conditionalFormatting>
  <conditionalFormatting sqref="R45">
    <cfRule type="cellIs" dxfId="8897" priority="2155" operator="equal">
      <formula>3</formula>
    </cfRule>
  </conditionalFormatting>
  <conditionalFormatting sqref="R45">
    <cfRule type="cellIs" dxfId="8896" priority="2154" operator="notEqual">
      <formula>3</formula>
    </cfRule>
  </conditionalFormatting>
  <conditionalFormatting sqref="T45">
    <cfRule type="cellIs" dxfId="8895" priority="2153" operator="equal">
      <formula>3</formula>
    </cfRule>
  </conditionalFormatting>
  <conditionalFormatting sqref="T45">
    <cfRule type="cellIs" dxfId="8894" priority="2152" operator="equal">
      <formula>3</formula>
    </cfRule>
  </conditionalFormatting>
  <conditionalFormatting sqref="T45">
    <cfRule type="cellIs" dxfId="8893" priority="2151" operator="notEqual">
      <formula>3</formula>
    </cfRule>
  </conditionalFormatting>
  <conditionalFormatting sqref="V45">
    <cfRule type="cellIs" dxfId="8892" priority="2150" operator="equal">
      <formula>3</formula>
    </cfRule>
  </conditionalFormatting>
  <conditionalFormatting sqref="V45">
    <cfRule type="cellIs" dxfId="8891" priority="2149" operator="equal">
      <formula>3</formula>
    </cfRule>
  </conditionalFormatting>
  <conditionalFormatting sqref="V45">
    <cfRule type="cellIs" dxfId="8890" priority="2148" operator="notEqual">
      <formula>3</formula>
    </cfRule>
  </conditionalFormatting>
  <conditionalFormatting sqref="R57">
    <cfRule type="cellIs" dxfId="8889" priority="2141" operator="equal">
      <formula>3</formula>
    </cfRule>
  </conditionalFormatting>
  <conditionalFormatting sqref="R57">
    <cfRule type="cellIs" dxfId="8888" priority="2140" operator="equal">
      <formula>3</formula>
    </cfRule>
  </conditionalFormatting>
  <conditionalFormatting sqref="R57">
    <cfRule type="cellIs" dxfId="8887" priority="2139" operator="notEqual">
      <formula>3</formula>
    </cfRule>
  </conditionalFormatting>
  <conditionalFormatting sqref="R44">
    <cfRule type="cellIs" dxfId="8886" priority="1831" operator="equal">
      <formula>3</formula>
    </cfRule>
  </conditionalFormatting>
  <conditionalFormatting sqref="T45">
    <cfRule type="cellIs" dxfId="8885" priority="1834" operator="equal">
      <formula>3</formula>
    </cfRule>
  </conditionalFormatting>
  <conditionalFormatting sqref="V51">
    <cfRule type="cellIs" dxfId="8884" priority="2126" operator="equal">
      <formula>4</formula>
    </cfRule>
  </conditionalFormatting>
  <conditionalFormatting sqref="V51">
    <cfRule type="cellIs" dxfId="8883" priority="2125" operator="lessThan">
      <formula>4</formula>
    </cfRule>
  </conditionalFormatting>
  <conditionalFormatting sqref="V51">
    <cfRule type="cellIs" dxfId="8882" priority="2124" operator="greaterThan">
      <formula>4</formula>
    </cfRule>
  </conditionalFormatting>
  <conditionalFormatting sqref="R40">
    <cfRule type="cellIs" dxfId="8881" priority="2110" operator="equal">
      <formula>3</formula>
    </cfRule>
  </conditionalFormatting>
  <conditionalFormatting sqref="R40">
    <cfRule type="cellIs" dxfId="8880" priority="2109" operator="equal">
      <formula>3</formula>
    </cfRule>
  </conditionalFormatting>
  <conditionalFormatting sqref="R40">
    <cfRule type="cellIs" dxfId="8879" priority="2108" operator="notEqual">
      <formula>3</formula>
    </cfRule>
  </conditionalFormatting>
  <conditionalFormatting sqref="T40">
    <cfRule type="cellIs" dxfId="8878" priority="2107" operator="equal">
      <formula>3</formula>
    </cfRule>
  </conditionalFormatting>
  <conditionalFormatting sqref="T40">
    <cfRule type="cellIs" dxfId="8877" priority="2106" operator="equal">
      <formula>3</formula>
    </cfRule>
  </conditionalFormatting>
  <conditionalFormatting sqref="T40">
    <cfRule type="cellIs" dxfId="8876" priority="2105" operator="notEqual">
      <formula>3</formula>
    </cfRule>
  </conditionalFormatting>
  <conditionalFormatting sqref="R47">
    <cfRule type="cellIs" dxfId="8875" priority="2065" operator="equal">
      <formula>3</formula>
    </cfRule>
  </conditionalFormatting>
  <conditionalFormatting sqref="R47">
    <cfRule type="cellIs" dxfId="8874" priority="2064" operator="equal">
      <formula>3</formula>
    </cfRule>
  </conditionalFormatting>
  <conditionalFormatting sqref="R47">
    <cfRule type="cellIs" dxfId="8873" priority="2063" operator="notEqual">
      <formula>3</formula>
    </cfRule>
  </conditionalFormatting>
  <conditionalFormatting sqref="R45">
    <cfRule type="cellIs" dxfId="8872" priority="2059" operator="equal">
      <formula>3</formula>
    </cfRule>
  </conditionalFormatting>
  <conditionalFormatting sqref="R45">
    <cfRule type="cellIs" dxfId="8871" priority="2058" operator="equal">
      <formula>3</formula>
    </cfRule>
  </conditionalFormatting>
  <conditionalFormatting sqref="R45">
    <cfRule type="cellIs" dxfId="8870" priority="2057" operator="notEqual">
      <formula>3</formula>
    </cfRule>
  </conditionalFormatting>
  <conditionalFormatting sqref="T45">
    <cfRule type="cellIs" dxfId="8869" priority="2055" operator="equal">
      <formula>3</formula>
    </cfRule>
  </conditionalFormatting>
  <conditionalFormatting sqref="T45">
    <cfRule type="cellIs" dxfId="8868" priority="2054" operator="notEqual">
      <formula>3</formula>
    </cfRule>
  </conditionalFormatting>
  <conditionalFormatting sqref="R44">
    <cfRule type="cellIs" dxfId="8867" priority="2053" operator="equal">
      <formula>3</formula>
    </cfRule>
  </conditionalFormatting>
  <conditionalFormatting sqref="R44">
    <cfRule type="cellIs" dxfId="8866" priority="2052" operator="equal">
      <formula>3</formula>
    </cfRule>
  </conditionalFormatting>
  <conditionalFormatting sqref="R44">
    <cfRule type="cellIs" dxfId="8865" priority="2051" operator="notEqual">
      <formula>3</formula>
    </cfRule>
  </conditionalFormatting>
  <conditionalFormatting sqref="T44">
    <cfRule type="cellIs" dxfId="8864" priority="2050" operator="equal">
      <formula>3</formula>
    </cfRule>
  </conditionalFormatting>
  <conditionalFormatting sqref="T44">
    <cfRule type="cellIs" dxfId="8863" priority="2049" operator="equal">
      <formula>3</formula>
    </cfRule>
  </conditionalFormatting>
  <conditionalFormatting sqref="T44">
    <cfRule type="cellIs" dxfId="8862" priority="2048" operator="notEqual">
      <formula>3</formula>
    </cfRule>
  </conditionalFormatting>
  <conditionalFormatting sqref="V44">
    <cfRule type="cellIs" dxfId="8861" priority="2047" operator="equal">
      <formula>3</formula>
    </cfRule>
  </conditionalFormatting>
  <conditionalFormatting sqref="V44">
    <cfRule type="cellIs" dxfId="8860" priority="2046" operator="equal">
      <formula>3</formula>
    </cfRule>
  </conditionalFormatting>
  <conditionalFormatting sqref="V44">
    <cfRule type="cellIs" dxfId="8859" priority="2045" operator="notEqual">
      <formula>3</formula>
    </cfRule>
  </conditionalFormatting>
  <conditionalFormatting sqref="T56:T57">
    <cfRule type="cellIs" dxfId="8858" priority="2041" operator="equal">
      <formula>3</formula>
    </cfRule>
  </conditionalFormatting>
  <conditionalFormatting sqref="T56:T57">
    <cfRule type="cellIs" dxfId="8857" priority="2040" operator="equal">
      <formula>3</formula>
    </cfRule>
  </conditionalFormatting>
  <conditionalFormatting sqref="T56:T57">
    <cfRule type="cellIs" dxfId="8856" priority="2039" operator="notEqual">
      <formula>3</formula>
    </cfRule>
  </conditionalFormatting>
  <conditionalFormatting sqref="R56:R57">
    <cfRule type="cellIs" dxfId="8855" priority="2038" operator="equal">
      <formula>3</formula>
    </cfRule>
  </conditionalFormatting>
  <conditionalFormatting sqref="R56:R57">
    <cfRule type="cellIs" dxfId="8854" priority="2037" operator="equal">
      <formula>3</formula>
    </cfRule>
  </conditionalFormatting>
  <conditionalFormatting sqref="R56:R57">
    <cfRule type="cellIs" dxfId="8853" priority="2036" operator="notEqual">
      <formula>3</formula>
    </cfRule>
  </conditionalFormatting>
  <conditionalFormatting sqref="V35">
    <cfRule type="cellIs" dxfId="8852" priority="2035" operator="equal">
      <formula>4</formula>
    </cfRule>
  </conditionalFormatting>
  <conditionalFormatting sqref="V35">
    <cfRule type="cellIs" dxfId="8851" priority="2034" operator="lessThan">
      <formula>4</formula>
    </cfRule>
  </conditionalFormatting>
  <conditionalFormatting sqref="V35">
    <cfRule type="cellIs" dxfId="8850" priority="2033" operator="greaterThan">
      <formula>4</formula>
    </cfRule>
  </conditionalFormatting>
  <conditionalFormatting sqref="V50">
    <cfRule type="cellIs" dxfId="8849" priority="2032" operator="equal">
      <formula>4</formula>
    </cfRule>
  </conditionalFormatting>
  <conditionalFormatting sqref="V50">
    <cfRule type="cellIs" dxfId="8848" priority="2031" operator="lessThan">
      <formula>4</formula>
    </cfRule>
  </conditionalFormatting>
  <conditionalFormatting sqref="V50">
    <cfRule type="cellIs" dxfId="8847" priority="2030" operator="greaterThan">
      <formula>4</formula>
    </cfRule>
  </conditionalFormatting>
  <conditionalFormatting sqref="R41">
    <cfRule type="cellIs" dxfId="8846" priority="2024" operator="equal">
      <formula>3</formula>
    </cfRule>
  </conditionalFormatting>
  <conditionalFormatting sqref="R41">
    <cfRule type="cellIs" dxfId="8845" priority="2023" operator="equal">
      <formula>3</formula>
    </cfRule>
  </conditionalFormatting>
  <conditionalFormatting sqref="R41">
    <cfRule type="cellIs" dxfId="8844" priority="2022" operator="notEqual">
      <formula>3</formula>
    </cfRule>
  </conditionalFormatting>
  <conditionalFormatting sqref="R28">
    <cfRule type="cellIs" dxfId="8843" priority="2006" operator="equal">
      <formula>3</formula>
    </cfRule>
  </conditionalFormatting>
  <conditionalFormatting sqref="R28">
    <cfRule type="cellIs" dxfId="8842" priority="2005" operator="equal">
      <formula>3</formula>
    </cfRule>
  </conditionalFormatting>
  <conditionalFormatting sqref="R28">
    <cfRule type="cellIs" dxfId="8841" priority="2004" operator="notEqual">
      <formula>3</formula>
    </cfRule>
  </conditionalFormatting>
  <conditionalFormatting sqref="T28">
    <cfRule type="cellIs" dxfId="8840" priority="2000" operator="equal">
      <formula>3</formula>
    </cfRule>
  </conditionalFormatting>
  <conditionalFormatting sqref="T28">
    <cfRule type="cellIs" dxfId="8839" priority="1999" operator="equal">
      <formula>3</formula>
    </cfRule>
  </conditionalFormatting>
  <conditionalFormatting sqref="T28">
    <cfRule type="cellIs" dxfId="8838" priority="1998" operator="notEqual">
      <formula>3</formula>
    </cfRule>
  </conditionalFormatting>
  <conditionalFormatting sqref="V28">
    <cfRule type="cellIs" dxfId="8837" priority="1997" operator="equal">
      <formula>3</formula>
    </cfRule>
  </conditionalFormatting>
  <conditionalFormatting sqref="V28">
    <cfRule type="cellIs" dxfId="8836" priority="1996" operator="equal">
      <formula>3</formula>
    </cfRule>
  </conditionalFormatting>
  <conditionalFormatting sqref="V28">
    <cfRule type="cellIs" dxfId="8835" priority="1995" operator="notEqual">
      <formula>3</formula>
    </cfRule>
  </conditionalFormatting>
  <conditionalFormatting sqref="X28">
    <cfRule type="cellIs" dxfId="8834" priority="1994" operator="equal">
      <formula>3</formula>
    </cfRule>
  </conditionalFormatting>
  <conditionalFormatting sqref="X28">
    <cfRule type="cellIs" dxfId="8833" priority="1993" operator="equal">
      <formula>3</formula>
    </cfRule>
  </conditionalFormatting>
  <conditionalFormatting sqref="X28">
    <cfRule type="cellIs" dxfId="8832" priority="1992" operator="notEqual">
      <formula>3</formula>
    </cfRule>
  </conditionalFormatting>
  <conditionalFormatting sqref="R48">
    <cfRule type="cellIs" dxfId="8831" priority="1952" operator="equal">
      <formula>3</formula>
    </cfRule>
  </conditionalFormatting>
  <conditionalFormatting sqref="R48">
    <cfRule type="cellIs" dxfId="8830" priority="1951" operator="equal">
      <formula>3</formula>
    </cfRule>
  </conditionalFormatting>
  <conditionalFormatting sqref="R48">
    <cfRule type="cellIs" dxfId="8829" priority="1950" operator="notEqual">
      <formula>3</formula>
    </cfRule>
  </conditionalFormatting>
  <conditionalFormatting sqref="T48">
    <cfRule type="cellIs" dxfId="8828" priority="1949" operator="equal">
      <formula>3</formula>
    </cfRule>
  </conditionalFormatting>
  <conditionalFormatting sqref="T48">
    <cfRule type="cellIs" dxfId="8827" priority="1948" operator="equal">
      <formula>3</formula>
    </cfRule>
  </conditionalFormatting>
  <conditionalFormatting sqref="T48">
    <cfRule type="cellIs" dxfId="8826" priority="1947" operator="notEqual">
      <formula>3</formula>
    </cfRule>
  </conditionalFormatting>
  <conditionalFormatting sqref="R46">
    <cfRule type="cellIs" dxfId="8825" priority="1946" operator="equal">
      <formula>3</formula>
    </cfRule>
  </conditionalFormatting>
  <conditionalFormatting sqref="R46">
    <cfRule type="cellIs" dxfId="8824" priority="1945" operator="equal">
      <formula>3</formula>
    </cfRule>
  </conditionalFormatting>
  <conditionalFormatting sqref="R46">
    <cfRule type="cellIs" dxfId="8823" priority="1944" operator="notEqual">
      <formula>3</formula>
    </cfRule>
  </conditionalFormatting>
  <conditionalFormatting sqref="T46">
    <cfRule type="cellIs" dxfId="8822" priority="1943" operator="equal">
      <formula>3</formula>
    </cfRule>
  </conditionalFormatting>
  <conditionalFormatting sqref="T46">
    <cfRule type="cellIs" dxfId="8821" priority="1942" operator="equal">
      <formula>3</formula>
    </cfRule>
  </conditionalFormatting>
  <conditionalFormatting sqref="T46">
    <cfRule type="cellIs" dxfId="8820" priority="1941" operator="notEqual">
      <formula>3</formula>
    </cfRule>
  </conditionalFormatting>
  <conditionalFormatting sqref="R45">
    <cfRule type="cellIs" dxfId="8819" priority="1940" operator="equal">
      <formula>3</formula>
    </cfRule>
  </conditionalFormatting>
  <conditionalFormatting sqref="R45">
    <cfRule type="cellIs" dxfId="8818" priority="1939" operator="equal">
      <formula>3</formula>
    </cfRule>
  </conditionalFormatting>
  <conditionalFormatting sqref="R45">
    <cfRule type="cellIs" dxfId="8817" priority="1938" operator="notEqual">
      <formula>3</formula>
    </cfRule>
  </conditionalFormatting>
  <conditionalFormatting sqref="T45">
    <cfRule type="cellIs" dxfId="8816" priority="1937" operator="equal">
      <formula>3</formula>
    </cfRule>
  </conditionalFormatting>
  <conditionalFormatting sqref="T45">
    <cfRule type="cellIs" dxfId="8815" priority="1936" operator="equal">
      <formula>3</formula>
    </cfRule>
  </conditionalFormatting>
  <conditionalFormatting sqref="T45">
    <cfRule type="cellIs" dxfId="8814" priority="1935" operator="notEqual">
      <formula>3</formula>
    </cfRule>
  </conditionalFormatting>
  <conditionalFormatting sqref="V45">
    <cfRule type="cellIs" dxfId="8813" priority="1934" operator="equal">
      <formula>3</formula>
    </cfRule>
  </conditionalFormatting>
  <conditionalFormatting sqref="V45">
    <cfRule type="cellIs" dxfId="8812" priority="1933" operator="equal">
      <formula>3</formula>
    </cfRule>
  </conditionalFormatting>
  <conditionalFormatting sqref="V45">
    <cfRule type="cellIs" dxfId="8811" priority="1932" operator="notEqual">
      <formula>3</formula>
    </cfRule>
  </conditionalFormatting>
  <conditionalFormatting sqref="T57">
    <cfRule type="cellIs" dxfId="8810" priority="1928" operator="equal">
      <formula>3</formula>
    </cfRule>
  </conditionalFormatting>
  <conditionalFormatting sqref="T57">
    <cfRule type="cellIs" dxfId="8809" priority="1927" operator="equal">
      <formula>3</formula>
    </cfRule>
  </conditionalFormatting>
  <conditionalFormatting sqref="T57">
    <cfRule type="cellIs" dxfId="8808" priority="1926" operator="notEqual">
      <formula>3</formula>
    </cfRule>
  </conditionalFormatting>
  <conditionalFormatting sqref="R57">
    <cfRule type="cellIs" dxfId="8807" priority="1925" operator="equal">
      <formula>3</formula>
    </cfRule>
  </conditionalFormatting>
  <conditionalFormatting sqref="R57">
    <cfRule type="cellIs" dxfId="8806" priority="1924" operator="equal">
      <formula>3</formula>
    </cfRule>
  </conditionalFormatting>
  <conditionalFormatting sqref="R57">
    <cfRule type="cellIs" dxfId="8805" priority="1923" operator="notEqual">
      <formula>3</formula>
    </cfRule>
  </conditionalFormatting>
  <conditionalFormatting sqref="T43">
    <cfRule type="cellIs" dxfId="8804" priority="1615" operator="equal">
      <formula>3</formula>
    </cfRule>
  </conditionalFormatting>
  <conditionalFormatting sqref="R43">
    <cfRule type="cellIs" dxfId="8803" priority="1618" operator="equal">
      <formula>3</formula>
    </cfRule>
  </conditionalFormatting>
  <conditionalFormatting sqref="V51">
    <cfRule type="cellIs" dxfId="8802" priority="1910" operator="equal">
      <formula>4</formula>
    </cfRule>
  </conditionalFormatting>
  <conditionalFormatting sqref="V51">
    <cfRule type="cellIs" dxfId="8801" priority="1909" operator="lessThan">
      <formula>4</formula>
    </cfRule>
  </conditionalFormatting>
  <conditionalFormatting sqref="V51">
    <cfRule type="cellIs" dxfId="8800" priority="1908" operator="greaterThan">
      <formula>4</formula>
    </cfRule>
  </conditionalFormatting>
  <conditionalFormatting sqref="V35">
    <cfRule type="cellIs" dxfId="8799" priority="1694" operator="equal">
      <formula>4</formula>
    </cfRule>
  </conditionalFormatting>
  <conditionalFormatting sqref="V35">
    <cfRule type="cellIs" dxfId="8798" priority="1693" operator="lessThan">
      <formula>4</formula>
    </cfRule>
  </conditionalFormatting>
  <conditionalFormatting sqref="V35">
    <cfRule type="cellIs" dxfId="8797" priority="1692" operator="greaterThan">
      <formula>4</formula>
    </cfRule>
  </conditionalFormatting>
  <conditionalFormatting sqref="R40">
    <cfRule type="cellIs" dxfId="8796" priority="1888" operator="equal">
      <formula>3</formula>
    </cfRule>
  </conditionalFormatting>
  <conditionalFormatting sqref="R40">
    <cfRule type="cellIs" dxfId="8795" priority="1887" operator="equal">
      <formula>3</formula>
    </cfRule>
  </conditionalFormatting>
  <conditionalFormatting sqref="R40">
    <cfRule type="cellIs" dxfId="8794" priority="1886" operator="notEqual">
      <formula>3</formula>
    </cfRule>
  </conditionalFormatting>
  <conditionalFormatting sqref="T40">
    <cfRule type="cellIs" dxfId="8793" priority="1885" operator="equal">
      <formula>3</formula>
    </cfRule>
  </conditionalFormatting>
  <conditionalFormatting sqref="T40">
    <cfRule type="cellIs" dxfId="8792" priority="1884" operator="equal">
      <formula>3</formula>
    </cfRule>
  </conditionalFormatting>
  <conditionalFormatting sqref="T40">
    <cfRule type="cellIs" dxfId="8791" priority="1883" operator="notEqual">
      <formula>3</formula>
    </cfRule>
  </conditionalFormatting>
  <conditionalFormatting sqref="R47">
    <cfRule type="cellIs" dxfId="8790" priority="1843" operator="equal">
      <formula>3</formula>
    </cfRule>
  </conditionalFormatting>
  <conditionalFormatting sqref="R47">
    <cfRule type="cellIs" dxfId="8789" priority="1842" operator="equal">
      <formula>3</formula>
    </cfRule>
  </conditionalFormatting>
  <conditionalFormatting sqref="R47">
    <cfRule type="cellIs" dxfId="8788" priority="1841" operator="notEqual">
      <formula>3</formula>
    </cfRule>
  </conditionalFormatting>
  <conditionalFormatting sqref="R45">
    <cfRule type="cellIs" dxfId="8787" priority="1837" operator="equal">
      <formula>3</formula>
    </cfRule>
  </conditionalFormatting>
  <conditionalFormatting sqref="R45">
    <cfRule type="cellIs" dxfId="8786" priority="1836" operator="equal">
      <formula>3</formula>
    </cfRule>
  </conditionalFormatting>
  <conditionalFormatting sqref="R45">
    <cfRule type="cellIs" dxfId="8785" priority="1835" operator="notEqual">
      <formula>3</formula>
    </cfRule>
  </conditionalFormatting>
  <conditionalFormatting sqref="T45">
    <cfRule type="cellIs" dxfId="8784" priority="1833" operator="equal">
      <formula>3</formula>
    </cfRule>
  </conditionalFormatting>
  <conditionalFormatting sqref="T45">
    <cfRule type="cellIs" dxfId="8783" priority="1832" operator="notEqual">
      <formula>3</formula>
    </cfRule>
  </conditionalFormatting>
  <conditionalFormatting sqref="R44">
    <cfRule type="cellIs" dxfId="8782" priority="1830" operator="equal">
      <formula>3</formula>
    </cfRule>
  </conditionalFormatting>
  <conditionalFormatting sqref="R44">
    <cfRule type="cellIs" dxfId="8781" priority="1829" operator="notEqual">
      <formula>3</formula>
    </cfRule>
  </conditionalFormatting>
  <conditionalFormatting sqref="T44">
    <cfRule type="cellIs" dxfId="8780" priority="1828" operator="equal">
      <formula>3</formula>
    </cfRule>
  </conditionalFormatting>
  <conditionalFormatting sqref="T44">
    <cfRule type="cellIs" dxfId="8779" priority="1827" operator="equal">
      <formula>3</formula>
    </cfRule>
  </conditionalFormatting>
  <conditionalFormatting sqref="T44">
    <cfRule type="cellIs" dxfId="8778" priority="1826" operator="notEqual">
      <formula>3</formula>
    </cfRule>
  </conditionalFormatting>
  <conditionalFormatting sqref="V44">
    <cfRule type="cellIs" dxfId="8777" priority="1825" operator="equal">
      <formula>3</formula>
    </cfRule>
  </conditionalFormatting>
  <conditionalFormatting sqref="V44">
    <cfRule type="cellIs" dxfId="8776" priority="1824" operator="equal">
      <formula>3</formula>
    </cfRule>
  </conditionalFormatting>
  <conditionalFormatting sqref="V44">
    <cfRule type="cellIs" dxfId="8775" priority="1823" operator="notEqual">
      <formula>3</formula>
    </cfRule>
  </conditionalFormatting>
  <conditionalFormatting sqref="T56:T57">
    <cfRule type="cellIs" dxfId="8774" priority="1819" operator="equal">
      <formula>3</formula>
    </cfRule>
  </conditionalFormatting>
  <conditionalFormatting sqref="T56:T57">
    <cfRule type="cellIs" dxfId="8773" priority="1818" operator="equal">
      <formula>3</formula>
    </cfRule>
  </conditionalFormatting>
  <conditionalFormatting sqref="T56:T57">
    <cfRule type="cellIs" dxfId="8772" priority="1817" operator="notEqual">
      <formula>3</formula>
    </cfRule>
  </conditionalFormatting>
  <conditionalFormatting sqref="R56:R57">
    <cfRule type="cellIs" dxfId="8771" priority="1816" operator="equal">
      <formula>3</formula>
    </cfRule>
  </conditionalFormatting>
  <conditionalFormatting sqref="R56:R57">
    <cfRule type="cellIs" dxfId="8770" priority="1815" operator="equal">
      <formula>3</formula>
    </cfRule>
  </conditionalFormatting>
  <conditionalFormatting sqref="R56:R57">
    <cfRule type="cellIs" dxfId="8769" priority="1814" operator="notEqual">
      <formula>3</formula>
    </cfRule>
  </conditionalFormatting>
  <conditionalFormatting sqref="V35">
    <cfRule type="cellIs" dxfId="8768" priority="1813" operator="equal">
      <formula>4</formula>
    </cfRule>
  </conditionalFormatting>
  <conditionalFormatting sqref="V35">
    <cfRule type="cellIs" dxfId="8767" priority="1812" operator="lessThan">
      <formula>4</formula>
    </cfRule>
  </conditionalFormatting>
  <conditionalFormatting sqref="V35">
    <cfRule type="cellIs" dxfId="8766" priority="1811" operator="greaterThan">
      <formula>4</formula>
    </cfRule>
  </conditionalFormatting>
  <conditionalFormatting sqref="V50">
    <cfRule type="cellIs" dxfId="8765" priority="1810" operator="equal">
      <formula>4</formula>
    </cfRule>
  </conditionalFormatting>
  <conditionalFormatting sqref="V50">
    <cfRule type="cellIs" dxfId="8764" priority="1809" operator="lessThan">
      <formula>4</formula>
    </cfRule>
  </conditionalFormatting>
  <conditionalFormatting sqref="V50">
    <cfRule type="cellIs" dxfId="8763" priority="1808" operator="greaterThan">
      <formula>4</formula>
    </cfRule>
  </conditionalFormatting>
  <conditionalFormatting sqref="R40">
    <cfRule type="cellIs" dxfId="8762" priority="1793" operator="equal">
      <formula>3</formula>
    </cfRule>
  </conditionalFormatting>
  <conditionalFormatting sqref="R40">
    <cfRule type="cellIs" dxfId="8761" priority="1792" operator="equal">
      <formula>3</formula>
    </cfRule>
  </conditionalFormatting>
  <conditionalFormatting sqref="R40">
    <cfRule type="cellIs" dxfId="8760" priority="1791" operator="notEqual">
      <formula>3</formula>
    </cfRule>
  </conditionalFormatting>
  <conditionalFormatting sqref="T40">
    <cfRule type="cellIs" dxfId="8759" priority="1790" operator="equal">
      <formula>3</formula>
    </cfRule>
  </conditionalFormatting>
  <conditionalFormatting sqref="T40">
    <cfRule type="cellIs" dxfId="8758" priority="1789" operator="equal">
      <formula>3</formula>
    </cfRule>
  </conditionalFormatting>
  <conditionalFormatting sqref="T40">
    <cfRule type="cellIs" dxfId="8757" priority="1788" operator="notEqual">
      <formula>3</formula>
    </cfRule>
  </conditionalFormatting>
  <conditionalFormatting sqref="R27">
    <cfRule type="cellIs" dxfId="8756" priority="1787" operator="equal">
      <formula>3</formula>
    </cfRule>
  </conditionalFormatting>
  <conditionalFormatting sqref="R27">
    <cfRule type="cellIs" dxfId="8755" priority="1786" operator="equal">
      <formula>3</formula>
    </cfRule>
  </conditionalFormatting>
  <conditionalFormatting sqref="R27">
    <cfRule type="cellIs" dxfId="8754" priority="1785" operator="notEqual">
      <formula>3</formula>
    </cfRule>
  </conditionalFormatting>
  <conditionalFormatting sqref="R29">
    <cfRule type="cellIs" dxfId="8753" priority="1784" operator="equal">
      <formula>3</formula>
    </cfRule>
  </conditionalFormatting>
  <conditionalFormatting sqref="R29">
    <cfRule type="cellIs" dxfId="8752" priority="1783" operator="equal">
      <formula>3</formula>
    </cfRule>
  </conditionalFormatting>
  <conditionalFormatting sqref="R29">
    <cfRule type="cellIs" dxfId="8751" priority="1782" operator="notEqual">
      <formula>3</formula>
    </cfRule>
  </conditionalFormatting>
  <conditionalFormatting sqref="T27">
    <cfRule type="cellIs" dxfId="8750" priority="1781" operator="equal">
      <formula>3</formula>
    </cfRule>
  </conditionalFormatting>
  <conditionalFormatting sqref="T27">
    <cfRule type="cellIs" dxfId="8749" priority="1780" operator="equal">
      <formula>3</formula>
    </cfRule>
  </conditionalFormatting>
  <conditionalFormatting sqref="T27">
    <cfRule type="cellIs" dxfId="8748" priority="1779" operator="notEqual">
      <formula>3</formula>
    </cfRule>
  </conditionalFormatting>
  <conditionalFormatting sqref="V27">
    <cfRule type="cellIs" dxfId="8747" priority="1778" operator="equal">
      <formula>3</formula>
    </cfRule>
  </conditionalFormatting>
  <conditionalFormatting sqref="V27">
    <cfRule type="cellIs" dxfId="8746" priority="1777" operator="equal">
      <formula>3</formula>
    </cfRule>
  </conditionalFormatting>
  <conditionalFormatting sqref="V27">
    <cfRule type="cellIs" dxfId="8745" priority="1776" operator="notEqual">
      <formula>3</formula>
    </cfRule>
  </conditionalFormatting>
  <conditionalFormatting sqref="X27">
    <cfRule type="cellIs" dxfId="8744" priority="1775" operator="equal">
      <formula>3</formula>
    </cfRule>
  </conditionalFormatting>
  <conditionalFormatting sqref="X27">
    <cfRule type="cellIs" dxfId="8743" priority="1774" operator="equal">
      <formula>3</formula>
    </cfRule>
  </conditionalFormatting>
  <conditionalFormatting sqref="X27">
    <cfRule type="cellIs" dxfId="8742" priority="1773" operator="notEqual">
      <formula>3</formula>
    </cfRule>
  </conditionalFormatting>
  <conditionalFormatting sqref="R47">
    <cfRule type="cellIs" dxfId="8741" priority="1733" operator="equal">
      <formula>3</formula>
    </cfRule>
  </conditionalFormatting>
  <conditionalFormatting sqref="R47">
    <cfRule type="cellIs" dxfId="8740" priority="1732" operator="equal">
      <formula>3</formula>
    </cfRule>
  </conditionalFormatting>
  <conditionalFormatting sqref="R47">
    <cfRule type="cellIs" dxfId="8739" priority="1731" operator="notEqual">
      <formula>3</formula>
    </cfRule>
  </conditionalFormatting>
  <conditionalFormatting sqref="R45">
    <cfRule type="cellIs" dxfId="8738" priority="1727" operator="equal">
      <formula>3</formula>
    </cfRule>
  </conditionalFormatting>
  <conditionalFormatting sqref="R45">
    <cfRule type="cellIs" dxfId="8737" priority="1726" operator="equal">
      <formula>3</formula>
    </cfRule>
  </conditionalFormatting>
  <conditionalFormatting sqref="R45">
    <cfRule type="cellIs" dxfId="8736" priority="1725" operator="notEqual">
      <formula>3</formula>
    </cfRule>
  </conditionalFormatting>
  <conditionalFormatting sqref="T45">
    <cfRule type="cellIs" dxfId="8735" priority="1724" operator="equal">
      <formula>3</formula>
    </cfRule>
  </conditionalFormatting>
  <conditionalFormatting sqref="T45">
    <cfRule type="cellIs" dxfId="8734" priority="1723" operator="equal">
      <formula>3</formula>
    </cfRule>
  </conditionalFormatting>
  <conditionalFormatting sqref="T45">
    <cfRule type="cellIs" dxfId="8733" priority="1722" operator="notEqual">
      <formula>3</formula>
    </cfRule>
  </conditionalFormatting>
  <conditionalFormatting sqref="R44">
    <cfRule type="cellIs" dxfId="8732" priority="1721" operator="equal">
      <formula>3</formula>
    </cfRule>
  </conditionalFormatting>
  <conditionalFormatting sqref="R44">
    <cfRule type="cellIs" dxfId="8731" priority="1720" operator="equal">
      <formula>3</formula>
    </cfRule>
  </conditionalFormatting>
  <conditionalFormatting sqref="R44">
    <cfRule type="cellIs" dxfId="8730" priority="1719" operator="notEqual">
      <formula>3</formula>
    </cfRule>
  </conditionalFormatting>
  <conditionalFormatting sqref="T44">
    <cfRule type="cellIs" dxfId="8729" priority="1718" operator="equal">
      <formula>3</formula>
    </cfRule>
  </conditionalFormatting>
  <conditionalFormatting sqref="T44">
    <cfRule type="cellIs" dxfId="8728" priority="1717" operator="equal">
      <formula>3</formula>
    </cfRule>
  </conditionalFormatting>
  <conditionalFormatting sqref="T44">
    <cfRule type="cellIs" dxfId="8727" priority="1716" operator="notEqual">
      <formula>3</formula>
    </cfRule>
  </conditionalFormatting>
  <conditionalFormatting sqref="V44">
    <cfRule type="cellIs" dxfId="8726" priority="1715" operator="equal">
      <formula>3</formula>
    </cfRule>
  </conditionalFormatting>
  <conditionalFormatting sqref="V44">
    <cfRule type="cellIs" dxfId="8725" priority="1714" operator="equal">
      <formula>3</formula>
    </cfRule>
  </conditionalFormatting>
  <conditionalFormatting sqref="V44">
    <cfRule type="cellIs" dxfId="8724" priority="1713" operator="notEqual">
      <formula>3</formula>
    </cfRule>
  </conditionalFormatting>
  <conditionalFormatting sqref="T56:T57">
    <cfRule type="cellIs" dxfId="8723" priority="1709" operator="equal">
      <formula>3</formula>
    </cfRule>
  </conditionalFormatting>
  <conditionalFormatting sqref="T56:T57">
    <cfRule type="cellIs" dxfId="8722" priority="1708" operator="equal">
      <formula>3</formula>
    </cfRule>
  </conditionalFormatting>
  <conditionalFormatting sqref="T56:T57">
    <cfRule type="cellIs" dxfId="8721" priority="1707" operator="notEqual">
      <formula>3</formula>
    </cfRule>
  </conditionalFormatting>
  <conditionalFormatting sqref="R56:R57">
    <cfRule type="cellIs" dxfId="8720" priority="1706" operator="equal">
      <formula>3</formula>
    </cfRule>
  </conditionalFormatting>
  <conditionalFormatting sqref="R56:R57">
    <cfRule type="cellIs" dxfId="8719" priority="1705" operator="equal">
      <formula>3</formula>
    </cfRule>
  </conditionalFormatting>
  <conditionalFormatting sqref="R56:R57">
    <cfRule type="cellIs" dxfId="8718" priority="1704" operator="notEqual">
      <formula>3</formula>
    </cfRule>
  </conditionalFormatting>
  <conditionalFormatting sqref="R31">
    <cfRule type="cellIs" dxfId="8717" priority="1703" operator="equal">
      <formula>3</formula>
    </cfRule>
  </conditionalFormatting>
  <conditionalFormatting sqref="R31">
    <cfRule type="cellIs" dxfId="8716" priority="1702" operator="equal">
      <formula>3</formula>
    </cfRule>
  </conditionalFormatting>
  <conditionalFormatting sqref="R31">
    <cfRule type="cellIs" dxfId="8715" priority="1701" operator="notEqual">
      <formula>3</formula>
    </cfRule>
  </conditionalFormatting>
  <conditionalFormatting sqref="T31">
    <cfRule type="cellIs" dxfId="8714" priority="1700" operator="equal">
      <formula>3</formula>
    </cfRule>
  </conditionalFormatting>
  <conditionalFormatting sqref="T31">
    <cfRule type="cellIs" dxfId="8713" priority="1699" operator="equal">
      <formula>3</formula>
    </cfRule>
  </conditionalFormatting>
  <conditionalFormatting sqref="T31">
    <cfRule type="cellIs" dxfId="8712" priority="1698" operator="notEqual">
      <formula>3</formula>
    </cfRule>
  </conditionalFormatting>
  <conditionalFormatting sqref="T23">
    <cfRule type="cellIs" dxfId="8711" priority="1697" operator="equal">
      <formula>3</formula>
    </cfRule>
  </conditionalFormatting>
  <conditionalFormatting sqref="T23">
    <cfRule type="cellIs" dxfId="8710" priority="1696" operator="equal">
      <formula>3</formula>
    </cfRule>
  </conditionalFormatting>
  <conditionalFormatting sqref="T23">
    <cfRule type="cellIs" dxfId="8709" priority="1695" operator="notEqual">
      <formula>3</formula>
    </cfRule>
  </conditionalFormatting>
  <conditionalFormatting sqref="V50">
    <cfRule type="cellIs" dxfId="8708" priority="1691" operator="equal">
      <formula>4</formula>
    </cfRule>
  </conditionalFormatting>
  <conditionalFormatting sqref="V50">
    <cfRule type="cellIs" dxfId="8707" priority="1690" operator="lessThan">
      <formula>4</formula>
    </cfRule>
  </conditionalFormatting>
  <conditionalFormatting sqref="V50">
    <cfRule type="cellIs" dxfId="8706" priority="1689" operator="greaterThan">
      <formula>4</formula>
    </cfRule>
  </conditionalFormatting>
  <conditionalFormatting sqref="R39">
    <cfRule type="cellIs" dxfId="8705" priority="1675" operator="equal">
      <formula>3</formula>
    </cfRule>
  </conditionalFormatting>
  <conditionalFormatting sqref="R39">
    <cfRule type="cellIs" dxfId="8704" priority="1674" operator="equal">
      <formula>3</formula>
    </cfRule>
  </conditionalFormatting>
  <conditionalFormatting sqref="R39">
    <cfRule type="cellIs" dxfId="8703" priority="1673" operator="notEqual">
      <formula>3</formula>
    </cfRule>
  </conditionalFormatting>
  <conditionalFormatting sqref="T39">
    <cfRule type="cellIs" dxfId="8702" priority="1672" operator="equal">
      <formula>3</formula>
    </cfRule>
  </conditionalFormatting>
  <conditionalFormatting sqref="T39">
    <cfRule type="cellIs" dxfId="8701" priority="1671" operator="equal">
      <formula>3</formula>
    </cfRule>
  </conditionalFormatting>
  <conditionalFormatting sqref="T39">
    <cfRule type="cellIs" dxfId="8700" priority="1670" operator="notEqual">
      <formula>3</formula>
    </cfRule>
  </conditionalFormatting>
  <conditionalFormatting sqref="R57">
    <cfRule type="cellIs" dxfId="8699" priority="1639" operator="equal">
      <formula>3</formula>
    </cfRule>
  </conditionalFormatting>
  <conditionalFormatting sqref="R57">
    <cfRule type="cellIs" dxfId="8698" priority="1638" operator="equal">
      <formula>3</formula>
    </cfRule>
  </conditionalFormatting>
  <conditionalFormatting sqref="R57">
    <cfRule type="cellIs" dxfId="8697" priority="1637" operator="notEqual">
      <formula>3</formula>
    </cfRule>
  </conditionalFormatting>
  <conditionalFormatting sqref="T57">
    <cfRule type="cellIs" dxfId="8696" priority="1636" operator="equal">
      <formula>3</formula>
    </cfRule>
  </conditionalFormatting>
  <conditionalFormatting sqref="T57">
    <cfRule type="cellIs" dxfId="8695" priority="1635" operator="equal">
      <formula>3</formula>
    </cfRule>
  </conditionalFormatting>
  <conditionalFormatting sqref="T57">
    <cfRule type="cellIs" dxfId="8694" priority="1634" operator="notEqual">
      <formula>3</formula>
    </cfRule>
  </conditionalFormatting>
  <conditionalFormatting sqref="X57">
    <cfRule type="cellIs" dxfId="8693" priority="1633" operator="equal">
      <formula>3</formula>
    </cfRule>
  </conditionalFormatting>
  <conditionalFormatting sqref="X57">
    <cfRule type="cellIs" dxfId="8692" priority="1632" operator="equal">
      <formula>3</formula>
    </cfRule>
  </conditionalFormatting>
  <conditionalFormatting sqref="X57">
    <cfRule type="cellIs" dxfId="8691" priority="1631" operator="notEqual">
      <formula>3</formula>
    </cfRule>
  </conditionalFormatting>
  <conditionalFormatting sqref="R46">
    <cfRule type="cellIs" dxfId="8690" priority="1630" operator="equal">
      <formula>3</formula>
    </cfRule>
  </conditionalFormatting>
  <conditionalFormatting sqref="R46">
    <cfRule type="cellIs" dxfId="8689" priority="1629" operator="equal">
      <formula>3</formula>
    </cfRule>
  </conditionalFormatting>
  <conditionalFormatting sqref="R46">
    <cfRule type="cellIs" dxfId="8688" priority="1628" operator="notEqual">
      <formula>3</formula>
    </cfRule>
  </conditionalFormatting>
  <conditionalFormatting sqref="T46">
    <cfRule type="cellIs" dxfId="8687" priority="1627" operator="equal">
      <formula>3</formula>
    </cfRule>
  </conditionalFormatting>
  <conditionalFormatting sqref="T46">
    <cfRule type="cellIs" dxfId="8686" priority="1626" operator="equal">
      <formula>3</formula>
    </cfRule>
  </conditionalFormatting>
  <conditionalFormatting sqref="T46">
    <cfRule type="cellIs" dxfId="8685" priority="1625" operator="notEqual">
      <formula>3</formula>
    </cfRule>
  </conditionalFormatting>
  <conditionalFormatting sqref="R44">
    <cfRule type="cellIs" dxfId="8684" priority="1624" operator="equal">
      <formula>3</formula>
    </cfRule>
  </conditionalFormatting>
  <conditionalFormatting sqref="R44">
    <cfRule type="cellIs" dxfId="8683" priority="1623" operator="equal">
      <formula>3</formula>
    </cfRule>
  </conditionalFormatting>
  <conditionalFormatting sqref="R44">
    <cfRule type="cellIs" dxfId="8682" priority="1622" operator="notEqual">
      <formula>3</formula>
    </cfRule>
  </conditionalFormatting>
  <conditionalFormatting sqref="T44">
    <cfRule type="cellIs" dxfId="8681" priority="1621" operator="equal">
      <formula>3</formula>
    </cfRule>
  </conditionalFormatting>
  <conditionalFormatting sqref="T44">
    <cfRule type="cellIs" dxfId="8680" priority="1620" operator="equal">
      <formula>3</formula>
    </cfRule>
  </conditionalFormatting>
  <conditionalFormatting sqref="T44">
    <cfRule type="cellIs" dxfId="8679" priority="1619" operator="notEqual">
      <formula>3</formula>
    </cfRule>
  </conditionalFormatting>
  <conditionalFormatting sqref="R43">
    <cfRule type="cellIs" dxfId="8678" priority="1617" operator="equal">
      <formula>3</formula>
    </cfRule>
  </conditionalFormatting>
  <conditionalFormatting sqref="R43">
    <cfRule type="cellIs" dxfId="8677" priority="1616" operator="notEqual">
      <formula>3</formula>
    </cfRule>
  </conditionalFormatting>
  <conditionalFormatting sqref="T43">
    <cfRule type="cellIs" dxfId="8676" priority="1614" operator="equal">
      <formula>3</formula>
    </cfRule>
  </conditionalFormatting>
  <conditionalFormatting sqref="T43">
    <cfRule type="cellIs" dxfId="8675" priority="1613" operator="notEqual">
      <formula>3</formula>
    </cfRule>
  </conditionalFormatting>
  <conditionalFormatting sqref="V43">
    <cfRule type="cellIs" dxfId="8674" priority="1612" operator="equal">
      <formula>3</formula>
    </cfRule>
  </conditionalFormatting>
  <conditionalFormatting sqref="V43">
    <cfRule type="cellIs" dxfId="8673" priority="1611" operator="equal">
      <formula>3</formula>
    </cfRule>
  </conditionalFormatting>
  <conditionalFormatting sqref="V43">
    <cfRule type="cellIs" dxfId="8672" priority="1610" operator="notEqual">
      <formula>3</formula>
    </cfRule>
  </conditionalFormatting>
  <conditionalFormatting sqref="R55">
    <cfRule type="cellIs" dxfId="8671" priority="1603" operator="equal">
      <formula>3</formula>
    </cfRule>
  </conditionalFormatting>
  <conditionalFormatting sqref="R55">
    <cfRule type="cellIs" dxfId="8670" priority="1602" operator="equal">
      <formula>3</formula>
    </cfRule>
  </conditionalFormatting>
  <conditionalFormatting sqref="R55">
    <cfRule type="cellIs" dxfId="8669" priority="1601" operator="notEqual">
      <formula>3</formula>
    </cfRule>
  </conditionalFormatting>
  <conditionalFormatting sqref="V49">
    <cfRule type="cellIs" dxfId="8668" priority="1597" operator="equal">
      <formula>4</formula>
    </cfRule>
  </conditionalFormatting>
  <conditionalFormatting sqref="V49">
    <cfRule type="cellIs" dxfId="8667" priority="1596" operator="lessThan">
      <formula>4</formula>
    </cfRule>
  </conditionalFormatting>
  <conditionalFormatting sqref="V49">
    <cfRule type="cellIs" dxfId="8666" priority="1595" operator="greaterThan">
      <formula>4</formula>
    </cfRule>
  </conditionalFormatting>
  <conditionalFormatting sqref="T15">
    <cfRule type="cellIs" dxfId="8665" priority="1588" operator="equal">
      <formula>3</formula>
    </cfRule>
  </conditionalFormatting>
  <conditionalFormatting sqref="T15">
    <cfRule type="cellIs" dxfId="8664" priority="1587" operator="equal">
      <formula>3</formula>
    </cfRule>
  </conditionalFormatting>
  <conditionalFormatting sqref="T15">
    <cfRule type="cellIs" dxfId="8663" priority="1586" operator="notEqual">
      <formula>3</formula>
    </cfRule>
  </conditionalFormatting>
  <conditionalFormatting sqref="T14">
    <cfRule type="cellIs" dxfId="8662" priority="1585" operator="equal">
      <formula>3</formula>
    </cfRule>
  </conditionalFormatting>
  <conditionalFormatting sqref="T14">
    <cfRule type="cellIs" dxfId="8661" priority="1584" operator="equal">
      <formula>3</formula>
    </cfRule>
  </conditionalFormatting>
  <conditionalFormatting sqref="T14">
    <cfRule type="cellIs" dxfId="8660" priority="1583" operator="notEqual">
      <formula>3</formula>
    </cfRule>
  </conditionalFormatting>
  <conditionalFormatting sqref="R40">
    <cfRule type="cellIs" dxfId="8659" priority="1577" operator="equal">
      <formula>3</formula>
    </cfRule>
  </conditionalFormatting>
  <conditionalFormatting sqref="R40">
    <cfRule type="cellIs" dxfId="8658" priority="1576" operator="equal">
      <formula>3</formula>
    </cfRule>
  </conditionalFormatting>
  <conditionalFormatting sqref="R40">
    <cfRule type="cellIs" dxfId="8657" priority="1575" operator="notEqual">
      <formula>3</formula>
    </cfRule>
  </conditionalFormatting>
  <conditionalFormatting sqref="T40">
    <cfRule type="cellIs" dxfId="8656" priority="1574" operator="equal">
      <formula>3</formula>
    </cfRule>
  </conditionalFormatting>
  <conditionalFormatting sqref="T40">
    <cfRule type="cellIs" dxfId="8655" priority="1573" operator="equal">
      <formula>3</formula>
    </cfRule>
  </conditionalFormatting>
  <conditionalFormatting sqref="T40">
    <cfRule type="cellIs" dxfId="8654" priority="1572" operator="notEqual">
      <formula>3</formula>
    </cfRule>
  </conditionalFormatting>
  <conditionalFormatting sqref="V20">
    <cfRule type="cellIs" dxfId="8653" priority="1568" operator="equal">
      <formula>3</formula>
    </cfRule>
  </conditionalFormatting>
  <conditionalFormatting sqref="V20">
    <cfRule type="cellIs" dxfId="8652" priority="1567" operator="equal">
      <formula>3</formula>
    </cfRule>
  </conditionalFormatting>
  <conditionalFormatting sqref="V20">
    <cfRule type="cellIs" dxfId="8651" priority="1566" operator="notEqual">
      <formula>3</formula>
    </cfRule>
  </conditionalFormatting>
  <conditionalFormatting sqref="R43">
    <cfRule type="cellIs" dxfId="8650" priority="1447" operator="equal">
      <formula>3</formula>
    </cfRule>
  </conditionalFormatting>
  <conditionalFormatting sqref="R27">
    <cfRule type="cellIs" dxfId="8649" priority="1559" operator="equal">
      <formula>3</formula>
    </cfRule>
  </conditionalFormatting>
  <conditionalFormatting sqref="R27">
    <cfRule type="cellIs" dxfId="8648" priority="1558" operator="equal">
      <formula>3</formula>
    </cfRule>
  </conditionalFormatting>
  <conditionalFormatting sqref="R27">
    <cfRule type="cellIs" dxfId="8647" priority="1557" operator="notEqual">
      <formula>3</formula>
    </cfRule>
  </conditionalFormatting>
  <conditionalFormatting sqref="R29">
    <cfRule type="cellIs" dxfId="8646" priority="1556" operator="equal">
      <formula>3</formula>
    </cfRule>
  </conditionalFormatting>
  <conditionalFormatting sqref="R29">
    <cfRule type="cellIs" dxfId="8645" priority="1555" operator="equal">
      <formula>3</formula>
    </cfRule>
  </conditionalFormatting>
  <conditionalFormatting sqref="R29">
    <cfRule type="cellIs" dxfId="8644" priority="1554" operator="notEqual">
      <formula>3</formula>
    </cfRule>
  </conditionalFormatting>
  <conditionalFormatting sqref="T27">
    <cfRule type="cellIs" dxfId="8643" priority="1553" operator="equal">
      <formula>3</formula>
    </cfRule>
  </conditionalFormatting>
  <conditionalFormatting sqref="T27">
    <cfRule type="cellIs" dxfId="8642" priority="1552" operator="equal">
      <formula>3</formula>
    </cfRule>
  </conditionalFormatting>
  <conditionalFormatting sqref="T27">
    <cfRule type="cellIs" dxfId="8641" priority="1551" operator="notEqual">
      <formula>3</formula>
    </cfRule>
  </conditionalFormatting>
  <conditionalFormatting sqref="V27">
    <cfRule type="cellIs" dxfId="8640" priority="1550" operator="equal">
      <formula>3</formula>
    </cfRule>
  </conditionalFormatting>
  <conditionalFormatting sqref="V27">
    <cfRule type="cellIs" dxfId="8639" priority="1549" operator="equal">
      <formula>3</formula>
    </cfRule>
  </conditionalFormatting>
  <conditionalFormatting sqref="V27">
    <cfRule type="cellIs" dxfId="8638" priority="1548" operator="notEqual">
      <formula>3</formula>
    </cfRule>
  </conditionalFormatting>
  <conditionalFormatting sqref="X27">
    <cfRule type="cellIs" dxfId="8637" priority="1547" operator="equal">
      <formula>3</formula>
    </cfRule>
  </conditionalFormatting>
  <conditionalFormatting sqref="X27">
    <cfRule type="cellIs" dxfId="8636" priority="1546" operator="equal">
      <formula>3</formula>
    </cfRule>
  </conditionalFormatting>
  <conditionalFormatting sqref="X27">
    <cfRule type="cellIs" dxfId="8635" priority="1545" operator="notEqual">
      <formula>3</formula>
    </cfRule>
  </conditionalFormatting>
  <conditionalFormatting sqref="R47">
    <cfRule type="cellIs" dxfId="8634" priority="1532" operator="equal">
      <formula>3</formula>
    </cfRule>
  </conditionalFormatting>
  <conditionalFormatting sqref="R47">
    <cfRule type="cellIs" dxfId="8633" priority="1531" operator="equal">
      <formula>3</formula>
    </cfRule>
  </conditionalFormatting>
  <conditionalFormatting sqref="R47">
    <cfRule type="cellIs" dxfId="8632" priority="1530" operator="notEqual">
      <formula>3</formula>
    </cfRule>
  </conditionalFormatting>
  <conditionalFormatting sqref="R45">
    <cfRule type="cellIs" dxfId="8631" priority="1526" operator="equal">
      <formula>3</formula>
    </cfRule>
  </conditionalFormatting>
  <conditionalFormatting sqref="R45">
    <cfRule type="cellIs" dxfId="8630" priority="1525" operator="equal">
      <formula>3</formula>
    </cfRule>
  </conditionalFormatting>
  <conditionalFormatting sqref="R45">
    <cfRule type="cellIs" dxfId="8629" priority="1524" operator="notEqual">
      <formula>3</formula>
    </cfRule>
  </conditionalFormatting>
  <conditionalFormatting sqref="T45">
    <cfRule type="cellIs" dxfId="8628" priority="1523" operator="equal">
      <formula>3</formula>
    </cfRule>
  </conditionalFormatting>
  <conditionalFormatting sqref="T45">
    <cfRule type="cellIs" dxfId="8627" priority="1522" operator="equal">
      <formula>3</formula>
    </cfRule>
  </conditionalFormatting>
  <conditionalFormatting sqref="T45">
    <cfRule type="cellIs" dxfId="8626" priority="1521" operator="notEqual">
      <formula>3</formula>
    </cfRule>
  </conditionalFormatting>
  <conditionalFormatting sqref="R44">
    <cfRule type="cellIs" dxfId="8625" priority="1520" operator="equal">
      <formula>3</formula>
    </cfRule>
  </conditionalFormatting>
  <conditionalFormatting sqref="R44">
    <cfRule type="cellIs" dxfId="8624" priority="1519" operator="equal">
      <formula>3</formula>
    </cfRule>
  </conditionalFormatting>
  <conditionalFormatting sqref="R44">
    <cfRule type="cellIs" dxfId="8623" priority="1518" operator="notEqual">
      <formula>3</formula>
    </cfRule>
  </conditionalFormatting>
  <conditionalFormatting sqref="T44">
    <cfRule type="cellIs" dxfId="8622" priority="1517" operator="equal">
      <formula>3</formula>
    </cfRule>
  </conditionalFormatting>
  <conditionalFormatting sqref="T44">
    <cfRule type="cellIs" dxfId="8621" priority="1516" operator="equal">
      <formula>3</formula>
    </cfRule>
  </conditionalFormatting>
  <conditionalFormatting sqref="T44">
    <cfRule type="cellIs" dxfId="8620" priority="1515" operator="notEqual">
      <formula>3</formula>
    </cfRule>
  </conditionalFormatting>
  <conditionalFormatting sqref="V44">
    <cfRule type="cellIs" dxfId="8619" priority="1514" operator="equal">
      <formula>3</formula>
    </cfRule>
  </conditionalFormatting>
  <conditionalFormatting sqref="V44">
    <cfRule type="cellIs" dxfId="8618" priority="1513" operator="equal">
      <formula>3</formula>
    </cfRule>
  </conditionalFormatting>
  <conditionalFormatting sqref="V44">
    <cfRule type="cellIs" dxfId="8617" priority="1512" operator="notEqual">
      <formula>3</formula>
    </cfRule>
  </conditionalFormatting>
  <conditionalFormatting sqref="T56:T57">
    <cfRule type="cellIs" dxfId="8616" priority="1508" operator="equal">
      <formula>3</formula>
    </cfRule>
  </conditionalFormatting>
  <conditionalFormatting sqref="T56:T57">
    <cfRule type="cellIs" dxfId="8615" priority="1507" operator="equal">
      <formula>3</formula>
    </cfRule>
  </conditionalFormatting>
  <conditionalFormatting sqref="T56:T57">
    <cfRule type="cellIs" dxfId="8614" priority="1506" operator="notEqual">
      <formula>3</formula>
    </cfRule>
  </conditionalFormatting>
  <conditionalFormatting sqref="R56:R57">
    <cfRule type="cellIs" dxfId="8613" priority="1505" operator="equal">
      <formula>3</formula>
    </cfRule>
  </conditionalFormatting>
  <conditionalFormatting sqref="R56:R57">
    <cfRule type="cellIs" dxfId="8612" priority="1504" operator="equal">
      <formula>3</formula>
    </cfRule>
  </conditionalFormatting>
  <conditionalFormatting sqref="R56:R57">
    <cfRule type="cellIs" dxfId="8611" priority="1503" operator="notEqual">
      <formula>3</formula>
    </cfRule>
  </conditionalFormatting>
  <conditionalFormatting sqref="R31">
    <cfRule type="cellIs" dxfId="8610" priority="1502" operator="equal">
      <formula>3</formula>
    </cfRule>
  </conditionalFormatting>
  <conditionalFormatting sqref="R31">
    <cfRule type="cellIs" dxfId="8609" priority="1501" operator="equal">
      <formula>3</formula>
    </cfRule>
  </conditionalFormatting>
  <conditionalFormatting sqref="R31">
    <cfRule type="cellIs" dxfId="8608" priority="1500" operator="notEqual">
      <formula>3</formula>
    </cfRule>
  </conditionalFormatting>
  <conditionalFormatting sqref="T31">
    <cfRule type="cellIs" dxfId="8607" priority="1499" operator="equal">
      <formula>3</formula>
    </cfRule>
  </conditionalFormatting>
  <conditionalFormatting sqref="T31">
    <cfRule type="cellIs" dxfId="8606" priority="1498" operator="equal">
      <formula>3</formula>
    </cfRule>
  </conditionalFormatting>
  <conditionalFormatting sqref="T31">
    <cfRule type="cellIs" dxfId="8605" priority="1497" operator="notEqual">
      <formula>3</formula>
    </cfRule>
  </conditionalFormatting>
  <conditionalFormatting sqref="T23">
    <cfRule type="cellIs" dxfId="8604" priority="1496" operator="equal">
      <formula>3</formula>
    </cfRule>
  </conditionalFormatting>
  <conditionalFormatting sqref="T23">
    <cfRule type="cellIs" dxfId="8603" priority="1495" operator="equal">
      <formula>3</formula>
    </cfRule>
  </conditionalFormatting>
  <conditionalFormatting sqref="T23">
    <cfRule type="cellIs" dxfId="8602" priority="1494" operator="notEqual">
      <formula>3</formula>
    </cfRule>
  </conditionalFormatting>
  <conditionalFormatting sqref="V35">
    <cfRule type="cellIs" dxfId="8601" priority="1493" operator="equal">
      <formula>4</formula>
    </cfRule>
  </conditionalFormatting>
  <conditionalFormatting sqref="V35">
    <cfRule type="cellIs" dxfId="8600" priority="1492" operator="lessThan">
      <formula>4</formula>
    </cfRule>
  </conditionalFormatting>
  <conditionalFormatting sqref="V35">
    <cfRule type="cellIs" dxfId="8599" priority="1491" operator="greaterThan">
      <formula>4</formula>
    </cfRule>
  </conditionalFormatting>
  <conditionalFormatting sqref="V50">
    <cfRule type="cellIs" dxfId="8598" priority="1490" operator="equal">
      <formula>4</formula>
    </cfRule>
  </conditionalFormatting>
  <conditionalFormatting sqref="V50">
    <cfRule type="cellIs" dxfId="8597" priority="1489" operator="lessThan">
      <formula>4</formula>
    </cfRule>
  </conditionalFormatting>
  <conditionalFormatting sqref="V50">
    <cfRule type="cellIs" dxfId="8596" priority="1488" operator="greaterThan">
      <formula>4</formula>
    </cfRule>
  </conditionalFormatting>
  <conditionalFormatting sqref="R39">
    <cfRule type="cellIs" dxfId="8595" priority="1477" operator="equal">
      <formula>3</formula>
    </cfRule>
  </conditionalFormatting>
  <conditionalFormatting sqref="R39">
    <cfRule type="cellIs" dxfId="8594" priority="1476" operator="equal">
      <formula>3</formula>
    </cfRule>
  </conditionalFormatting>
  <conditionalFormatting sqref="R39">
    <cfRule type="cellIs" dxfId="8593" priority="1475" operator="notEqual">
      <formula>3</formula>
    </cfRule>
  </conditionalFormatting>
  <conditionalFormatting sqref="T39">
    <cfRule type="cellIs" dxfId="8592" priority="1474" operator="equal">
      <formula>3</formula>
    </cfRule>
  </conditionalFormatting>
  <conditionalFormatting sqref="T39">
    <cfRule type="cellIs" dxfId="8591" priority="1473" operator="equal">
      <formula>3</formula>
    </cfRule>
  </conditionalFormatting>
  <conditionalFormatting sqref="T39">
    <cfRule type="cellIs" dxfId="8590" priority="1472" operator="notEqual">
      <formula>3</formula>
    </cfRule>
  </conditionalFormatting>
  <conditionalFormatting sqref="R46">
    <cfRule type="cellIs" dxfId="8589" priority="1459" operator="equal">
      <formula>3</formula>
    </cfRule>
  </conditionalFormatting>
  <conditionalFormatting sqref="R46">
    <cfRule type="cellIs" dxfId="8588" priority="1458" operator="equal">
      <formula>3</formula>
    </cfRule>
  </conditionalFormatting>
  <conditionalFormatting sqref="R46">
    <cfRule type="cellIs" dxfId="8587" priority="1457" operator="notEqual">
      <formula>3</formula>
    </cfRule>
  </conditionalFormatting>
  <conditionalFormatting sqref="T46">
    <cfRule type="cellIs" dxfId="8586" priority="1456" operator="equal">
      <formula>3</formula>
    </cfRule>
  </conditionalFormatting>
  <conditionalFormatting sqref="T46">
    <cfRule type="cellIs" dxfId="8585" priority="1455" operator="equal">
      <formula>3</formula>
    </cfRule>
  </conditionalFormatting>
  <conditionalFormatting sqref="T46">
    <cfRule type="cellIs" dxfId="8584" priority="1454" operator="notEqual">
      <formula>3</formula>
    </cfRule>
  </conditionalFormatting>
  <conditionalFormatting sqref="R44">
    <cfRule type="cellIs" dxfId="8583" priority="1453" operator="equal">
      <formula>3</formula>
    </cfRule>
  </conditionalFormatting>
  <conditionalFormatting sqref="R44">
    <cfRule type="cellIs" dxfId="8582" priority="1452" operator="equal">
      <formula>3</formula>
    </cfRule>
  </conditionalFormatting>
  <conditionalFormatting sqref="R44">
    <cfRule type="cellIs" dxfId="8581" priority="1451" operator="notEqual">
      <formula>3</formula>
    </cfRule>
  </conditionalFormatting>
  <conditionalFormatting sqref="T44">
    <cfRule type="cellIs" dxfId="8580" priority="1450" operator="equal">
      <formula>3</formula>
    </cfRule>
  </conditionalFormatting>
  <conditionalFormatting sqref="T44">
    <cfRule type="cellIs" dxfId="8579" priority="1449" operator="equal">
      <formula>3</formula>
    </cfRule>
  </conditionalFormatting>
  <conditionalFormatting sqref="T44">
    <cfRule type="cellIs" dxfId="8578" priority="1448" operator="notEqual">
      <formula>3</formula>
    </cfRule>
  </conditionalFormatting>
  <conditionalFormatting sqref="R43">
    <cfRule type="cellIs" dxfId="8577" priority="1446" operator="equal">
      <formula>3</formula>
    </cfRule>
  </conditionalFormatting>
  <conditionalFormatting sqref="R43">
    <cfRule type="cellIs" dxfId="8576" priority="1445" operator="notEqual">
      <formula>3</formula>
    </cfRule>
  </conditionalFormatting>
  <conditionalFormatting sqref="T43">
    <cfRule type="cellIs" dxfId="8575" priority="1444" operator="equal">
      <formula>3</formula>
    </cfRule>
  </conditionalFormatting>
  <conditionalFormatting sqref="T43">
    <cfRule type="cellIs" dxfId="8574" priority="1443" operator="equal">
      <formula>3</formula>
    </cfRule>
  </conditionalFormatting>
  <conditionalFormatting sqref="T43">
    <cfRule type="cellIs" dxfId="8573" priority="1442" operator="notEqual">
      <formula>3</formula>
    </cfRule>
  </conditionalFormatting>
  <conditionalFormatting sqref="V43">
    <cfRule type="cellIs" dxfId="8572" priority="1441" operator="equal">
      <formula>3</formula>
    </cfRule>
  </conditionalFormatting>
  <conditionalFormatting sqref="V43">
    <cfRule type="cellIs" dxfId="8571" priority="1440" operator="equal">
      <formula>3</formula>
    </cfRule>
  </conditionalFormatting>
  <conditionalFormatting sqref="V43">
    <cfRule type="cellIs" dxfId="8570" priority="1439" operator="notEqual">
      <formula>3</formula>
    </cfRule>
  </conditionalFormatting>
  <conditionalFormatting sqref="R55">
    <cfRule type="cellIs" dxfId="8569" priority="1432" operator="equal">
      <formula>3</formula>
    </cfRule>
  </conditionalFormatting>
  <conditionalFormatting sqref="R55">
    <cfRule type="cellIs" dxfId="8568" priority="1431" operator="equal">
      <formula>3</formula>
    </cfRule>
  </conditionalFormatting>
  <conditionalFormatting sqref="R55">
    <cfRule type="cellIs" dxfId="8567" priority="1430" operator="notEqual">
      <formula>3</formula>
    </cfRule>
  </conditionalFormatting>
  <conditionalFormatting sqref="V49">
    <cfRule type="cellIs" dxfId="8566" priority="1426" operator="equal">
      <formula>4</formula>
    </cfRule>
  </conditionalFormatting>
  <conditionalFormatting sqref="V49">
    <cfRule type="cellIs" dxfId="8565" priority="1425" operator="lessThan">
      <formula>4</formula>
    </cfRule>
  </conditionalFormatting>
  <conditionalFormatting sqref="V49">
    <cfRule type="cellIs" dxfId="8564" priority="1424" operator="greaterThan">
      <formula>4</formula>
    </cfRule>
  </conditionalFormatting>
  <conditionalFormatting sqref="R39">
    <cfRule type="cellIs" dxfId="8563" priority="1418" operator="equal">
      <formula>3</formula>
    </cfRule>
  </conditionalFormatting>
  <conditionalFormatting sqref="R39">
    <cfRule type="cellIs" dxfId="8562" priority="1417" operator="equal">
      <formula>3</formula>
    </cfRule>
  </conditionalFormatting>
  <conditionalFormatting sqref="R39">
    <cfRule type="cellIs" dxfId="8561" priority="1416" operator="notEqual">
      <formula>3</formula>
    </cfRule>
  </conditionalFormatting>
  <conditionalFormatting sqref="T39">
    <cfRule type="cellIs" dxfId="8560" priority="1415" operator="equal">
      <formula>3</formula>
    </cfRule>
  </conditionalFormatting>
  <conditionalFormatting sqref="T39">
    <cfRule type="cellIs" dxfId="8559" priority="1414" operator="equal">
      <formula>3</formula>
    </cfRule>
  </conditionalFormatting>
  <conditionalFormatting sqref="T39">
    <cfRule type="cellIs" dxfId="8558" priority="1413" operator="notEqual">
      <formula>3</formula>
    </cfRule>
  </conditionalFormatting>
  <conditionalFormatting sqref="R28">
    <cfRule type="cellIs" dxfId="8557" priority="1409" operator="equal">
      <formula>3</formula>
    </cfRule>
  </conditionalFormatting>
  <conditionalFormatting sqref="R28">
    <cfRule type="cellIs" dxfId="8556" priority="1408" operator="equal">
      <formula>3</formula>
    </cfRule>
  </conditionalFormatting>
  <conditionalFormatting sqref="R28">
    <cfRule type="cellIs" dxfId="8555" priority="1407" operator="notEqual">
      <formula>3</formula>
    </cfRule>
  </conditionalFormatting>
  <conditionalFormatting sqref="T56:T57">
    <cfRule type="cellIs" dxfId="8554" priority="1315" operator="equal">
      <formula>3</formula>
    </cfRule>
  </conditionalFormatting>
  <conditionalFormatting sqref="R43">
    <cfRule type="cellIs" dxfId="8553" priority="1303" operator="equal">
      <formula>3</formula>
    </cfRule>
  </conditionalFormatting>
  <conditionalFormatting sqref="V42">
    <cfRule type="cellIs" dxfId="8552" priority="1291" operator="equal">
      <formula>3</formula>
    </cfRule>
  </conditionalFormatting>
  <conditionalFormatting sqref="R46">
    <cfRule type="cellIs" dxfId="8551" priority="1385" operator="equal">
      <formula>3</formula>
    </cfRule>
  </conditionalFormatting>
  <conditionalFormatting sqref="R46">
    <cfRule type="cellIs" dxfId="8550" priority="1384" operator="equal">
      <formula>3</formula>
    </cfRule>
  </conditionalFormatting>
  <conditionalFormatting sqref="R46">
    <cfRule type="cellIs" dxfId="8549" priority="1383" operator="notEqual">
      <formula>3</formula>
    </cfRule>
  </conditionalFormatting>
  <conditionalFormatting sqref="T46">
    <cfRule type="cellIs" dxfId="8548" priority="1382" operator="equal">
      <formula>3</formula>
    </cfRule>
  </conditionalFormatting>
  <conditionalFormatting sqref="T46">
    <cfRule type="cellIs" dxfId="8547" priority="1381" operator="equal">
      <formula>3</formula>
    </cfRule>
  </conditionalFormatting>
  <conditionalFormatting sqref="T46">
    <cfRule type="cellIs" dxfId="8546" priority="1380" operator="notEqual">
      <formula>3</formula>
    </cfRule>
  </conditionalFormatting>
  <conditionalFormatting sqref="R44">
    <cfRule type="cellIs" dxfId="8545" priority="1379" operator="equal">
      <formula>3</formula>
    </cfRule>
  </conditionalFormatting>
  <conditionalFormatting sqref="R44">
    <cfRule type="cellIs" dxfId="8544" priority="1378" operator="equal">
      <formula>3</formula>
    </cfRule>
  </conditionalFormatting>
  <conditionalFormatting sqref="R44">
    <cfRule type="cellIs" dxfId="8543" priority="1377" operator="notEqual">
      <formula>3</formula>
    </cfRule>
  </conditionalFormatting>
  <conditionalFormatting sqref="T44">
    <cfRule type="cellIs" dxfId="8542" priority="1376" operator="equal">
      <formula>3</formula>
    </cfRule>
  </conditionalFormatting>
  <conditionalFormatting sqref="T44">
    <cfRule type="cellIs" dxfId="8541" priority="1375" operator="equal">
      <formula>3</formula>
    </cfRule>
  </conditionalFormatting>
  <conditionalFormatting sqref="T44">
    <cfRule type="cellIs" dxfId="8540" priority="1374" operator="notEqual">
      <formula>3</formula>
    </cfRule>
  </conditionalFormatting>
  <conditionalFormatting sqref="R43">
    <cfRule type="cellIs" dxfId="8539" priority="1373" operator="equal">
      <formula>3</formula>
    </cfRule>
  </conditionalFormatting>
  <conditionalFormatting sqref="R43">
    <cfRule type="cellIs" dxfId="8538" priority="1372" operator="equal">
      <formula>3</formula>
    </cfRule>
  </conditionalFormatting>
  <conditionalFormatting sqref="R43">
    <cfRule type="cellIs" dxfId="8537" priority="1371" operator="notEqual">
      <formula>3</formula>
    </cfRule>
  </conditionalFormatting>
  <conditionalFormatting sqref="T43">
    <cfRule type="cellIs" dxfId="8536" priority="1370" operator="equal">
      <formula>3</formula>
    </cfRule>
  </conditionalFormatting>
  <conditionalFormatting sqref="T43">
    <cfRule type="cellIs" dxfId="8535" priority="1369" operator="equal">
      <formula>3</formula>
    </cfRule>
  </conditionalFormatting>
  <conditionalFormatting sqref="T43">
    <cfRule type="cellIs" dxfId="8534" priority="1368" operator="notEqual">
      <formula>3</formula>
    </cfRule>
  </conditionalFormatting>
  <conditionalFormatting sqref="V43">
    <cfRule type="cellIs" dxfId="8533" priority="1367" operator="equal">
      <formula>3</formula>
    </cfRule>
  </conditionalFormatting>
  <conditionalFormatting sqref="V43">
    <cfRule type="cellIs" dxfId="8532" priority="1366" operator="equal">
      <formula>3</formula>
    </cfRule>
  </conditionalFormatting>
  <conditionalFormatting sqref="V43">
    <cfRule type="cellIs" dxfId="8531" priority="1365" operator="notEqual">
      <formula>3</formula>
    </cfRule>
  </conditionalFormatting>
  <conditionalFormatting sqref="R55">
    <cfRule type="cellIs" dxfId="8530" priority="1358" operator="equal">
      <formula>3</formula>
    </cfRule>
  </conditionalFormatting>
  <conditionalFormatting sqref="R55">
    <cfRule type="cellIs" dxfId="8529" priority="1357" operator="equal">
      <formula>3</formula>
    </cfRule>
  </conditionalFormatting>
  <conditionalFormatting sqref="R55">
    <cfRule type="cellIs" dxfId="8528" priority="1356" operator="notEqual">
      <formula>3</formula>
    </cfRule>
  </conditionalFormatting>
  <conditionalFormatting sqref="T22">
    <cfRule type="cellIs" dxfId="8527" priority="1349" operator="equal">
      <formula>3</formula>
    </cfRule>
  </conditionalFormatting>
  <conditionalFormatting sqref="T22">
    <cfRule type="cellIs" dxfId="8526" priority="1348" operator="equal">
      <formula>3</formula>
    </cfRule>
  </conditionalFormatting>
  <conditionalFormatting sqref="T22">
    <cfRule type="cellIs" dxfId="8525" priority="1347" operator="notEqual">
      <formula>3</formula>
    </cfRule>
  </conditionalFormatting>
  <conditionalFormatting sqref="V49">
    <cfRule type="cellIs" dxfId="8524" priority="1343" operator="equal">
      <formula>4</formula>
    </cfRule>
  </conditionalFormatting>
  <conditionalFormatting sqref="V49">
    <cfRule type="cellIs" dxfId="8523" priority="1342" operator="lessThan">
      <formula>4</formula>
    </cfRule>
  </conditionalFormatting>
  <conditionalFormatting sqref="V49">
    <cfRule type="cellIs" dxfId="8522" priority="1341" operator="greaterThan">
      <formula>4</formula>
    </cfRule>
  </conditionalFormatting>
  <conditionalFormatting sqref="R38">
    <cfRule type="cellIs" dxfId="8521" priority="1336" operator="equal">
      <formula>3</formula>
    </cfRule>
  </conditionalFormatting>
  <conditionalFormatting sqref="R38">
    <cfRule type="cellIs" dxfId="8520" priority="1335" operator="equal">
      <formula>3</formula>
    </cfRule>
  </conditionalFormatting>
  <conditionalFormatting sqref="R38">
    <cfRule type="cellIs" dxfId="8519" priority="1334" operator="notEqual">
      <formula>3</formula>
    </cfRule>
  </conditionalFormatting>
  <conditionalFormatting sqref="T38">
    <cfRule type="cellIs" dxfId="8518" priority="1333" operator="equal">
      <formula>3</formula>
    </cfRule>
  </conditionalFormatting>
  <conditionalFormatting sqref="T38">
    <cfRule type="cellIs" dxfId="8517" priority="1332" operator="equal">
      <formula>3</formula>
    </cfRule>
  </conditionalFormatting>
  <conditionalFormatting sqref="T38">
    <cfRule type="cellIs" dxfId="8516" priority="1331" operator="notEqual">
      <formula>3</formula>
    </cfRule>
  </conditionalFormatting>
  <conditionalFormatting sqref="R56:R57">
    <cfRule type="cellIs" dxfId="8515" priority="1318" operator="equal">
      <formula>3</formula>
    </cfRule>
  </conditionalFormatting>
  <conditionalFormatting sqref="R56:R57">
    <cfRule type="cellIs" dxfId="8514" priority="1317" operator="equal">
      <formula>3</formula>
    </cfRule>
  </conditionalFormatting>
  <conditionalFormatting sqref="R56:R57">
    <cfRule type="cellIs" dxfId="8513" priority="1316" operator="notEqual">
      <formula>3</formula>
    </cfRule>
  </conditionalFormatting>
  <conditionalFormatting sqref="T56:T57">
    <cfRule type="cellIs" dxfId="8512" priority="1314" operator="equal">
      <formula>3</formula>
    </cfRule>
  </conditionalFormatting>
  <conditionalFormatting sqref="T56:T57">
    <cfRule type="cellIs" dxfId="8511" priority="1313" operator="notEqual">
      <formula>3</formula>
    </cfRule>
  </conditionalFormatting>
  <conditionalFormatting sqref="X56:X57">
    <cfRule type="cellIs" dxfId="8510" priority="1312" operator="equal">
      <formula>3</formula>
    </cfRule>
  </conditionalFormatting>
  <conditionalFormatting sqref="X56:X57">
    <cfRule type="cellIs" dxfId="8509" priority="1311" operator="equal">
      <formula>3</formula>
    </cfRule>
  </conditionalFormatting>
  <conditionalFormatting sqref="X56:X57">
    <cfRule type="cellIs" dxfId="8508" priority="1310" operator="notEqual">
      <formula>3</formula>
    </cfRule>
  </conditionalFormatting>
  <conditionalFormatting sqref="R45">
    <cfRule type="cellIs" dxfId="8507" priority="1309" operator="equal">
      <formula>3</formula>
    </cfRule>
  </conditionalFormatting>
  <conditionalFormatting sqref="R45">
    <cfRule type="cellIs" dxfId="8506" priority="1308" operator="equal">
      <formula>3</formula>
    </cfRule>
  </conditionalFormatting>
  <conditionalFormatting sqref="R45">
    <cfRule type="cellIs" dxfId="8505" priority="1307" operator="notEqual">
      <formula>3</formula>
    </cfRule>
  </conditionalFormatting>
  <conditionalFormatting sqref="T45">
    <cfRule type="cellIs" dxfId="8504" priority="1306" operator="equal">
      <formula>3</formula>
    </cfRule>
  </conditionalFormatting>
  <conditionalFormatting sqref="T45">
    <cfRule type="cellIs" dxfId="8503" priority="1305" operator="equal">
      <formula>3</formula>
    </cfRule>
  </conditionalFormatting>
  <conditionalFormatting sqref="T45">
    <cfRule type="cellIs" dxfId="8502" priority="1304" operator="notEqual">
      <formula>3</formula>
    </cfRule>
  </conditionalFormatting>
  <conditionalFormatting sqref="R43">
    <cfRule type="cellIs" dxfId="8501" priority="1302" operator="equal">
      <formula>3</formula>
    </cfRule>
  </conditionalFormatting>
  <conditionalFormatting sqref="R43">
    <cfRule type="cellIs" dxfId="8500" priority="1301" operator="notEqual">
      <formula>3</formula>
    </cfRule>
  </conditionalFormatting>
  <conditionalFormatting sqref="T43">
    <cfRule type="cellIs" dxfId="8499" priority="1300" operator="equal">
      <formula>3</formula>
    </cfRule>
  </conditionalFormatting>
  <conditionalFormatting sqref="T43">
    <cfRule type="cellIs" dxfId="8498" priority="1299" operator="equal">
      <formula>3</formula>
    </cfRule>
  </conditionalFormatting>
  <conditionalFormatting sqref="T43">
    <cfRule type="cellIs" dxfId="8497" priority="1298" operator="notEqual">
      <formula>3</formula>
    </cfRule>
  </conditionalFormatting>
  <conditionalFormatting sqref="R42">
    <cfRule type="cellIs" dxfId="8496" priority="1297" operator="equal">
      <formula>3</formula>
    </cfRule>
  </conditionalFormatting>
  <conditionalFormatting sqref="R42">
    <cfRule type="cellIs" dxfId="8495" priority="1296" operator="equal">
      <formula>3</formula>
    </cfRule>
  </conditionalFormatting>
  <conditionalFormatting sqref="R42">
    <cfRule type="cellIs" dxfId="8494" priority="1295" operator="notEqual">
      <formula>3</formula>
    </cfRule>
  </conditionalFormatting>
  <conditionalFormatting sqref="T42">
    <cfRule type="cellIs" dxfId="8493" priority="1294" operator="equal">
      <formula>3</formula>
    </cfRule>
  </conditionalFormatting>
  <conditionalFormatting sqref="T42">
    <cfRule type="cellIs" dxfId="8492" priority="1293" operator="equal">
      <formula>3</formula>
    </cfRule>
  </conditionalFormatting>
  <conditionalFormatting sqref="T42">
    <cfRule type="cellIs" dxfId="8491" priority="1292" operator="notEqual">
      <formula>3</formula>
    </cfRule>
  </conditionalFormatting>
  <conditionalFormatting sqref="V42">
    <cfRule type="cellIs" dxfId="8490" priority="1290" operator="equal">
      <formula>3</formula>
    </cfRule>
  </conditionalFormatting>
  <conditionalFormatting sqref="V42">
    <cfRule type="cellIs" dxfId="8489" priority="1289" operator="notEqual">
      <formula>3</formula>
    </cfRule>
  </conditionalFormatting>
  <conditionalFormatting sqref="R39">
    <cfRule type="cellIs" dxfId="8488" priority="1268" operator="equal">
      <formula>3</formula>
    </cfRule>
  </conditionalFormatting>
  <conditionalFormatting sqref="R39">
    <cfRule type="cellIs" dxfId="8487" priority="1267" operator="equal">
      <formula>3</formula>
    </cfRule>
  </conditionalFormatting>
  <conditionalFormatting sqref="R39">
    <cfRule type="cellIs" dxfId="8486" priority="1266" operator="notEqual">
      <formula>3</formula>
    </cfRule>
  </conditionalFormatting>
  <conditionalFormatting sqref="T39">
    <cfRule type="cellIs" dxfId="8485" priority="1265" operator="equal">
      <formula>3</formula>
    </cfRule>
  </conditionalFormatting>
  <conditionalFormatting sqref="T39">
    <cfRule type="cellIs" dxfId="8484" priority="1264" operator="equal">
      <formula>3</formula>
    </cfRule>
  </conditionalFormatting>
  <conditionalFormatting sqref="T39">
    <cfRule type="cellIs" dxfId="8483" priority="1263" operator="notEqual">
      <formula>3</formula>
    </cfRule>
  </conditionalFormatting>
  <conditionalFormatting sqref="T19">
    <cfRule type="cellIs" dxfId="8482" priority="1262" operator="equal">
      <formula>3</formula>
    </cfRule>
  </conditionalFormatting>
  <conditionalFormatting sqref="T19">
    <cfRule type="cellIs" dxfId="8481" priority="1261" operator="equal">
      <formula>3</formula>
    </cfRule>
  </conditionalFormatting>
  <conditionalFormatting sqref="T19">
    <cfRule type="cellIs" dxfId="8480" priority="1260" operator="notEqual">
      <formula>3</formula>
    </cfRule>
  </conditionalFormatting>
  <conditionalFormatting sqref="V19">
    <cfRule type="cellIs" dxfId="8479" priority="1259" operator="equal">
      <formula>3</formula>
    </cfRule>
  </conditionalFormatting>
  <conditionalFormatting sqref="V19">
    <cfRule type="cellIs" dxfId="8478" priority="1258" operator="equal">
      <formula>3</formula>
    </cfRule>
  </conditionalFormatting>
  <conditionalFormatting sqref="V19">
    <cfRule type="cellIs" dxfId="8477" priority="1257" operator="notEqual">
      <formula>3</formula>
    </cfRule>
  </conditionalFormatting>
  <conditionalFormatting sqref="X19">
    <cfRule type="cellIs" dxfId="8476" priority="1256" operator="equal">
      <formula>3</formula>
    </cfRule>
  </conditionalFormatting>
  <conditionalFormatting sqref="X19">
    <cfRule type="cellIs" dxfId="8475" priority="1255" operator="equal">
      <formula>3</formula>
    </cfRule>
  </conditionalFormatting>
  <conditionalFormatting sqref="X19">
    <cfRule type="cellIs" dxfId="8474" priority="1254" operator="notEqual">
      <formula>3</formula>
    </cfRule>
  </conditionalFormatting>
  <conditionalFormatting sqref="Z19">
    <cfRule type="cellIs" dxfId="8473" priority="1253" operator="equal">
      <formula>3</formula>
    </cfRule>
  </conditionalFormatting>
  <conditionalFormatting sqref="Z19">
    <cfRule type="cellIs" dxfId="8472" priority="1252" operator="equal">
      <formula>3</formula>
    </cfRule>
  </conditionalFormatting>
  <conditionalFormatting sqref="Z19">
    <cfRule type="cellIs" dxfId="8471" priority="1251" operator="notEqual">
      <formula>3</formula>
    </cfRule>
  </conditionalFormatting>
  <conditionalFormatting sqref="R38">
    <cfRule type="cellIs" dxfId="8470" priority="1168" operator="equal">
      <formula>3</formula>
    </cfRule>
  </conditionalFormatting>
  <conditionalFormatting sqref="R28">
    <cfRule type="cellIs" dxfId="8469" priority="1247" operator="equal">
      <formula>3</formula>
    </cfRule>
  </conditionalFormatting>
  <conditionalFormatting sqref="R28">
    <cfRule type="cellIs" dxfId="8468" priority="1246" operator="equal">
      <formula>3</formula>
    </cfRule>
  </conditionalFormatting>
  <conditionalFormatting sqref="R28">
    <cfRule type="cellIs" dxfId="8467" priority="1245" operator="notEqual">
      <formula>3</formula>
    </cfRule>
  </conditionalFormatting>
  <conditionalFormatting sqref="R45">
    <cfRule type="cellIs" dxfId="8466" priority="1141" operator="equal">
      <formula>3</formula>
    </cfRule>
  </conditionalFormatting>
  <conditionalFormatting sqref="R42">
    <cfRule type="cellIs" dxfId="8465" priority="1129" operator="equal">
      <formula>3</formula>
    </cfRule>
  </conditionalFormatting>
  <conditionalFormatting sqref="R46">
    <cfRule type="cellIs" dxfId="8464" priority="1223" operator="equal">
      <formula>3</formula>
    </cfRule>
  </conditionalFormatting>
  <conditionalFormatting sqref="R46">
    <cfRule type="cellIs" dxfId="8463" priority="1222" operator="equal">
      <formula>3</formula>
    </cfRule>
  </conditionalFormatting>
  <conditionalFormatting sqref="R46">
    <cfRule type="cellIs" dxfId="8462" priority="1221" operator="notEqual">
      <formula>3</formula>
    </cfRule>
  </conditionalFormatting>
  <conditionalFormatting sqref="T46">
    <cfRule type="cellIs" dxfId="8461" priority="1220" operator="equal">
      <formula>3</formula>
    </cfRule>
  </conditionalFormatting>
  <conditionalFormatting sqref="T46">
    <cfRule type="cellIs" dxfId="8460" priority="1219" operator="equal">
      <formula>3</formula>
    </cfRule>
  </conditionalFormatting>
  <conditionalFormatting sqref="T46">
    <cfRule type="cellIs" dxfId="8459" priority="1218" operator="notEqual">
      <formula>3</formula>
    </cfRule>
  </conditionalFormatting>
  <conditionalFormatting sqref="R44">
    <cfRule type="cellIs" dxfId="8458" priority="1217" operator="equal">
      <formula>3</formula>
    </cfRule>
  </conditionalFormatting>
  <conditionalFormatting sqref="R44">
    <cfRule type="cellIs" dxfId="8457" priority="1216" operator="equal">
      <formula>3</formula>
    </cfRule>
  </conditionalFormatting>
  <conditionalFormatting sqref="R44">
    <cfRule type="cellIs" dxfId="8456" priority="1215" operator="notEqual">
      <formula>3</formula>
    </cfRule>
  </conditionalFormatting>
  <conditionalFormatting sqref="T44">
    <cfRule type="cellIs" dxfId="8455" priority="1214" operator="equal">
      <formula>3</formula>
    </cfRule>
  </conditionalFormatting>
  <conditionalFormatting sqref="T44">
    <cfRule type="cellIs" dxfId="8454" priority="1213" operator="equal">
      <formula>3</formula>
    </cfRule>
  </conditionalFormatting>
  <conditionalFormatting sqref="T44">
    <cfRule type="cellIs" dxfId="8453" priority="1212" operator="notEqual">
      <formula>3</formula>
    </cfRule>
  </conditionalFormatting>
  <conditionalFormatting sqref="R43">
    <cfRule type="cellIs" dxfId="8452" priority="1211" operator="equal">
      <formula>3</formula>
    </cfRule>
  </conditionalFormatting>
  <conditionalFormatting sqref="R43">
    <cfRule type="cellIs" dxfId="8451" priority="1210" operator="equal">
      <formula>3</formula>
    </cfRule>
  </conditionalFormatting>
  <conditionalFormatting sqref="R43">
    <cfRule type="cellIs" dxfId="8450" priority="1209" operator="notEqual">
      <formula>3</formula>
    </cfRule>
  </conditionalFormatting>
  <conditionalFormatting sqref="T43">
    <cfRule type="cellIs" dxfId="8449" priority="1208" operator="equal">
      <formula>3</formula>
    </cfRule>
  </conditionalFormatting>
  <conditionalFormatting sqref="T43">
    <cfRule type="cellIs" dxfId="8448" priority="1207" operator="equal">
      <formula>3</formula>
    </cfRule>
  </conditionalFormatting>
  <conditionalFormatting sqref="T43">
    <cfRule type="cellIs" dxfId="8447" priority="1206" operator="notEqual">
      <formula>3</formula>
    </cfRule>
  </conditionalFormatting>
  <conditionalFormatting sqref="V43">
    <cfRule type="cellIs" dxfId="8446" priority="1205" operator="equal">
      <formula>3</formula>
    </cfRule>
  </conditionalFormatting>
  <conditionalFormatting sqref="V43">
    <cfRule type="cellIs" dxfId="8445" priority="1204" operator="equal">
      <formula>3</formula>
    </cfRule>
  </conditionalFormatting>
  <conditionalFormatting sqref="V43">
    <cfRule type="cellIs" dxfId="8444" priority="1203" operator="notEqual">
      <formula>3</formula>
    </cfRule>
  </conditionalFormatting>
  <conditionalFormatting sqref="R55">
    <cfRule type="cellIs" dxfId="8443" priority="1196" operator="equal">
      <formula>3</formula>
    </cfRule>
  </conditionalFormatting>
  <conditionalFormatting sqref="R55">
    <cfRule type="cellIs" dxfId="8442" priority="1195" operator="equal">
      <formula>3</formula>
    </cfRule>
  </conditionalFormatting>
  <conditionalFormatting sqref="R55">
    <cfRule type="cellIs" dxfId="8441" priority="1194" operator="notEqual">
      <formula>3</formula>
    </cfRule>
  </conditionalFormatting>
  <conditionalFormatting sqref="T22">
    <cfRule type="cellIs" dxfId="8440" priority="1187" operator="equal">
      <formula>3</formula>
    </cfRule>
  </conditionalFormatting>
  <conditionalFormatting sqref="T22">
    <cfRule type="cellIs" dxfId="8439" priority="1186" operator="equal">
      <formula>3</formula>
    </cfRule>
  </conditionalFormatting>
  <conditionalFormatting sqref="T22">
    <cfRule type="cellIs" dxfId="8438" priority="1185" operator="notEqual">
      <formula>3</formula>
    </cfRule>
  </conditionalFormatting>
  <conditionalFormatting sqref="V49">
    <cfRule type="cellIs" dxfId="8437" priority="1181" operator="equal">
      <formula>4</formula>
    </cfRule>
  </conditionalFormatting>
  <conditionalFormatting sqref="V49">
    <cfRule type="cellIs" dxfId="8436" priority="1180" operator="lessThan">
      <formula>4</formula>
    </cfRule>
  </conditionalFormatting>
  <conditionalFormatting sqref="V49">
    <cfRule type="cellIs" dxfId="8435" priority="1179" operator="greaterThan">
      <formula>4</formula>
    </cfRule>
  </conditionalFormatting>
  <conditionalFormatting sqref="V20">
    <cfRule type="cellIs" dxfId="8434" priority="1178" operator="equal">
      <formula>4</formula>
    </cfRule>
  </conditionalFormatting>
  <conditionalFormatting sqref="V20">
    <cfRule type="cellIs" dxfId="8433" priority="1177" operator="lessThan">
      <formula>4</formula>
    </cfRule>
  </conditionalFormatting>
  <conditionalFormatting sqref="V20">
    <cfRule type="cellIs" dxfId="8432" priority="1176" operator="greaterThan">
      <formula>4</formula>
    </cfRule>
  </conditionalFormatting>
  <conditionalFormatting sqref="R38">
    <cfRule type="cellIs" dxfId="8431" priority="1167" operator="equal">
      <formula>3</formula>
    </cfRule>
  </conditionalFormatting>
  <conditionalFormatting sqref="R38">
    <cfRule type="cellIs" dxfId="8430" priority="1166" operator="notEqual">
      <formula>3</formula>
    </cfRule>
  </conditionalFormatting>
  <conditionalFormatting sqref="T38">
    <cfRule type="cellIs" dxfId="8429" priority="1165" operator="equal">
      <formula>3</formula>
    </cfRule>
  </conditionalFormatting>
  <conditionalFormatting sqref="T38">
    <cfRule type="cellIs" dxfId="8428" priority="1164" operator="equal">
      <formula>3</formula>
    </cfRule>
  </conditionalFormatting>
  <conditionalFormatting sqref="T38">
    <cfRule type="cellIs" dxfId="8427" priority="1163" operator="notEqual">
      <formula>3</formula>
    </cfRule>
  </conditionalFormatting>
  <conditionalFormatting sqref="R56:R57">
    <cfRule type="cellIs" dxfId="8426" priority="1150" operator="equal">
      <formula>3</formula>
    </cfRule>
  </conditionalFormatting>
  <conditionalFormatting sqref="R56:R57">
    <cfRule type="cellIs" dxfId="8425" priority="1149" operator="equal">
      <formula>3</formula>
    </cfRule>
  </conditionalFormatting>
  <conditionalFormatting sqref="R56:R57">
    <cfRule type="cellIs" dxfId="8424" priority="1148" operator="notEqual">
      <formula>3</formula>
    </cfRule>
  </conditionalFormatting>
  <conditionalFormatting sqref="T56:T57">
    <cfRule type="cellIs" dxfId="8423" priority="1147" operator="equal">
      <formula>3</formula>
    </cfRule>
  </conditionalFormatting>
  <conditionalFormatting sqref="T56:T57">
    <cfRule type="cellIs" dxfId="8422" priority="1146" operator="equal">
      <formula>3</formula>
    </cfRule>
  </conditionalFormatting>
  <conditionalFormatting sqref="T56:T57">
    <cfRule type="cellIs" dxfId="8421" priority="1145" operator="notEqual">
      <formula>3</formula>
    </cfRule>
  </conditionalFormatting>
  <conditionalFormatting sqref="X56:X57">
    <cfRule type="cellIs" dxfId="8420" priority="1144" operator="equal">
      <formula>3</formula>
    </cfRule>
  </conditionalFormatting>
  <conditionalFormatting sqref="X56:X57">
    <cfRule type="cellIs" dxfId="8419" priority="1143" operator="equal">
      <formula>3</formula>
    </cfRule>
  </conditionalFormatting>
  <conditionalFormatting sqref="X56:X57">
    <cfRule type="cellIs" dxfId="8418" priority="1142" operator="notEqual">
      <formula>3</formula>
    </cfRule>
  </conditionalFormatting>
  <conditionalFormatting sqref="R45">
    <cfRule type="cellIs" dxfId="8417" priority="1140" operator="equal">
      <formula>3</formula>
    </cfRule>
  </conditionalFormatting>
  <conditionalFormatting sqref="R45">
    <cfRule type="cellIs" dxfId="8416" priority="1139" operator="notEqual">
      <formula>3</formula>
    </cfRule>
  </conditionalFormatting>
  <conditionalFormatting sqref="T45">
    <cfRule type="cellIs" dxfId="8415" priority="1138" operator="equal">
      <formula>3</formula>
    </cfRule>
  </conditionalFormatting>
  <conditionalFormatting sqref="T45">
    <cfRule type="cellIs" dxfId="8414" priority="1137" operator="equal">
      <formula>3</formula>
    </cfRule>
  </conditionalFormatting>
  <conditionalFormatting sqref="T45">
    <cfRule type="cellIs" dxfId="8413" priority="1136" operator="notEqual">
      <formula>3</formula>
    </cfRule>
  </conditionalFormatting>
  <conditionalFormatting sqref="R43">
    <cfRule type="cellIs" dxfId="8412" priority="1135" operator="equal">
      <formula>3</formula>
    </cfRule>
  </conditionalFormatting>
  <conditionalFormatting sqref="R43">
    <cfRule type="cellIs" dxfId="8411" priority="1134" operator="equal">
      <formula>3</formula>
    </cfRule>
  </conditionalFormatting>
  <conditionalFormatting sqref="R43">
    <cfRule type="cellIs" dxfId="8410" priority="1133" operator="notEqual">
      <formula>3</formula>
    </cfRule>
  </conditionalFormatting>
  <conditionalFormatting sqref="T43">
    <cfRule type="cellIs" dxfId="8409" priority="1132" operator="equal">
      <formula>3</formula>
    </cfRule>
  </conditionalFormatting>
  <conditionalFormatting sqref="T43">
    <cfRule type="cellIs" dxfId="8408" priority="1131" operator="equal">
      <formula>3</formula>
    </cfRule>
  </conditionalFormatting>
  <conditionalFormatting sqref="T43">
    <cfRule type="cellIs" dxfId="8407" priority="1130" operator="notEqual">
      <formula>3</formula>
    </cfRule>
  </conditionalFormatting>
  <conditionalFormatting sqref="R42">
    <cfRule type="cellIs" dxfId="8406" priority="1128" operator="equal">
      <formula>3</formula>
    </cfRule>
  </conditionalFormatting>
  <conditionalFormatting sqref="R42">
    <cfRule type="cellIs" dxfId="8405" priority="1127" operator="notEqual">
      <formula>3</formula>
    </cfRule>
  </conditionalFormatting>
  <conditionalFormatting sqref="T42">
    <cfRule type="cellIs" dxfId="8404" priority="1126" operator="equal">
      <formula>3</formula>
    </cfRule>
  </conditionalFormatting>
  <conditionalFormatting sqref="T42">
    <cfRule type="cellIs" dxfId="8403" priority="1125" operator="equal">
      <formula>3</formula>
    </cfRule>
  </conditionalFormatting>
  <conditionalFormatting sqref="T42">
    <cfRule type="cellIs" dxfId="8402" priority="1124" operator="notEqual">
      <formula>3</formula>
    </cfRule>
  </conditionalFormatting>
  <conditionalFormatting sqref="V42">
    <cfRule type="cellIs" dxfId="8401" priority="1123" operator="equal">
      <formula>3</formula>
    </cfRule>
  </conditionalFormatting>
  <conditionalFormatting sqref="V42">
    <cfRule type="cellIs" dxfId="8400" priority="1122" operator="equal">
      <formula>3</formula>
    </cfRule>
  </conditionalFormatting>
  <conditionalFormatting sqref="V42">
    <cfRule type="cellIs" dxfId="8399" priority="1121" operator="notEqual">
      <formula>3</formula>
    </cfRule>
  </conditionalFormatting>
  <conditionalFormatting sqref="R38">
    <cfRule type="cellIs" dxfId="8398" priority="1100" operator="equal">
      <formula>3</formula>
    </cfRule>
  </conditionalFormatting>
  <conditionalFormatting sqref="R38">
    <cfRule type="cellIs" dxfId="8397" priority="1099" operator="equal">
      <formula>3</formula>
    </cfRule>
  </conditionalFormatting>
  <conditionalFormatting sqref="R38">
    <cfRule type="cellIs" dxfId="8396" priority="1098" operator="notEqual">
      <formula>3</formula>
    </cfRule>
  </conditionalFormatting>
  <conditionalFormatting sqref="T38">
    <cfRule type="cellIs" dxfId="8395" priority="1097" operator="equal">
      <formula>3</formula>
    </cfRule>
  </conditionalFormatting>
  <conditionalFormatting sqref="T38">
    <cfRule type="cellIs" dxfId="8394" priority="1096" operator="equal">
      <formula>3</formula>
    </cfRule>
  </conditionalFormatting>
  <conditionalFormatting sqref="T38">
    <cfRule type="cellIs" dxfId="8393" priority="1095" operator="notEqual">
      <formula>3</formula>
    </cfRule>
  </conditionalFormatting>
  <conditionalFormatting sqref="R25">
    <cfRule type="cellIs" dxfId="8392" priority="1094" operator="equal">
      <formula>3</formula>
    </cfRule>
  </conditionalFormatting>
  <conditionalFormatting sqref="R25">
    <cfRule type="cellIs" dxfId="8391" priority="1093" operator="equal">
      <formula>3</formula>
    </cfRule>
  </conditionalFormatting>
  <conditionalFormatting sqref="R25">
    <cfRule type="cellIs" dxfId="8390" priority="1092" operator="notEqual">
      <formula>3</formula>
    </cfRule>
  </conditionalFormatting>
  <conditionalFormatting sqref="R27">
    <cfRule type="cellIs" dxfId="8389" priority="1091" operator="equal">
      <formula>3</formula>
    </cfRule>
  </conditionalFormatting>
  <conditionalFormatting sqref="R27">
    <cfRule type="cellIs" dxfId="8388" priority="1090" operator="equal">
      <formula>3</formula>
    </cfRule>
  </conditionalFormatting>
  <conditionalFormatting sqref="R27">
    <cfRule type="cellIs" dxfId="8387" priority="1089" operator="notEqual">
      <formula>3</formula>
    </cfRule>
  </conditionalFormatting>
  <conditionalFormatting sqref="T25">
    <cfRule type="cellIs" dxfId="8386" priority="1088" operator="equal">
      <formula>3</formula>
    </cfRule>
  </conditionalFormatting>
  <conditionalFormatting sqref="T25">
    <cfRule type="cellIs" dxfId="8385" priority="1087" operator="equal">
      <formula>3</formula>
    </cfRule>
  </conditionalFormatting>
  <conditionalFormatting sqref="T25">
    <cfRule type="cellIs" dxfId="8384" priority="1086" operator="notEqual">
      <formula>3</formula>
    </cfRule>
  </conditionalFormatting>
  <conditionalFormatting sqref="V25">
    <cfRule type="cellIs" dxfId="8383" priority="1085" operator="equal">
      <formula>3</formula>
    </cfRule>
  </conditionalFormatting>
  <conditionalFormatting sqref="V25">
    <cfRule type="cellIs" dxfId="8382" priority="1084" operator="equal">
      <formula>3</formula>
    </cfRule>
  </conditionalFormatting>
  <conditionalFormatting sqref="V25">
    <cfRule type="cellIs" dxfId="8381" priority="1083" operator="notEqual">
      <formula>3</formula>
    </cfRule>
  </conditionalFormatting>
  <conditionalFormatting sqref="X25">
    <cfRule type="cellIs" dxfId="8380" priority="1082" operator="equal">
      <formula>3</formula>
    </cfRule>
  </conditionalFormatting>
  <conditionalFormatting sqref="X25">
    <cfRule type="cellIs" dxfId="8379" priority="1081" operator="equal">
      <formula>3</formula>
    </cfRule>
  </conditionalFormatting>
  <conditionalFormatting sqref="X25">
    <cfRule type="cellIs" dxfId="8378" priority="1080" operator="notEqual">
      <formula>3</formula>
    </cfRule>
  </conditionalFormatting>
  <conditionalFormatting sqref="R56:R57">
    <cfRule type="cellIs" dxfId="8377" priority="1067" operator="equal">
      <formula>3</formula>
    </cfRule>
  </conditionalFormatting>
  <conditionalFormatting sqref="R56:R57">
    <cfRule type="cellIs" dxfId="8376" priority="1066" operator="equal">
      <formula>3</formula>
    </cfRule>
  </conditionalFormatting>
  <conditionalFormatting sqref="R56:R57">
    <cfRule type="cellIs" dxfId="8375" priority="1065" operator="notEqual">
      <formula>3</formula>
    </cfRule>
  </conditionalFormatting>
  <conditionalFormatting sqref="T56:T57">
    <cfRule type="cellIs" dxfId="8374" priority="1064" operator="equal">
      <formula>3</formula>
    </cfRule>
  </conditionalFormatting>
  <conditionalFormatting sqref="T56:T57">
    <cfRule type="cellIs" dxfId="8373" priority="1063" operator="equal">
      <formula>3</formula>
    </cfRule>
  </conditionalFormatting>
  <conditionalFormatting sqref="T56:T57">
    <cfRule type="cellIs" dxfId="8372" priority="1062" operator="notEqual">
      <formula>3</formula>
    </cfRule>
  </conditionalFormatting>
  <conditionalFormatting sqref="X56:X57">
    <cfRule type="cellIs" dxfId="8371" priority="1061" operator="equal">
      <formula>3</formula>
    </cfRule>
  </conditionalFormatting>
  <conditionalFormatting sqref="X56:X57">
    <cfRule type="cellIs" dxfId="8370" priority="1060" operator="equal">
      <formula>3</formula>
    </cfRule>
  </conditionalFormatting>
  <conditionalFormatting sqref="X56:X57">
    <cfRule type="cellIs" dxfId="8369" priority="1059" operator="notEqual">
      <formula>3</formula>
    </cfRule>
  </conditionalFormatting>
  <conditionalFormatting sqref="R45">
    <cfRule type="cellIs" dxfId="8368" priority="1058" operator="equal">
      <formula>3</formula>
    </cfRule>
  </conditionalFormatting>
  <conditionalFormatting sqref="R45">
    <cfRule type="cellIs" dxfId="8367" priority="1057" operator="equal">
      <formula>3</formula>
    </cfRule>
  </conditionalFormatting>
  <conditionalFormatting sqref="R45">
    <cfRule type="cellIs" dxfId="8366" priority="1056" operator="notEqual">
      <formula>3</formula>
    </cfRule>
  </conditionalFormatting>
  <conditionalFormatting sqref="T45">
    <cfRule type="cellIs" dxfId="8365" priority="1055" operator="equal">
      <formula>3</formula>
    </cfRule>
  </conditionalFormatting>
  <conditionalFormatting sqref="T45">
    <cfRule type="cellIs" dxfId="8364" priority="1054" operator="equal">
      <formula>3</formula>
    </cfRule>
  </conditionalFormatting>
  <conditionalFormatting sqref="T45">
    <cfRule type="cellIs" dxfId="8363" priority="1053" operator="notEqual">
      <formula>3</formula>
    </cfRule>
  </conditionalFormatting>
  <conditionalFormatting sqref="R43">
    <cfRule type="cellIs" dxfId="8362" priority="1052" operator="equal">
      <formula>3</formula>
    </cfRule>
  </conditionalFormatting>
  <conditionalFormatting sqref="R43">
    <cfRule type="cellIs" dxfId="8361" priority="1051" operator="equal">
      <formula>3</formula>
    </cfRule>
  </conditionalFormatting>
  <conditionalFormatting sqref="R43">
    <cfRule type="cellIs" dxfId="8360" priority="1050" operator="notEqual">
      <formula>3</formula>
    </cfRule>
  </conditionalFormatting>
  <conditionalFormatting sqref="T43">
    <cfRule type="cellIs" dxfId="8359" priority="1049" operator="equal">
      <formula>3</formula>
    </cfRule>
  </conditionalFormatting>
  <conditionalFormatting sqref="T43">
    <cfRule type="cellIs" dxfId="8358" priority="1048" operator="equal">
      <formula>3</formula>
    </cfRule>
  </conditionalFormatting>
  <conditionalFormatting sqref="T43">
    <cfRule type="cellIs" dxfId="8357" priority="1047" operator="notEqual">
      <formula>3</formula>
    </cfRule>
  </conditionalFormatting>
  <conditionalFormatting sqref="R42">
    <cfRule type="cellIs" dxfId="8356" priority="1046" operator="equal">
      <formula>3</formula>
    </cfRule>
  </conditionalFormatting>
  <conditionalFormatting sqref="R42">
    <cfRule type="cellIs" dxfId="8355" priority="1045" operator="equal">
      <formula>3</formula>
    </cfRule>
  </conditionalFormatting>
  <conditionalFormatting sqref="R42">
    <cfRule type="cellIs" dxfId="8354" priority="1044" operator="notEqual">
      <formula>3</formula>
    </cfRule>
  </conditionalFormatting>
  <conditionalFormatting sqref="T42">
    <cfRule type="cellIs" dxfId="8353" priority="1043" operator="equal">
      <formula>3</formula>
    </cfRule>
  </conditionalFormatting>
  <conditionalFormatting sqref="T42">
    <cfRule type="cellIs" dxfId="8352" priority="1042" operator="equal">
      <formula>3</formula>
    </cfRule>
  </conditionalFormatting>
  <conditionalFormatting sqref="T42">
    <cfRule type="cellIs" dxfId="8351" priority="1041" operator="notEqual">
      <formula>3</formula>
    </cfRule>
  </conditionalFormatting>
  <conditionalFormatting sqref="V42">
    <cfRule type="cellIs" dxfId="8350" priority="1040" operator="equal">
      <formula>3</formula>
    </cfRule>
  </conditionalFormatting>
  <conditionalFormatting sqref="V42">
    <cfRule type="cellIs" dxfId="8349" priority="1039" operator="equal">
      <formula>3</formula>
    </cfRule>
  </conditionalFormatting>
  <conditionalFormatting sqref="V42">
    <cfRule type="cellIs" dxfId="8348" priority="1038" operator="notEqual">
      <formula>3</formula>
    </cfRule>
  </conditionalFormatting>
  <conditionalFormatting sqref="R29">
    <cfRule type="cellIs" dxfId="8347" priority="1028" operator="equal">
      <formula>3</formula>
    </cfRule>
  </conditionalFormatting>
  <conditionalFormatting sqref="R29">
    <cfRule type="cellIs" dxfId="8346" priority="1027" operator="equal">
      <formula>3</formula>
    </cfRule>
  </conditionalFormatting>
  <conditionalFormatting sqref="R29">
    <cfRule type="cellIs" dxfId="8345" priority="1026" operator="notEqual">
      <formula>3</formula>
    </cfRule>
  </conditionalFormatting>
  <conditionalFormatting sqref="T29">
    <cfRule type="cellIs" dxfId="8344" priority="1025" operator="equal">
      <formula>3</formula>
    </cfRule>
  </conditionalFormatting>
  <conditionalFormatting sqref="T29">
    <cfRule type="cellIs" dxfId="8343" priority="1024" operator="equal">
      <formula>3</formula>
    </cfRule>
  </conditionalFormatting>
  <conditionalFormatting sqref="T29">
    <cfRule type="cellIs" dxfId="8342" priority="1023" operator="notEqual">
      <formula>3</formula>
    </cfRule>
  </conditionalFormatting>
  <conditionalFormatting sqref="X20">
    <cfRule type="cellIs" dxfId="8341" priority="667" operator="equal">
      <formula>3</formula>
    </cfRule>
  </conditionalFormatting>
  <conditionalFormatting sqref="R37">
    <cfRule type="cellIs" dxfId="8340" priority="1009" operator="equal">
      <formula>3</formula>
    </cfRule>
  </conditionalFormatting>
  <conditionalFormatting sqref="R37">
    <cfRule type="cellIs" dxfId="8339" priority="1008" operator="equal">
      <formula>3</formula>
    </cfRule>
  </conditionalFormatting>
  <conditionalFormatting sqref="R37">
    <cfRule type="cellIs" dxfId="8338" priority="1007" operator="notEqual">
      <formula>3</formula>
    </cfRule>
  </conditionalFormatting>
  <conditionalFormatting sqref="T37">
    <cfRule type="cellIs" dxfId="8337" priority="1006" operator="equal">
      <formula>3</formula>
    </cfRule>
  </conditionalFormatting>
  <conditionalFormatting sqref="T37">
    <cfRule type="cellIs" dxfId="8336" priority="1005" operator="equal">
      <formula>3</formula>
    </cfRule>
  </conditionalFormatting>
  <conditionalFormatting sqref="T37">
    <cfRule type="cellIs" dxfId="8335" priority="1004" operator="notEqual">
      <formula>3</formula>
    </cfRule>
  </conditionalFormatting>
  <conditionalFormatting sqref="R56:R57">
    <cfRule type="cellIs" dxfId="8334" priority="999" operator="equal">
      <formula>3</formula>
    </cfRule>
  </conditionalFormatting>
  <conditionalFormatting sqref="R56:R57">
    <cfRule type="cellIs" dxfId="8333" priority="998" operator="equal">
      <formula>3</formula>
    </cfRule>
  </conditionalFormatting>
  <conditionalFormatting sqref="R56:R57">
    <cfRule type="cellIs" dxfId="8332" priority="997" operator="notEqual">
      <formula>3</formula>
    </cfRule>
  </conditionalFormatting>
  <conditionalFormatting sqref="T56:T57">
    <cfRule type="cellIs" dxfId="8331" priority="996" operator="equal">
      <formula>3</formula>
    </cfRule>
  </conditionalFormatting>
  <conditionalFormatting sqref="T56:T57">
    <cfRule type="cellIs" dxfId="8330" priority="995" operator="equal">
      <formula>3</formula>
    </cfRule>
  </conditionalFormatting>
  <conditionalFormatting sqref="T56:T57">
    <cfRule type="cellIs" dxfId="8329" priority="994" operator="notEqual">
      <formula>3</formula>
    </cfRule>
  </conditionalFormatting>
  <conditionalFormatting sqref="X56:X57">
    <cfRule type="cellIs" dxfId="8328" priority="993" operator="equal">
      <formula>3</formula>
    </cfRule>
  </conditionalFormatting>
  <conditionalFormatting sqref="X56:X57">
    <cfRule type="cellIs" dxfId="8327" priority="992" operator="equal">
      <formula>3</formula>
    </cfRule>
  </conditionalFormatting>
  <conditionalFormatting sqref="X56:X57">
    <cfRule type="cellIs" dxfId="8326" priority="991" operator="notEqual">
      <formula>3</formula>
    </cfRule>
  </conditionalFormatting>
  <conditionalFormatting sqref="R56:R57">
    <cfRule type="cellIs" dxfId="8325" priority="986" operator="equal">
      <formula>3</formula>
    </cfRule>
  </conditionalFormatting>
  <conditionalFormatting sqref="R56:R57">
    <cfRule type="cellIs" dxfId="8324" priority="985" operator="equal">
      <formula>3</formula>
    </cfRule>
  </conditionalFormatting>
  <conditionalFormatting sqref="R56:R57">
    <cfRule type="cellIs" dxfId="8323" priority="984" operator="notEqual">
      <formula>3</formula>
    </cfRule>
  </conditionalFormatting>
  <conditionalFormatting sqref="T56:T57">
    <cfRule type="cellIs" dxfId="8322" priority="983" operator="equal">
      <formula>3</formula>
    </cfRule>
  </conditionalFormatting>
  <conditionalFormatting sqref="T56:T57">
    <cfRule type="cellIs" dxfId="8321" priority="982" operator="equal">
      <formula>3</formula>
    </cfRule>
  </conditionalFormatting>
  <conditionalFormatting sqref="T56:T57">
    <cfRule type="cellIs" dxfId="8320" priority="981" operator="notEqual">
      <formula>3</formula>
    </cfRule>
  </conditionalFormatting>
  <conditionalFormatting sqref="X56:X57">
    <cfRule type="cellIs" dxfId="8319" priority="980" operator="equal">
      <formula>3</formula>
    </cfRule>
  </conditionalFormatting>
  <conditionalFormatting sqref="X56:X57">
    <cfRule type="cellIs" dxfId="8318" priority="979" operator="equal">
      <formula>3</formula>
    </cfRule>
  </conditionalFormatting>
  <conditionalFormatting sqref="X56:X57">
    <cfRule type="cellIs" dxfId="8317" priority="978" operator="notEqual">
      <formula>3</formula>
    </cfRule>
  </conditionalFormatting>
  <conditionalFormatting sqref="R55">
    <cfRule type="cellIs" dxfId="8316" priority="973" operator="equal">
      <formula>3</formula>
    </cfRule>
  </conditionalFormatting>
  <conditionalFormatting sqref="R55">
    <cfRule type="cellIs" dxfId="8315" priority="972" operator="equal">
      <formula>3</formula>
    </cfRule>
  </conditionalFormatting>
  <conditionalFormatting sqref="R55">
    <cfRule type="cellIs" dxfId="8314" priority="971" operator="notEqual">
      <formula>3</formula>
    </cfRule>
  </conditionalFormatting>
  <conditionalFormatting sqref="X55">
    <cfRule type="cellIs" dxfId="8313" priority="967" operator="equal">
      <formula>3</formula>
    </cfRule>
  </conditionalFormatting>
  <conditionalFormatting sqref="X55">
    <cfRule type="cellIs" dxfId="8312" priority="966" operator="equal">
      <formula>3</formula>
    </cfRule>
  </conditionalFormatting>
  <conditionalFormatting sqref="X55">
    <cfRule type="cellIs" dxfId="8311" priority="965" operator="notEqual">
      <formula>3</formula>
    </cfRule>
  </conditionalFormatting>
  <conditionalFormatting sqref="R44">
    <cfRule type="cellIs" dxfId="8310" priority="964" operator="equal">
      <formula>3</formula>
    </cfRule>
  </conditionalFormatting>
  <conditionalFormatting sqref="R44">
    <cfRule type="cellIs" dxfId="8309" priority="963" operator="equal">
      <formula>3</formula>
    </cfRule>
  </conditionalFormatting>
  <conditionalFormatting sqref="R44">
    <cfRule type="cellIs" dxfId="8308" priority="962" operator="notEqual">
      <formula>3</formula>
    </cfRule>
  </conditionalFormatting>
  <conditionalFormatting sqref="T44">
    <cfRule type="cellIs" dxfId="8307" priority="961" operator="equal">
      <formula>3</formula>
    </cfRule>
  </conditionalFormatting>
  <conditionalFormatting sqref="T44">
    <cfRule type="cellIs" dxfId="8306" priority="960" operator="equal">
      <formula>3</formula>
    </cfRule>
  </conditionalFormatting>
  <conditionalFormatting sqref="T44">
    <cfRule type="cellIs" dxfId="8305" priority="959" operator="notEqual">
      <formula>3</formula>
    </cfRule>
  </conditionalFormatting>
  <conditionalFormatting sqref="R42">
    <cfRule type="cellIs" dxfId="8304" priority="958" operator="equal">
      <formula>3</formula>
    </cfRule>
  </conditionalFormatting>
  <conditionalFormatting sqref="R42">
    <cfRule type="cellIs" dxfId="8303" priority="957" operator="equal">
      <formula>3</formula>
    </cfRule>
  </conditionalFormatting>
  <conditionalFormatting sqref="R42">
    <cfRule type="cellIs" dxfId="8302" priority="956" operator="notEqual">
      <formula>3</formula>
    </cfRule>
  </conditionalFormatting>
  <conditionalFormatting sqref="T42">
    <cfRule type="cellIs" dxfId="8301" priority="955" operator="equal">
      <formula>3</formula>
    </cfRule>
  </conditionalFormatting>
  <conditionalFormatting sqref="T42">
    <cfRule type="cellIs" dxfId="8300" priority="954" operator="equal">
      <formula>3</formula>
    </cfRule>
  </conditionalFormatting>
  <conditionalFormatting sqref="T42">
    <cfRule type="cellIs" dxfId="8299" priority="953" operator="notEqual">
      <formula>3</formula>
    </cfRule>
  </conditionalFormatting>
  <conditionalFormatting sqref="R41">
    <cfRule type="cellIs" dxfId="8298" priority="952" operator="equal">
      <formula>3</formula>
    </cfRule>
  </conditionalFormatting>
  <conditionalFormatting sqref="R41">
    <cfRule type="cellIs" dxfId="8297" priority="951" operator="equal">
      <formula>3</formula>
    </cfRule>
  </conditionalFormatting>
  <conditionalFormatting sqref="R41">
    <cfRule type="cellIs" dxfId="8296" priority="950" operator="notEqual">
      <formula>3</formula>
    </cfRule>
  </conditionalFormatting>
  <conditionalFormatting sqref="X38">
    <cfRule type="cellIs" dxfId="8295" priority="607" operator="equal">
      <formula>3</formula>
    </cfRule>
  </conditionalFormatting>
  <conditionalFormatting sqref="X38">
    <cfRule type="cellIs" dxfId="8294" priority="606" operator="equal">
      <formula>3</formula>
    </cfRule>
  </conditionalFormatting>
  <conditionalFormatting sqref="X38">
    <cfRule type="cellIs" dxfId="8293" priority="605" operator="notEqual">
      <formula>3</formula>
    </cfRule>
  </conditionalFormatting>
  <conditionalFormatting sqref="V41">
    <cfRule type="cellIs" dxfId="8292" priority="946" operator="equal">
      <formula>3</formula>
    </cfRule>
  </conditionalFormatting>
  <conditionalFormatting sqref="V41">
    <cfRule type="cellIs" dxfId="8291" priority="945" operator="equal">
      <formula>3</formula>
    </cfRule>
  </conditionalFormatting>
  <conditionalFormatting sqref="V41">
    <cfRule type="cellIs" dxfId="8290" priority="944" operator="notEqual">
      <formula>3</formula>
    </cfRule>
  </conditionalFormatting>
  <conditionalFormatting sqref="T53">
    <cfRule type="cellIs" dxfId="8289" priority="940" operator="equal">
      <formula>3</formula>
    </cfRule>
  </conditionalFormatting>
  <conditionalFormatting sqref="T53">
    <cfRule type="cellIs" dxfId="8288" priority="939" operator="equal">
      <formula>3</formula>
    </cfRule>
  </conditionalFormatting>
  <conditionalFormatting sqref="T53">
    <cfRule type="cellIs" dxfId="8287" priority="938" operator="notEqual">
      <formula>3</formula>
    </cfRule>
  </conditionalFormatting>
  <conditionalFormatting sqref="R53">
    <cfRule type="cellIs" dxfId="8286" priority="937" operator="equal">
      <formula>3</formula>
    </cfRule>
  </conditionalFormatting>
  <conditionalFormatting sqref="R53">
    <cfRule type="cellIs" dxfId="8285" priority="936" operator="equal">
      <formula>3</formula>
    </cfRule>
  </conditionalFormatting>
  <conditionalFormatting sqref="R53">
    <cfRule type="cellIs" dxfId="8284" priority="935" operator="notEqual">
      <formula>3</formula>
    </cfRule>
  </conditionalFormatting>
  <conditionalFormatting sqref="V32">
    <cfRule type="cellIs" dxfId="8283" priority="934" operator="equal">
      <formula>4</formula>
    </cfRule>
  </conditionalFormatting>
  <conditionalFormatting sqref="V32">
    <cfRule type="cellIs" dxfId="8282" priority="933" operator="lessThan">
      <formula>4</formula>
    </cfRule>
  </conditionalFormatting>
  <conditionalFormatting sqref="V32">
    <cfRule type="cellIs" dxfId="8281" priority="932" operator="greaterThan">
      <formula>4</formula>
    </cfRule>
  </conditionalFormatting>
  <conditionalFormatting sqref="V8">
    <cfRule type="cellIs" dxfId="8280" priority="928" operator="equal">
      <formula>3</formula>
    </cfRule>
  </conditionalFormatting>
  <conditionalFormatting sqref="V8">
    <cfRule type="cellIs" dxfId="8279" priority="927" operator="equal">
      <formula>3</formula>
    </cfRule>
  </conditionalFormatting>
  <conditionalFormatting sqref="V8">
    <cfRule type="cellIs" dxfId="8278" priority="926" operator="notEqual">
      <formula>3</formula>
    </cfRule>
  </conditionalFormatting>
  <conditionalFormatting sqref="X9">
    <cfRule type="cellIs" dxfId="8277" priority="922" operator="equal">
      <formula>3</formula>
    </cfRule>
  </conditionalFormatting>
  <conditionalFormatting sqref="X9">
    <cfRule type="cellIs" dxfId="8276" priority="921" operator="equal">
      <formula>3</formula>
    </cfRule>
  </conditionalFormatting>
  <conditionalFormatting sqref="X9">
    <cfRule type="cellIs" dxfId="8275" priority="920" operator="notEqual">
      <formula>3</formula>
    </cfRule>
  </conditionalFormatting>
  <conditionalFormatting sqref="V9">
    <cfRule type="cellIs" dxfId="8274" priority="919" operator="equal">
      <formula>3</formula>
    </cfRule>
  </conditionalFormatting>
  <conditionalFormatting sqref="V9">
    <cfRule type="cellIs" dxfId="8273" priority="918" operator="equal">
      <formula>3</formula>
    </cfRule>
  </conditionalFormatting>
  <conditionalFormatting sqref="V9">
    <cfRule type="cellIs" dxfId="8272" priority="917" operator="notEqual">
      <formula>3</formula>
    </cfRule>
  </conditionalFormatting>
  <conditionalFormatting sqref="T9">
    <cfRule type="cellIs" dxfId="8271" priority="913" operator="equal">
      <formula>3</formula>
    </cfRule>
  </conditionalFormatting>
  <conditionalFormatting sqref="T9">
    <cfRule type="cellIs" dxfId="8270" priority="912" operator="equal">
      <formula>3</formula>
    </cfRule>
  </conditionalFormatting>
  <conditionalFormatting sqref="T9">
    <cfRule type="cellIs" dxfId="8269" priority="911" operator="notEqual">
      <formula>3</formula>
    </cfRule>
  </conditionalFormatting>
  <conditionalFormatting sqref="X21:X22">
    <cfRule type="cellIs" dxfId="8268" priority="910" operator="equal">
      <formula>3</formula>
    </cfRule>
  </conditionalFormatting>
  <conditionalFormatting sqref="X21:X22">
    <cfRule type="cellIs" dxfId="8267" priority="909" operator="equal">
      <formula>3</formula>
    </cfRule>
  </conditionalFormatting>
  <conditionalFormatting sqref="X21:X22">
    <cfRule type="cellIs" dxfId="8266" priority="908" operator="notEqual">
      <formula>3</formula>
    </cfRule>
  </conditionalFormatting>
  <conditionalFormatting sqref="V21">
    <cfRule type="cellIs" dxfId="8265" priority="907" operator="equal">
      <formula>3</formula>
    </cfRule>
  </conditionalFormatting>
  <conditionalFormatting sqref="V21">
    <cfRule type="cellIs" dxfId="8264" priority="906" operator="equal">
      <formula>3</formula>
    </cfRule>
  </conditionalFormatting>
  <conditionalFormatting sqref="V21">
    <cfRule type="cellIs" dxfId="8263" priority="905" operator="notEqual">
      <formula>3</formula>
    </cfRule>
  </conditionalFormatting>
  <conditionalFormatting sqref="T21">
    <cfRule type="cellIs" dxfId="8262" priority="904" operator="equal">
      <formula>3</formula>
    </cfRule>
  </conditionalFormatting>
  <conditionalFormatting sqref="T21">
    <cfRule type="cellIs" dxfId="8261" priority="903" operator="equal">
      <formula>3</formula>
    </cfRule>
  </conditionalFormatting>
  <conditionalFormatting sqref="T21">
    <cfRule type="cellIs" dxfId="8260" priority="902" operator="notEqual">
      <formula>3</formula>
    </cfRule>
  </conditionalFormatting>
  <conditionalFormatting sqref="V36">
    <cfRule type="cellIs" dxfId="8259" priority="901" operator="equal">
      <formula>3</formula>
    </cfRule>
  </conditionalFormatting>
  <conditionalFormatting sqref="V36">
    <cfRule type="cellIs" dxfId="8258" priority="900" operator="equal">
      <formula>3</formula>
    </cfRule>
  </conditionalFormatting>
  <conditionalFormatting sqref="V36">
    <cfRule type="cellIs" dxfId="8257" priority="899" operator="notEqual">
      <formula>3</formula>
    </cfRule>
  </conditionalFormatting>
  <conditionalFormatting sqref="T34:T36">
    <cfRule type="cellIs" dxfId="8256" priority="898" operator="equal">
      <formula>3</formula>
    </cfRule>
  </conditionalFormatting>
  <conditionalFormatting sqref="T34:T36">
    <cfRule type="cellIs" dxfId="8255" priority="897" operator="equal">
      <formula>3</formula>
    </cfRule>
  </conditionalFormatting>
  <conditionalFormatting sqref="T34:T36">
    <cfRule type="cellIs" dxfId="8254" priority="896" operator="notEqual">
      <formula>3</formula>
    </cfRule>
  </conditionalFormatting>
  <conditionalFormatting sqref="R36">
    <cfRule type="cellIs" dxfId="8253" priority="895" operator="equal">
      <formula>3</formula>
    </cfRule>
  </conditionalFormatting>
  <conditionalFormatting sqref="R36">
    <cfRule type="cellIs" dxfId="8252" priority="894" operator="equal">
      <formula>3</formula>
    </cfRule>
  </conditionalFormatting>
  <conditionalFormatting sqref="R36">
    <cfRule type="cellIs" dxfId="8251" priority="893" operator="notEqual">
      <formula>3</formula>
    </cfRule>
  </conditionalFormatting>
  <conditionalFormatting sqref="X29">
    <cfRule type="cellIs" dxfId="8250" priority="841" operator="equal">
      <formula>3</formula>
    </cfRule>
  </conditionalFormatting>
  <conditionalFormatting sqref="X29">
    <cfRule type="cellIs" dxfId="8249" priority="840" operator="equal">
      <formula>3</formula>
    </cfRule>
  </conditionalFormatting>
  <conditionalFormatting sqref="X29">
    <cfRule type="cellIs" dxfId="8248" priority="839" operator="notEqual">
      <formula>3</formula>
    </cfRule>
  </conditionalFormatting>
  <conditionalFormatting sqref="R50">
    <cfRule type="cellIs" dxfId="8247" priority="889" operator="equal">
      <formula>3</formula>
    </cfRule>
  </conditionalFormatting>
  <conditionalFormatting sqref="R50">
    <cfRule type="cellIs" dxfId="8246" priority="888" operator="equal">
      <formula>3</formula>
    </cfRule>
  </conditionalFormatting>
  <conditionalFormatting sqref="R50">
    <cfRule type="cellIs" dxfId="8245" priority="887" operator="notEqual">
      <formula>3</formula>
    </cfRule>
  </conditionalFormatting>
  <conditionalFormatting sqref="R50">
    <cfRule type="cellIs" dxfId="8244" priority="886" operator="equal">
      <formula>4</formula>
    </cfRule>
  </conditionalFormatting>
  <conditionalFormatting sqref="R50">
    <cfRule type="cellIs" dxfId="8243" priority="885" operator="lessThan">
      <formula>4</formula>
    </cfRule>
  </conditionalFormatting>
  <conditionalFormatting sqref="R50">
    <cfRule type="cellIs" dxfId="8242" priority="884" operator="greaterThan">
      <formula>4</formula>
    </cfRule>
  </conditionalFormatting>
  <conditionalFormatting sqref="T49:T50">
    <cfRule type="cellIs" dxfId="8241" priority="883" operator="equal">
      <formula>3</formula>
    </cfRule>
  </conditionalFormatting>
  <conditionalFormatting sqref="T49:T50">
    <cfRule type="cellIs" dxfId="8240" priority="882" operator="equal">
      <formula>3</formula>
    </cfRule>
  </conditionalFormatting>
  <conditionalFormatting sqref="T49:T50">
    <cfRule type="cellIs" dxfId="8239" priority="881" operator="notEqual">
      <formula>3</formula>
    </cfRule>
  </conditionalFormatting>
  <conditionalFormatting sqref="T49:T50">
    <cfRule type="cellIs" dxfId="8238" priority="880" operator="equal">
      <formula>4</formula>
    </cfRule>
  </conditionalFormatting>
  <conditionalFormatting sqref="T49:T50">
    <cfRule type="cellIs" dxfId="8237" priority="879" operator="lessThan">
      <formula>4</formula>
    </cfRule>
  </conditionalFormatting>
  <conditionalFormatting sqref="T49:T50">
    <cfRule type="cellIs" dxfId="8236" priority="878" operator="greaterThan">
      <formula>4</formula>
    </cfRule>
  </conditionalFormatting>
  <conditionalFormatting sqref="X49">
    <cfRule type="cellIs" dxfId="8235" priority="871" operator="equal">
      <formula>3</formula>
    </cfRule>
  </conditionalFormatting>
  <conditionalFormatting sqref="X49">
    <cfRule type="cellIs" dxfId="8234" priority="870" operator="equal">
      <formula>3</formula>
    </cfRule>
  </conditionalFormatting>
  <conditionalFormatting sqref="X49">
    <cfRule type="cellIs" dxfId="8233" priority="869" operator="notEqual">
      <formula>3</formula>
    </cfRule>
  </conditionalFormatting>
  <conditionalFormatting sqref="X49">
    <cfRule type="cellIs" dxfId="8232" priority="868" operator="equal">
      <formula>4</formula>
    </cfRule>
  </conditionalFormatting>
  <conditionalFormatting sqref="X49">
    <cfRule type="cellIs" dxfId="8231" priority="867" operator="lessThan">
      <formula>4</formula>
    </cfRule>
  </conditionalFormatting>
  <conditionalFormatting sqref="X49">
    <cfRule type="cellIs" dxfId="8230" priority="866" operator="greaterThan">
      <formula>4</formula>
    </cfRule>
  </conditionalFormatting>
  <conditionalFormatting sqref="V55">
    <cfRule type="cellIs" dxfId="8229" priority="865" operator="equal">
      <formula>4</formula>
    </cfRule>
  </conditionalFormatting>
  <conditionalFormatting sqref="V55">
    <cfRule type="cellIs" dxfId="8228" priority="864" operator="lessThan">
      <formula>4</formula>
    </cfRule>
  </conditionalFormatting>
  <conditionalFormatting sqref="V55">
    <cfRule type="cellIs" dxfId="8227" priority="863" operator="greaterThan">
      <formula>4</formula>
    </cfRule>
  </conditionalFormatting>
  <conditionalFormatting sqref="R32">
    <cfRule type="cellIs" dxfId="8226" priority="856" operator="equal">
      <formula>3</formula>
    </cfRule>
  </conditionalFormatting>
  <conditionalFormatting sqref="R32">
    <cfRule type="cellIs" dxfId="8225" priority="855" operator="equal">
      <formula>3</formula>
    </cfRule>
  </conditionalFormatting>
  <conditionalFormatting sqref="R32">
    <cfRule type="cellIs" dxfId="8224" priority="854" operator="notEqual">
      <formula>3</formula>
    </cfRule>
  </conditionalFormatting>
  <conditionalFormatting sqref="R32">
    <cfRule type="cellIs" dxfId="8223" priority="853" operator="equal">
      <formula>4</formula>
    </cfRule>
  </conditionalFormatting>
  <conditionalFormatting sqref="R32">
    <cfRule type="cellIs" dxfId="8222" priority="852" operator="lessThan">
      <formula>4</formula>
    </cfRule>
  </conditionalFormatting>
  <conditionalFormatting sqref="R32">
    <cfRule type="cellIs" dxfId="8221" priority="851" operator="greaterThan">
      <formula>4</formula>
    </cfRule>
  </conditionalFormatting>
  <conditionalFormatting sqref="T32">
    <cfRule type="cellIs" dxfId="8220" priority="850" operator="equal">
      <formula>3</formula>
    </cfRule>
  </conditionalFormatting>
  <conditionalFormatting sqref="T32">
    <cfRule type="cellIs" dxfId="8219" priority="849" operator="equal">
      <formula>3</formula>
    </cfRule>
  </conditionalFormatting>
  <conditionalFormatting sqref="T32">
    <cfRule type="cellIs" dxfId="8218" priority="848" operator="notEqual">
      <formula>3</formula>
    </cfRule>
  </conditionalFormatting>
  <conditionalFormatting sqref="T32">
    <cfRule type="cellIs" dxfId="8217" priority="847" operator="equal">
      <formula>4</formula>
    </cfRule>
  </conditionalFormatting>
  <conditionalFormatting sqref="T32">
    <cfRule type="cellIs" dxfId="8216" priority="846" operator="lessThan">
      <formula>4</formula>
    </cfRule>
  </conditionalFormatting>
  <conditionalFormatting sqref="T32">
    <cfRule type="cellIs" dxfId="8215" priority="845" operator="greaterThan">
      <formula>4</formula>
    </cfRule>
  </conditionalFormatting>
  <conditionalFormatting sqref="V29">
    <cfRule type="cellIs" dxfId="8214" priority="844" operator="equal">
      <formula>4</formula>
    </cfRule>
  </conditionalFormatting>
  <conditionalFormatting sqref="V29">
    <cfRule type="cellIs" dxfId="8213" priority="843" operator="lessThan">
      <formula>4</formula>
    </cfRule>
  </conditionalFormatting>
  <conditionalFormatting sqref="V29">
    <cfRule type="cellIs" dxfId="8212" priority="842" operator="greaterThan">
      <formula>4</formula>
    </cfRule>
  </conditionalFormatting>
  <conditionalFormatting sqref="X29">
    <cfRule type="cellIs" dxfId="8211" priority="838" operator="equal">
      <formula>4</formula>
    </cfRule>
  </conditionalFormatting>
  <conditionalFormatting sqref="X29">
    <cfRule type="cellIs" dxfId="8210" priority="837" operator="lessThan">
      <formula>4</formula>
    </cfRule>
  </conditionalFormatting>
  <conditionalFormatting sqref="X29">
    <cfRule type="cellIs" dxfId="8209" priority="836" operator="greaterThan">
      <formula>4</formula>
    </cfRule>
  </conditionalFormatting>
  <conditionalFormatting sqref="Z57">
    <cfRule type="cellIs" dxfId="8208" priority="817" operator="equal">
      <formula>3</formula>
    </cfRule>
  </conditionalFormatting>
  <conditionalFormatting sqref="Z57">
    <cfRule type="cellIs" dxfId="8207" priority="816" operator="equal">
      <formula>3</formula>
    </cfRule>
  </conditionalFormatting>
  <conditionalFormatting sqref="Z57">
    <cfRule type="cellIs" dxfId="8206" priority="815" operator="notEqual">
      <formula>3</formula>
    </cfRule>
  </conditionalFormatting>
  <conditionalFormatting sqref="Z57">
    <cfRule type="cellIs" dxfId="8205" priority="814" operator="equal">
      <formula>3</formula>
    </cfRule>
  </conditionalFormatting>
  <conditionalFormatting sqref="Z57">
    <cfRule type="cellIs" dxfId="8204" priority="813" operator="equal">
      <formula>3</formula>
    </cfRule>
  </conditionalFormatting>
  <conditionalFormatting sqref="Z57">
    <cfRule type="cellIs" dxfId="8203" priority="812" operator="notEqual">
      <formula>3</formula>
    </cfRule>
  </conditionalFormatting>
  <conditionalFormatting sqref="Z57">
    <cfRule type="cellIs" dxfId="8202" priority="811" operator="equal">
      <formula>3</formula>
    </cfRule>
  </conditionalFormatting>
  <conditionalFormatting sqref="Z57">
    <cfRule type="cellIs" dxfId="8201" priority="810" operator="equal">
      <formula>3</formula>
    </cfRule>
  </conditionalFormatting>
  <conditionalFormatting sqref="Z57">
    <cfRule type="cellIs" dxfId="8200" priority="809" operator="notEqual">
      <formula>3</formula>
    </cfRule>
  </conditionalFormatting>
  <conditionalFormatting sqref="Z57">
    <cfRule type="cellIs" dxfId="8199" priority="808" operator="equal">
      <formula>3</formula>
    </cfRule>
  </conditionalFormatting>
  <conditionalFormatting sqref="Z57">
    <cfRule type="cellIs" dxfId="8198" priority="807" operator="equal">
      <formula>3</formula>
    </cfRule>
  </conditionalFormatting>
  <conditionalFormatting sqref="Z57">
    <cfRule type="cellIs" dxfId="8197" priority="806" operator="notEqual">
      <formula>3</formula>
    </cfRule>
  </conditionalFormatting>
  <conditionalFormatting sqref="Z57">
    <cfRule type="cellIs" dxfId="8196" priority="805" operator="equal">
      <formula>3</formula>
    </cfRule>
  </conditionalFormatting>
  <conditionalFormatting sqref="Z57">
    <cfRule type="cellIs" dxfId="8195" priority="804" operator="equal">
      <formula>3</formula>
    </cfRule>
  </conditionalFormatting>
  <conditionalFormatting sqref="Z57">
    <cfRule type="cellIs" dxfId="8194" priority="803" operator="notEqual">
      <formula>3</formula>
    </cfRule>
  </conditionalFormatting>
  <conditionalFormatting sqref="Z57">
    <cfRule type="cellIs" dxfId="8193" priority="802" operator="equal">
      <formula>3</formula>
    </cfRule>
  </conditionalFormatting>
  <conditionalFormatting sqref="Z57">
    <cfRule type="cellIs" dxfId="8192" priority="801" operator="equal">
      <formula>3</formula>
    </cfRule>
  </conditionalFormatting>
  <conditionalFormatting sqref="Z57">
    <cfRule type="cellIs" dxfId="8191" priority="800" operator="notEqual">
      <formula>3</formula>
    </cfRule>
  </conditionalFormatting>
  <conditionalFormatting sqref="Z57">
    <cfRule type="cellIs" dxfId="8190" priority="799" operator="equal">
      <formula>3</formula>
    </cfRule>
  </conditionalFormatting>
  <conditionalFormatting sqref="Z57">
    <cfRule type="cellIs" dxfId="8189" priority="798" operator="equal">
      <formula>3</formula>
    </cfRule>
  </conditionalFormatting>
  <conditionalFormatting sqref="Z57">
    <cfRule type="cellIs" dxfId="8188" priority="797" operator="notEqual">
      <formula>3</formula>
    </cfRule>
  </conditionalFormatting>
  <conditionalFormatting sqref="Z56">
    <cfRule type="cellIs" dxfId="8187" priority="796" operator="equal">
      <formula>3</formula>
    </cfRule>
  </conditionalFormatting>
  <conditionalFormatting sqref="Z56">
    <cfRule type="cellIs" dxfId="8186" priority="795" operator="equal">
      <formula>3</formula>
    </cfRule>
  </conditionalFormatting>
  <conditionalFormatting sqref="Z56">
    <cfRule type="cellIs" dxfId="8185" priority="794" operator="notEqual">
      <formula>3</formula>
    </cfRule>
  </conditionalFormatting>
  <conditionalFormatting sqref="Z56">
    <cfRule type="cellIs" dxfId="8184" priority="793" operator="equal">
      <formula>3</formula>
    </cfRule>
  </conditionalFormatting>
  <conditionalFormatting sqref="Z56">
    <cfRule type="cellIs" dxfId="8183" priority="792" operator="equal">
      <formula>3</formula>
    </cfRule>
  </conditionalFormatting>
  <conditionalFormatting sqref="Z56">
    <cfRule type="cellIs" dxfId="8182" priority="791" operator="notEqual">
      <formula>3</formula>
    </cfRule>
  </conditionalFormatting>
  <conditionalFormatting sqref="Z56">
    <cfRule type="cellIs" dxfId="8181" priority="790" operator="equal">
      <formula>3</formula>
    </cfRule>
  </conditionalFormatting>
  <conditionalFormatting sqref="Z56">
    <cfRule type="cellIs" dxfId="8180" priority="789" operator="equal">
      <formula>3</formula>
    </cfRule>
  </conditionalFormatting>
  <conditionalFormatting sqref="Z56">
    <cfRule type="cellIs" dxfId="8179" priority="788" operator="notEqual">
      <formula>3</formula>
    </cfRule>
  </conditionalFormatting>
  <conditionalFormatting sqref="Z56">
    <cfRule type="cellIs" dxfId="8178" priority="787" operator="equal">
      <formula>3</formula>
    </cfRule>
  </conditionalFormatting>
  <conditionalFormatting sqref="Z56">
    <cfRule type="cellIs" dxfId="8177" priority="786" operator="equal">
      <formula>3</formula>
    </cfRule>
  </conditionalFormatting>
  <conditionalFormatting sqref="Z56">
    <cfRule type="cellIs" dxfId="8176" priority="785" operator="notEqual">
      <formula>3</formula>
    </cfRule>
  </conditionalFormatting>
  <conditionalFormatting sqref="Z56">
    <cfRule type="cellIs" dxfId="8175" priority="784" operator="equal">
      <formula>3</formula>
    </cfRule>
  </conditionalFormatting>
  <conditionalFormatting sqref="Z56">
    <cfRule type="cellIs" dxfId="8174" priority="783" operator="equal">
      <formula>3</formula>
    </cfRule>
  </conditionalFormatting>
  <conditionalFormatting sqref="Z56">
    <cfRule type="cellIs" dxfId="8173" priority="782" operator="notEqual">
      <formula>3</formula>
    </cfRule>
  </conditionalFormatting>
  <conditionalFormatting sqref="Z56">
    <cfRule type="cellIs" dxfId="8172" priority="781" operator="equal">
      <formula>3</formula>
    </cfRule>
  </conditionalFormatting>
  <conditionalFormatting sqref="Z56">
    <cfRule type="cellIs" dxfId="8171" priority="780" operator="equal">
      <formula>3</formula>
    </cfRule>
  </conditionalFormatting>
  <conditionalFormatting sqref="Z56">
    <cfRule type="cellIs" dxfId="8170" priority="779" operator="notEqual">
      <formula>3</formula>
    </cfRule>
  </conditionalFormatting>
  <conditionalFormatting sqref="Z56">
    <cfRule type="cellIs" dxfId="8169" priority="778" operator="equal">
      <formula>3</formula>
    </cfRule>
  </conditionalFormatting>
  <conditionalFormatting sqref="Z56">
    <cfRule type="cellIs" dxfId="8168" priority="777" operator="equal">
      <formula>3</formula>
    </cfRule>
  </conditionalFormatting>
  <conditionalFormatting sqref="Z56">
    <cfRule type="cellIs" dxfId="8167" priority="776" operator="notEqual">
      <formula>3</formula>
    </cfRule>
  </conditionalFormatting>
  <conditionalFormatting sqref="V12">
    <cfRule type="cellIs" dxfId="8166" priority="772" operator="equal">
      <formula>3</formula>
    </cfRule>
  </conditionalFormatting>
  <conditionalFormatting sqref="V12">
    <cfRule type="cellIs" dxfId="8165" priority="771" operator="equal">
      <formula>3</formula>
    </cfRule>
  </conditionalFormatting>
  <conditionalFormatting sqref="V12">
    <cfRule type="cellIs" dxfId="8164" priority="770" operator="notEqual">
      <formula>3</formula>
    </cfRule>
  </conditionalFormatting>
  <conditionalFormatting sqref="V43">
    <cfRule type="cellIs" dxfId="8163" priority="760" operator="equal">
      <formula>4</formula>
    </cfRule>
  </conditionalFormatting>
  <conditionalFormatting sqref="V43">
    <cfRule type="cellIs" dxfId="8162" priority="759" operator="lessThan">
      <formula>4</formula>
    </cfRule>
  </conditionalFormatting>
  <conditionalFormatting sqref="V43">
    <cfRule type="cellIs" dxfId="8161" priority="758" operator="greaterThan">
      <formula>4</formula>
    </cfRule>
  </conditionalFormatting>
  <conditionalFormatting sqref="T20">
    <cfRule type="cellIs" dxfId="8160" priority="721" operator="equal">
      <formula>3</formula>
    </cfRule>
  </conditionalFormatting>
  <conditionalFormatting sqref="T20">
    <cfRule type="cellIs" dxfId="8159" priority="720" operator="equal">
      <formula>3</formula>
    </cfRule>
  </conditionalFormatting>
  <conditionalFormatting sqref="T20">
    <cfRule type="cellIs" dxfId="8158" priority="719" operator="notEqual">
      <formula>3</formula>
    </cfRule>
  </conditionalFormatting>
  <conditionalFormatting sqref="T20">
    <cfRule type="cellIs" dxfId="8157" priority="718" operator="equal">
      <formula>3</formula>
    </cfRule>
  </conditionalFormatting>
  <conditionalFormatting sqref="T20">
    <cfRule type="cellIs" dxfId="8156" priority="717" operator="equal">
      <formula>3</formula>
    </cfRule>
  </conditionalFormatting>
  <conditionalFormatting sqref="T20">
    <cfRule type="cellIs" dxfId="8155" priority="716" operator="notEqual">
      <formula>3</formula>
    </cfRule>
  </conditionalFormatting>
  <conditionalFormatting sqref="T20">
    <cfRule type="cellIs" dxfId="8154" priority="715" operator="equal">
      <formula>4</formula>
    </cfRule>
  </conditionalFormatting>
  <conditionalFormatting sqref="T20">
    <cfRule type="cellIs" dxfId="8153" priority="714" operator="lessThan">
      <formula>4</formula>
    </cfRule>
  </conditionalFormatting>
  <conditionalFormatting sqref="T20">
    <cfRule type="cellIs" dxfId="8152" priority="713" operator="greaterThan">
      <formula>4</formula>
    </cfRule>
  </conditionalFormatting>
  <conditionalFormatting sqref="R20">
    <cfRule type="cellIs" dxfId="8151" priority="712" operator="equal">
      <formula>3</formula>
    </cfRule>
  </conditionalFormatting>
  <conditionalFormatting sqref="R20">
    <cfRule type="cellIs" dxfId="8150" priority="711" operator="equal">
      <formula>3</formula>
    </cfRule>
  </conditionalFormatting>
  <conditionalFormatting sqref="R20">
    <cfRule type="cellIs" dxfId="8149" priority="710" operator="notEqual">
      <formula>3</formula>
    </cfRule>
  </conditionalFormatting>
  <conditionalFormatting sqref="R20">
    <cfRule type="cellIs" dxfId="8148" priority="709" operator="equal">
      <formula>3</formula>
    </cfRule>
  </conditionalFormatting>
  <conditionalFormatting sqref="R20">
    <cfRule type="cellIs" dxfId="8147" priority="708" operator="equal">
      <formula>3</formula>
    </cfRule>
  </conditionalFormatting>
  <conditionalFormatting sqref="R20">
    <cfRule type="cellIs" dxfId="8146" priority="707" operator="notEqual">
      <formula>3</formula>
    </cfRule>
  </conditionalFormatting>
  <conditionalFormatting sqref="R20">
    <cfRule type="cellIs" dxfId="8145" priority="706" operator="equal">
      <formula>4</formula>
    </cfRule>
  </conditionalFormatting>
  <conditionalFormatting sqref="R20">
    <cfRule type="cellIs" dxfId="8144" priority="705" operator="lessThan">
      <formula>4</formula>
    </cfRule>
  </conditionalFormatting>
  <conditionalFormatting sqref="R20">
    <cfRule type="cellIs" dxfId="8143" priority="704" operator="greaterThan">
      <formula>4</formula>
    </cfRule>
  </conditionalFormatting>
  <conditionalFormatting sqref="R24">
    <cfRule type="cellIs" dxfId="8142" priority="703" operator="equal">
      <formula>3</formula>
    </cfRule>
  </conditionalFormatting>
  <conditionalFormatting sqref="R24">
    <cfRule type="cellIs" dxfId="8141" priority="702" operator="equal">
      <formula>3</formula>
    </cfRule>
  </conditionalFormatting>
  <conditionalFormatting sqref="R24">
    <cfRule type="cellIs" dxfId="8140" priority="701" operator="notEqual">
      <formula>3</formula>
    </cfRule>
  </conditionalFormatting>
  <conditionalFormatting sqref="R24">
    <cfRule type="cellIs" dxfId="8139" priority="700" operator="equal">
      <formula>3</formula>
    </cfRule>
  </conditionalFormatting>
  <conditionalFormatting sqref="R24">
    <cfRule type="cellIs" dxfId="8138" priority="699" operator="equal">
      <formula>3</formula>
    </cfRule>
  </conditionalFormatting>
  <conditionalFormatting sqref="R24">
    <cfRule type="cellIs" dxfId="8137" priority="698" operator="notEqual">
      <formula>3</formula>
    </cfRule>
  </conditionalFormatting>
  <conditionalFormatting sqref="R24">
    <cfRule type="cellIs" dxfId="8136" priority="697" operator="equal">
      <formula>4</formula>
    </cfRule>
  </conditionalFormatting>
  <conditionalFormatting sqref="R24">
    <cfRule type="cellIs" dxfId="8135" priority="696" operator="lessThan">
      <formula>4</formula>
    </cfRule>
  </conditionalFormatting>
  <conditionalFormatting sqref="R24">
    <cfRule type="cellIs" dxfId="8134" priority="695" operator="greaterThan">
      <formula>4</formula>
    </cfRule>
  </conditionalFormatting>
  <conditionalFormatting sqref="T24">
    <cfRule type="cellIs" dxfId="8133" priority="694" operator="equal">
      <formula>3</formula>
    </cfRule>
  </conditionalFormatting>
  <conditionalFormatting sqref="T24">
    <cfRule type="cellIs" dxfId="8132" priority="693" operator="equal">
      <formula>3</formula>
    </cfRule>
  </conditionalFormatting>
  <conditionalFormatting sqref="T24">
    <cfRule type="cellIs" dxfId="8131" priority="692" operator="notEqual">
      <formula>3</formula>
    </cfRule>
  </conditionalFormatting>
  <conditionalFormatting sqref="T24">
    <cfRule type="cellIs" dxfId="8130" priority="691" operator="equal">
      <formula>3</formula>
    </cfRule>
  </conditionalFormatting>
  <conditionalFormatting sqref="T24">
    <cfRule type="cellIs" dxfId="8129" priority="690" operator="equal">
      <formula>3</formula>
    </cfRule>
  </conditionalFormatting>
  <conditionalFormatting sqref="T24">
    <cfRule type="cellIs" dxfId="8128" priority="689" operator="notEqual">
      <formula>3</formula>
    </cfRule>
  </conditionalFormatting>
  <conditionalFormatting sqref="T24">
    <cfRule type="cellIs" dxfId="8127" priority="688" operator="equal">
      <formula>4</formula>
    </cfRule>
  </conditionalFormatting>
  <conditionalFormatting sqref="T24">
    <cfRule type="cellIs" dxfId="8126" priority="687" operator="lessThan">
      <formula>4</formula>
    </cfRule>
  </conditionalFormatting>
  <conditionalFormatting sqref="T24">
    <cfRule type="cellIs" dxfId="8125" priority="686" operator="greaterThan">
      <formula>4</formula>
    </cfRule>
  </conditionalFormatting>
  <conditionalFormatting sqref="V24">
    <cfRule type="cellIs" dxfId="8124" priority="685" operator="equal">
      <formula>3</formula>
    </cfRule>
  </conditionalFormatting>
  <conditionalFormatting sqref="V24">
    <cfRule type="cellIs" dxfId="8123" priority="684" operator="equal">
      <formula>3</formula>
    </cfRule>
  </conditionalFormatting>
  <conditionalFormatting sqref="V24">
    <cfRule type="cellIs" dxfId="8122" priority="683" operator="notEqual">
      <formula>3</formula>
    </cfRule>
  </conditionalFormatting>
  <conditionalFormatting sqref="V24">
    <cfRule type="cellIs" dxfId="8121" priority="682" operator="equal">
      <formula>3</formula>
    </cfRule>
  </conditionalFormatting>
  <conditionalFormatting sqref="V24">
    <cfRule type="cellIs" dxfId="8120" priority="681" operator="equal">
      <formula>3</formula>
    </cfRule>
  </conditionalFormatting>
  <conditionalFormatting sqref="V24">
    <cfRule type="cellIs" dxfId="8119" priority="680" operator="notEqual">
      <formula>3</formula>
    </cfRule>
  </conditionalFormatting>
  <conditionalFormatting sqref="V24">
    <cfRule type="cellIs" dxfId="8118" priority="679" operator="equal">
      <formula>4</formula>
    </cfRule>
  </conditionalFormatting>
  <conditionalFormatting sqref="V24">
    <cfRule type="cellIs" dxfId="8117" priority="678" operator="lessThan">
      <formula>4</formula>
    </cfRule>
  </conditionalFormatting>
  <conditionalFormatting sqref="V24">
    <cfRule type="cellIs" dxfId="8116" priority="677" operator="greaterThan">
      <formula>4</formula>
    </cfRule>
  </conditionalFormatting>
  <conditionalFormatting sqref="X24">
    <cfRule type="cellIs" dxfId="8115" priority="676" operator="equal">
      <formula>3</formula>
    </cfRule>
  </conditionalFormatting>
  <conditionalFormatting sqref="X24">
    <cfRule type="cellIs" dxfId="8114" priority="675" operator="equal">
      <formula>3</formula>
    </cfRule>
  </conditionalFormatting>
  <conditionalFormatting sqref="X24">
    <cfRule type="cellIs" dxfId="8113" priority="674" operator="notEqual">
      <formula>3</formula>
    </cfRule>
  </conditionalFormatting>
  <conditionalFormatting sqref="X24">
    <cfRule type="cellIs" dxfId="8112" priority="673" operator="equal">
      <formula>3</formula>
    </cfRule>
  </conditionalFormatting>
  <conditionalFormatting sqref="X24">
    <cfRule type="cellIs" dxfId="8111" priority="672" operator="equal">
      <formula>3</formula>
    </cfRule>
  </conditionalFormatting>
  <conditionalFormatting sqref="X24">
    <cfRule type="cellIs" dxfId="8110" priority="671" operator="notEqual">
      <formula>3</formula>
    </cfRule>
  </conditionalFormatting>
  <conditionalFormatting sqref="X24">
    <cfRule type="cellIs" dxfId="8109" priority="670" operator="equal">
      <formula>4</formula>
    </cfRule>
  </conditionalFormatting>
  <conditionalFormatting sqref="X24">
    <cfRule type="cellIs" dxfId="8108" priority="669" operator="lessThan">
      <formula>4</formula>
    </cfRule>
  </conditionalFormatting>
  <conditionalFormatting sqref="X24">
    <cfRule type="cellIs" dxfId="8107" priority="668" operator="greaterThan">
      <formula>4</formula>
    </cfRule>
  </conditionalFormatting>
  <conditionalFormatting sqref="X20">
    <cfRule type="cellIs" dxfId="8106" priority="666" operator="equal">
      <formula>3</formula>
    </cfRule>
  </conditionalFormatting>
  <conditionalFormatting sqref="X20">
    <cfRule type="cellIs" dxfId="8105" priority="665" operator="notEqual">
      <formula>3</formula>
    </cfRule>
  </conditionalFormatting>
  <conditionalFormatting sqref="X20">
    <cfRule type="cellIs" dxfId="8104" priority="664" operator="equal">
      <formula>3</formula>
    </cfRule>
  </conditionalFormatting>
  <conditionalFormatting sqref="X20">
    <cfRule type="cellIs" dxfId="8103" priority="663" operator="equal">
      <formula>3</formula>
    </cfRule>
  </conditionalFormatting>
  <conditionalFormatting sqref="X20">
    <cfRule type="cellIs" dxfId="8102" priority="662" operator="notEqual">
      <formula>3</formula>
    </cfRule>
  </conditionalFormatting>
  <conditionalFormatting sqref="X20">
    <cfRule type="cellIs" dxfId="8101" priority="661" operator="equal">
      <formula>4</formula>
    </cfRule>
  </conditionalFormatting>
  <conditionalFormatting sqref="X20">
    <cfRule type="cellIs" dxfId="8100" priority="660" operator="lessThan">
      <formula>4</formula>
    </cfRule>
  </conditionalFormatting>
  <conditionalFormatting sqref="X20">
    <cfRule type="cellIs" dxfId="8099" priority="659" operator="greaterThan">
      <formula>4</formula>
    </cfRule>
  </conditionalFormatting>
  <conditionalFormatting sqref="X26">
    <cfRule type="cellIs" dxfId="8098" priority="658" operator="equal">
      <formula>3</formula>
    </cfRule>
  </conditionalFormatting>
  <conditionalFormatting sqref="X26">
    <cfRule type="cellIs" dxfId="8097" priority="657" operator="equal">
      <formula>3</formula>
    </cfRule>
  </conditionalFormatting>
  <conditionalFormatting sqref="X26">
    <cfRule type="cellIs" dxfId="8096" priority="656" operator="notEqual">
      <formula>3</formula>
    </cfRule>
  </conditionalFormatting>
  <conditionalFormatting sqref="X26">
    <cfRule type="cellIs" dxfId="8095" priority="655" operator="equal">
      <formula>3</formula>
    </cfRule>
  </conditionalFormatting>
  <conditionalFormatting sqref="X26">
    <cfRule type="cellIs" dxfId="8094" priority="654" operator="equal">
      <formula>3</formula>
    </cfRule>
  </conditionalFormatting>
  <conditionalFormatting sqref="X26">
    <cfRule type="cellIs" dxfId="8093" priority="653" operator="notEqual">
      <formula>3</formula>
    </cfRule>
  </conditionalFormatting>
  <conditionalFormatting sqref="X26">
    <cfRule type="cellIs" dxfId="8092" priority="652" operator="equal">
      <formula>4</formula>
    </cfRule>
  </conditionalFormatting>
  <conditionalFormatting sqref="X26">
    <cfRule type="cellIs" dxfId="8091" priority="651" operator="lessThan">
      <formula>4</formula>
    </cfRule>
  </conditionalFormatting>
  <conditionalFormatting sqref="X26">
    <cfRule type="cellIs" dxfId="8090" priority="650" operator="greaterThan">
      <formula>4</formula>
    </cfRule>
  </conditionalFormatting>
  <conditionalFormatting sqref="V26">
    <cfRule type="cellIs" dxfId="8089" priority="649" operator="equal">
      <formula>3</formula>
    </cfRule>
  </conditionalFormatting>
  <conditionalFormatting sqref="V26">
    <cfRule type="cellIs" dxfId="8088" priority="648" operator="equal">
      <formula>3</formula>
    </cfRule>
  </conditionalFormatting>
  <conditionalFormatting sqref="V26">
    <cfRule type="cellIs" dxfId="8087" priority="647" operator="notEqual">
      <formula>3</formula>
    </cfRule>
  </conditionalFormatting>
  <conditionalFormatting sqref="V26">
    <cfRule type="cellIs" dxfId="8086" priority="646" operator="equal">
      <formula>3</formula>
    </cfRule>
  </conditionalFormatting>
  <conditionalFormatting sqref="V26">
    <cfRule type="cellIs" dxfId="8085" priority="645" operator="equal">
      <formula>3</formula>
    </cfRule>
  </conditionalFormatting>
  <conditionalFormatting sqref="V26">
    <cfRule type="cellIs" dxfId="8084" priority="644" operator="notEqual">
      <formula>3</formula>
    </cfRule>
  </conditionalFormatting>
  <conditionalFormatting sqref="V26">
    <cfRule type="cellIs" dxfId="8083" priority="643" operator="equal">
      <formula>4</formula>
    </cfRule>
  </conditionalFormatting>
  <conditionalFormatting sqref="V26">
    <cfRule type="cellIs" dxfId="8082" priority="642" operator="lessThan">
      <formula>4</formula>
    </cfRule>
  </conditionalFormatting>
  <conditionalFormatting sqref="V26">
    <cfRule type="cellIs" dxfId="8081" priority="641" operator="greaterThan">
      <formula>4</formula>
    </cfRule>
  </conditionalFormatting>
  <conditionalFormatting sqref="T26">
    <cfRule type="cellIs" dxfId="8080" priority="640" operator="equal">
      <formula>3</formula>
    </cfRule>
  </conditionalFormatting>
  <conditionalFormatting sqref="T26">
    <cfRule type="cellIs" dxfId="8079" priority="639" operator="equal">
      <formula>3</formula>
    </cfRule>
  </conditionalFormatting>
  <conditionalFormatting sqref="T26">
    <cfRule type="cellIs" dxfId="8078" priority="638" operator="notEqual">
      <formula>3</formula>
    </cfRule>
  </conditionalFormatting>
  <conditionalFormatting sqref="T26">
    <cfRule type="cellIs" dxfId="8077" priority="637" operator="equal">
      <formula>3</formula>
    </cfRule>
  </conditionalFormatting>
  <conditionalFormatting sqref="T26">
    <cfRule type="cellIs" dxfId="8076" priority="636" operator="equal">
      <formula>3</formula>
    </cfRule>
  </conditionalFormatting>
  <conditionalFormatting sqref="T26">
    <cfRule type="cellIs" dxfId="8075" priority="635" operator="notEqual">
      <formula>3</formula>
    </cfRule>
  </conditionalFormatting>
  <conditionalFormatting sqref="T26">
    <cfRule type="cellIs" dxfId="8074" priority="634" operator="equal">
      <formula>4</formula>
    </cfRule>
  </conditionalFormatting>
  <conditionalFormatting sqref="T26">
    <cfRule type="cellIs" dxfId="8073" priority="633" operator="lessThan">
      <formula>4</formula>
    </cfRule>
  </conditionalFormatting>
  <conditionalFormatting sqref="T26">
    <cfRule type="cellIs" dxfId="8072" priority="632" operator="greaterThan">
      <formula>4</formula>
    </cfRule>
  </conditionalFormatting>
  <conditionalFormatting sqref="R26">
    <cfRule type="cellIs" dxfId="8071" priority="631" operator="equal">
      <formula>3</formula>
    </cfRule>
  </conditionalFormatting>
  <conditionalFormatting sqref="R26">
    <cfRule type="cellIs" dxfId="8070" priority="630" operator="equal">
      <formula>3</formula>
    </cfRule>
  </conditionalFormatting>
  <conditionalFormatting sqref="R26">
    <cfRule type="cellIs" dxfId="8069" priority="629" operator="notEqual">
      <formula>3</formula>
    </cfRule>
  </conditionalFormatting>
  <conditionalFormatting sqref="R26">
    <cfRule type="cellIs" dxfId="8068" priority="628" operator="equal">
      <formula>3</formula>
    </cfRule>
  </conditionalFormatting>
  <conditionalFormatting sqref="R26">
    <cfRule type="cellIs" dxfId="8067" priority="627" operator="equal">
      <formula>3</formula>
    </cfRule>
  </conditionalFormatting>
  <conditionalFormatting sqref="R26">
    <cfRule type="cellIs" dxfId="8066" priority="626" operator="notEqual">
      <formula>3</formula>
    </cfRule>
  </conditionalFormatting>
  <conditionalFormatting sqref="R26">
    <cfRule type="cellIs" dxfId="8065" priority="625" operator="equal">
      <formula>4</formula>
    </cfRule>
  </conditionalFormatting>
  <conditionalFormatting sqref="R26">
    <cfRule type="cellIs" dxfId="8064" priority="624" operator="lessThan">
      <formula>4</formula>
    </cfRule>
  </conditionalFormatting>
  <conditionalFormatting sqref="R26">
    <cfRule type="cellIs" dxfId="8063" priority="623" operator="greaterThan">
      <formula>4</formula>
    </cfRule>
  </conditionalFormatting>
  <conditionalFormatting sqref="V34">
    <cfRule type="cellIs" dxfId="8062" priority="613" operator="equal">
      <formula>3</formula>
    </cfRule>
  </conditionalFormatting>
  <conditionalFormatting sqref="V34">
    <cfRule type="cellIs" dxfId="8061" priority="612" operator="equal">
      <formula>3</formula>
    </cfRule>
  </conditionalFormatting>
  <conditionalFormatting sqref="V34">
    <cfRule type="cellIs" dxfId="8060" priority="611" operator="notEqual">
      <formula>3</formula>
    </cfRule>
  </conditionalFormatting>
  <conditionalFormatting sqref="V37">
    <cfRule type="cellIs" dxfId="8059" priority="610" operator="equal">
      <formula>3</formula>
    </cfRule>
  </conditionalFormatting>
  <conditionalFormatting sqref="V37">
    <cfRule type="cellIs" dxfId="8058" priority="609" operator="equal">
      <formula>3</formula>
    </cfRule>
  </conditionalFormatting>
  <conditionalFormatting sqref="V37">
    <cfRule type="cellIs" dxfId="8057" priority="608" operator="notEqual">
      <formula>3</formula>
    </cfRule>
  </conditionalFormatting>
  <conditionalFormatting sqref="T41">
    <cfRule type="cellIs" dxfId="8056" priority="601" operator="equal">
      <formula>3</formula>
    </cfRule>
  </conditionalFormatting>
  <conditionalFormatting sqref="T41">
    <cfRule type="cellIs" dxfId="8055" priority="600" operator="equal">
      <formula>3</formula>
    </cfRule>
  </conditionalFormatting>
  <conditionalFormatting sqref="T41">
    <cfRule type="cellIs" dxfId="8054" priority="599" operator="notEqual">
      <formula>3</formula>
    </cfRule>
  </conditionalFormatting>
  <conditionalFormatting sqref="R51">
    <cfRule type="cellIs" dxfId="8053" priority="598" operator="equal">
      <formula>3</formula>
    </cfRule>
  </conditionalFormatting>
  <conditionalFormatting sqref="R51">
    <cfRule type="cellIs" dxfId="8052" priority="597" operator="equal">
      <formula>3</formula>
    </cfRule>
  </conditionalFormatting>
  <conditionalFormatting sqref="R51">
    <cfRule type="cellIs" dxfId="8051" priority="596" operator="notEqual">
      <formula>3</formula>
    </cfRule>
  </conditionalFormatting>
  <conditionalFormatting sqref="R51">
    <cfRule type="cellIs" dxfId="8050" priority="595" operator="equal">
      <formula>4</formula>
    </cfRule>
  </conditionalFormatting>
  <conditionalFormatting sqref="R51">
    <cfRule type="cellIs" dxfId="8049" priority="594" operator="lessThan">
      <formula>4</formula>
    </cfRule>
  </conditionalFormatting>
  <conditionalFormatting sqref="R51">
    <cfRule type="cellIs" dxfId="8048" priority="593" operator="greaterThan">
      <formula>4</formula>
    </cfRule>
  </conditionalFormatting>
  <conditionalFormatting sqref="R52">
    <cfRule type="cellIs" dxfId="8047" priority="592" operator="equal">
      <formula>3</formula>
    </cfRule>
  </conditionalFormatting>
  <conditionalFormatting sqref="R52">
    <cfRule type="cellIs" dxfId="8046" priority="591" operator="equal">
      <formula>3</formula>
    </cfRule>
  </conditionalFormatting>
  <conditionalFormatting sqref="R52">
    <cfRule type="cellIs" dxfId="8045" priority="590" operator="notEqual">
      <formula>3</formula>
    </cfRule>
  </conditionalFormatting>
  <conditionalFormatting sqref="R52">
    <cfRule type="cellIs" dxfId="8044" priority="589" operator="equal">
      <formula>4</formula>
    </cfRule>
  </conditionalFormatting>
  <conditionalFormatting sqref="R52">
    <cfRule type="cellIs" dxfId="8043" priority="588" operator="lessThan">
      <formula>4</formula>
    </cfRule>
  </conditionalFormatting>
  <conditionalFormatting sqref="R52">
    <cfRule type="cellIs" dxfId="8042" priority="587" operator="greaterThan">
      <formula>4</formula>
    </cfRule>
  </conditionalFormatting>
  <conditionalFormatting sqref="T51:T52">
    <cfRule type="cellIs" dxfId="8041" priority="586" operator="equal">
      <formula>3</formula>
    </cfRule>
  </conditionalFormatting>
  <conditionalFormatting sqref="T51:T52">
    <cfRule type="cellIs" dxfId="8040" priority="585" operator="equal">
      <formula>3</formula>
    </cfRule>
  </conditionalFormatting>
  <conditionalFormatting sqref="T51:T52">
    <cfRule type="cellIs" dxfId="8039" priority="584" operator="notEqual">
      <formula>3</formula>
    </cfRule>
  </conditionalFormatting>
  <conditionalFormatting sqref="T51:T52">
    <cfRule type="cellIs" dxfId="8038" priority="583" operator="equal">
      <formula>4</formula>
    </cfRule>
  </conditionalFormatting>
  <conditionalFormatting sqref="T51:T52">
    <cfRule type="cellIs" dxfId="8037" priority="582" operator="lessThan">
      <formula>4</formula>
    </cfRule>
  </conditionalFormatting>
  <conditionalFormatting sqref="T51:T52">
    <cfRule type="cellIs" dxfId="8036" priority="581" operator="greaterThan">
      <formula>4</formula>
    </cfRule>
  </conditionalFormatting>
  <conditionalFormatting sqref="X52">
    <cfRule type="cellIs" dxfId="8035" priority="580" operator="equal">
      <formula>3</formula>
    </cfRule>
  </conditionalFormatting>
  <conditionalFormatting sqref="X52">
    <cfRule type="cellIs" dxfId="8034" priority="579" operator="equal">
      <formula>3</formula>
    </cfRule>
  </conditionalFormatting>
  <conditionalFormatting sqref="X52">
    <cfRule type="cellIs" dxfId="8033" priority="578" operator="notEqual">
      <formula>3</formula>
    </cfRule>
  </conditionalFormatting>
  <conditionalFormatting sqref="X52">
    <cfRule type="cellIs" dxfId="8032" priority="577" operator="equal">
      <formula>4</formula>
    </cfRule>
  </conditionalFormatting>
  <conditionalFormatting sqref="X52">
    <cfRule type="cellIs" dxfId="8031" priority="576" operator="lessThan">
      <formula>4</formula>
    </cfRule>
  </conditionalFormatting>
  <conditionalFormatting sqref="X52">
    <cfRule type="cellIs" dxfId="8030" priority="575" operator="greaterThan">
      <formula>4</formula>
    </cfRule>
  </conditionalFormatting>
  <conditionalFormatting sqref="X12">
    <cfRule type="cellIs" dxfId="8029" priority="574" operator="equal">
      <formula>3</formula>
    </cfRule>
  </conditionalFormatting>
  <conditionalFormatting sqref="X12">
    <cfRule type="cellIs" dxfId="8028" priority="573" operator="equal">
      <formula>3</formula>
    </cfRule>
  </conditionalFormatting>
  <conditionalFormatting sqref="X12">
    <cfRule type="cellIs" dxfId="8027" priority="572" operator="notEqual">
      <formula>3</formula>
    </cfRule>
  </conditionalFormatting>
  <conditionalFormatting sqref="Z12">
    <cfRule type="cellIs" dxfId="8026" priority="571" operator="equal">
      <formula>3</formula>
    </cfRule>
  </conditionalFormatting>
  <conditionalFormatting sqref="Z12">
    <cfRule type="cellIs" dxfId="8025" priority="570" operator="equal">
      <formula>3</formula>
    </cfRule>
  </conditionalFormatting>
  <conditionalFormatting sqref="Z12">
    <cfRule type="cellIs" dxfId="8024" priority="569" operator="notEqual">
      <formula>3</formula>
    </cfRule>
  </conditionalFormatting>
  <conditionalFormatting sqref="T12">
    <cfRule type="cellIs" dxfId="8023" priority="559" operator="equal">
      <formula>3</formula>
    </cfRule>
  </conditionalFormatting>
  <conditionalFormatting sqref="T12">
    <cfRule type="cellIs" dxfId="8022" priority="558" operator="equal">
      <formula>3</formula>
    </cfRule>
  </conditionalFormatting>
  <conditionalFormatting sqref="T12">
    <cfRule type="cellIs" dxfId="8021" priority="557" operator="notEqual">
      <formula>3</formula>
    </cfRule>
  </conditionalFormatting>
  <conditionalFormatting sqref="T12">
    <cfRule type="cellIs" dxfId="8020" priority="556" operator="equal">
      <formula>3</formula>
    </cfRule>
  </conditionalFormatting>
  <conditionalFormatting sqref="T12">
    <cfRule type="cellIs" dxfId="8019" priority="555" operator="equal">
      <formula>3</formula>
    </cfRule>
  </conditionalFormatting>
  <conditionalFormatting sqref="T12">
    <cfRule type="cellIs" dxfId="8018" priority="554" operator="notEqual">
      <formula>3</formula>
    </cfRule>
  </conditionalFormatting>
  <conditionalFormatting sqref="T12">
    <cfRule type="cellIs" dxfId="8017" priority="553" operator="equal">
      <formula>4</formula>
    </cfRule>
  </conditionalFormatting>
  <conditionalFormatting sqref="T12">
    <cfRule type="cellIs" dxfId="8016" priority="552" operator="lessThan">
      <formula>4</formula>
    </cfRule>
  </conditionalFormatting>
  <conditionalFormatting sqref="T12">
    <cfRule type="cellIs" dxfId="8015" priority="551" operator="greaterThan">
      <formula>4</formula>
    </cfRule>
  </conditionalFormatting>
  <conditionalFormatting sqref="R11">
    <cfRule type="cellIs" dxfId="8014" priority="550" operator="equal">
      <formula>3</formula>
    </cfRule>
  </conditionalFormatting>
  <conditionalFormatting sqref="R11">
    <cfRule type="cellIs" dxfId="8013" priority="549" operator="equal">
      <formula>3</formula>
    </cfRule>
  </conditionalFormatting>
  <conditionalFormatting sqref="R11">
    <cfRule type="cellIs" dxfId="8012" priority="548" operator="notEqual">
      <formula>3</formula>
    </cfRule>
  </conditionalFormatting>
  <conditionalFormatting sqref="R11">
    <cfRule type="cellIs" dxfId="8011" priority="547" operator="equal">
      <formula>3</formula>
    </cfRule>
  </conditionalFormatting>
  <conditionalFormatting sqref="R11">
    <cfRule type="cellIs" dxfId="8010" priority="546" operator="equal">
      <formula>3</formula>
    </cfRule>
  </conditionalFormatting>
  <conditionalFormatting sqref="R11">
    <cfRule type="cellIs" dxfId="8009" priority="545" operator="notEqual">
      <formula>3</formula>
    </cfRule>
  </conditionalFormatting>
  <conditionalFormatting sqref="R11">
    <cfRule type="cellIs" dxfId="8008" priority="544" operator="equal">
      <formula>4</formula>
    </cfRule>
  </conditionalFormatting>
  <conditionalFormatting sqref="R11">
    <cfRule type="cellIs" dxfId="8007" priority="543" operator="lessThan">
      <formula>4</formula>
    </cfRule>
  </conditionalFormatting>
  <conditionalFormatting sqref="R11">
    <cfRule type="cellIs" dxfId="8006" priority="542" operator="greaterThan">
      <formula>4</formula>
    </cfRule>
  </conditionalFormatting>
  <conditionalFormatting sqref="V11">
    <cfRule type="cellIs" dxfId="8005" priority="541" operator="equal">
      <formula>3</formula>
    </cfRule>
  </conditionalFormatting>
  <conditionalFormatting sqref="V11">
    <cfRule type="cellIs" dxfId="8004" priority="540" operator="equal">
      <formula>3</formula>
    </cfRule>
  </conditionalFormatting>
  <conditionalFormatting sqref="V11">
    <cfRule type="cellIs" dxfId="8003" priority="539" operator="notEqual">
      <formula>3</formula>
    </cfRule>
  </conditionalFormatting>
  <conditionalFormatting sqref="V11">
    <cfRule type="cellIs" dxfId="8002" priority="538" operator="equal">
      <formula>3</formula>
    </cfRule>
  </conditionalFormatting>
  <conditionalFormatting sqref="V11">
    <cfRule type="cellIs" dxfId="8001" priority="537" operator="equal">
      <formula>3</formula>
    </cfRule>
  </conditionalFormatting>
  <conditionalFormatting sqref="V11">
    <cfRule type="cellIs" dxfId="8000" priority="536" operator="notEqual">
      <formula>3</formula>
    </cfRule>
  </conditionalFormatting>
  <conditionalFormatting sqref="V11">
    <cfRule type="cellIs" dxfId="7999" priority="535" operator="equal">
      <formula>4</formula>
    </cfRule>
  </conditionalFormatting>
  <conditionalFormatting sqref="V11">
    <cfRule type="cellIs" dxfId="7998" priority="534" operator="lessThan">
      <formula>4</formula>
    </cfRule>
  </conditionalFormatting>
  <conditionalFormatting sqref="V11">
    <cfRule type="cellIs" dxfId="7997" priority="533" operator="greaterThan">
      <formula>4</formula>
    </cfRule>
  </conditionalFormatting>
  <conditionalFormatting sqref="Z11">
    <cfRule type="cellIs" dxfId="7996" priority="523" operator="equal">
      <formula>3</formula>
    </cfRule>
  </conditionalFormatting>
  <conditionalFormatting sqref="Z11">
    <cfRule type="cellIs" dxfId="7995" priority="522" operator="equal">
      <formula>3</formula>
    </cfRule>
  </conditionalFormatting>
  <conditionalFormatting sqref="Z11">
    <cfRule type="cellIs" dxfId="7994" priority="521" operator="notEqual">
      <formula>3</formula>
    </cfRule>
  </conditionalFormatting>
  <conditionalFormatting sqref="Z11">
    <cfRule type="cellIs" dxfId="7993" priority="520" operator="equal">
      <formula>3</formula>
    </cfRule>
  </conditionalFormatting>
  <conditionalFormatting sqref="Z11">
    <cfRule type="cellIs" dxfId="7992" priority="519" operator="equal">
      <formula>3</formula>
    </cfRule>
  </conditionalFormatting>
  <conditionalFormatting sqref="Z11">
    <cfRule type="cellIs" dxfId="7991" priority="518" operator="notEqual">
      <formula>3</formula>
    </cfRule>
  </conditionalFormatting>
  <conditionalFormatting sqref="Z11">
    <cfRule type="cellIs" dxfId="7990" priority="517" operator="equal">
      <formula>4</formula>
    </cfRule>
  </conditionalFormatting>
  <conditionalFormatting sqref="Z11">
    <cfRule type="cellIs" dxfId="7989" priority="516" operator="lessThan">
      <formula>4</formula>
    </cfRule>
  </conditionalFormatting>
  <conditionalFormatting sqref="Z11">
    <cfRule type="cellIs" dxfId="7988" priority="515" operator="greaterThan">
      <formula>4</formula>
    </cfRule>
  </conditionalFormatting>
  <conditionalFormatting sqref="V30">
    <cfRule type="cellIs" dxfId="7987" priority="487" operator="equal">
      <formula>3</formula>
    </cfRule>
  </conditionalFormatting>
  <conditionalFormatting sqref="V30">
    <cfRule type="cellIs" dxfId="7986" priority="486" operator="equal">
      <formula>3</formula>
    </cfRule>
  </conditionalFormatting>
  <conditionalFormatting sqref="V30">
    <cfRule type="cellIs" dxfId="7985" priority="485" operator="notEqual">
      <formula>3</formula>
    </cfRule>
  </conditionalFormatting>
  <conditionalFormatting sqref="V30">
    <cfRule type="cellIs" dxfId="7984" priority="484" operator="equal">
      <formula>3</formula>
    </cfRule>
  </conditionalFormatting>
  <conditionalFormatting sqref="V30">
    <cfRule type="cellIs" dxfId="7983" priority="483" operator="equal">
      <formula>3</formula>
    </cfRule>
  </conditionalFormatting>
  <conditionalFormatting sqref="V30">
    <cfRule type="cellIs" dxfId="7982" priority="482" operator="notEqual">
      <formula>3</formula>
    </cfRule>
  </conditionalFormatting>
  <conditionalFormatting sqref="V30">
    <cfRule type="cellIs" dxfId="7981" priority="481" operator="equal">
      <formula>4</formula>
    </cfRule>
  </conditionalFormatting>
  <conditionalFormatting sqref="V30">
    <cfRule type="cellIs" dxfId="7980" priority="480" operator="lessThan">
      <formula>4</formula>
    </cfRule>
  </conditionalFormatting>
  <conditionalFormatting sqref="V30">
    <cfRule type="cellIs" dxfId="7979" priority="479" operator="greaterThan">
      <formula>4</formula>
    </cfRule>
  </conditionalFormatting>
  <conditionalFormatting sqref="T30">
    <cfRule type="cellIs" dxfId="7978" priority="478" operator="equal">
      <formula>3</formula>
    </cfRule>
  </conditionalFormatting>
  <conditionalFormatting sqref="T30">
    <cfRule type="cellIs" dxfId="7977" priority="477" operator="equal">
      <formula>3</formula>
    </cfRule>
  </conditionalFormatting>
  <conditionalFormatting sqref="T30">
    <cfRule type="cellIs" dxfId="7976" priority="476" operator="notEqual">
      <formula>3</formula>
    </cfRule>
  </conditionalFormatting>
  <conditionalFormatting sqref="T30">
    <cfRule type="cellIs" dxfId="7975" priority="475" operator="equal">
      <formula>3</formula>
    </cfRule>
  </conditionalFormatting>
  <conditionalFormatting sqref="T30">
    <cfRule type="cellIs" dxfId="7974" priority="474" operator="equal">
      <formula>3</formula>
    </cfRule>
  </conditionalFormatting>
  <conditionalFormatting sqref="T30">
    <cfRule type="cellIs" dxfId="7973" priority="473" operator="notEqual">
      <formula>3</formula>
    </cfRule>
  </conditionalFormatting>
  <conditionalFormatting sqref="T30">
    <cfRule type="cellIs" dxfId="7972" priority="472" operator="equal">
      <formula>4</formula>
    </cfRule>
  </conditionalFormatting>
  <conditionalFormatting sqref="T30">
    <cfRule type="cellIs" dxfId="7971" priority="471" operator="lessThan">
      <formula>4</formula>
    </cfRule>
  </conditionalFormatting>
  <conditionalFormatting sqref="T30">
    <cfRule type="cellIs" dxfId="7970" priority="470" operator="greaterThan">
      <formula>4</formula>
    </cfRule>
  </conditionalFormatting>
  <conditionalFormatting sqref="R30">
    <cfRule type="cellIs" dxfId="7969" priority="469" operator="equal">
      <formula>3</formula>
    </cfRule>
  </conditionalFormatting>
  <conditionalFormatting sqref="R30">
    <cfRule type="cellIs" dxfId="7968" priority="468" operator="equal">
      <formula>3</formula>
    </cfRule>
  </conditionalFormatting>
  <conditionalFormatting sqref="R30">
    <cfRule type="cellIs" dxfId="7967" priority="467" operator="notEqual">
      <formula>3</formula>
    </cfRule>
  </conditionalFormatting>
  <conditionalFormatting sqref="R30">
    <cfRule type="cellIs" dxfId="7966" priority="466" operator="equal">
      <formula>3</formula>
    </cfRule>
  </conditionalFormatting>
  <conditionalFormatting sqref="R30">
    <cfRule type="cellIs" dxfId="7965" priority="465" operator="equal">
      <formula>3</formula>
    </cfRule>
  </conditionalFormatting>
  <conditionalFormatting sqref="R30">
    <cfRule type="cellIs" dxfId="7964" priority="464" operator="notEqual">
      <formula>3</formula>
    </cfRule>
  </conditionalFormatting>
  <conditionalFormatting sqref="R30">
    <cfRule type="cellIs" dxfId="7963" priority="463" operator="equal">
      <formula>4</formula>
    </cfRule>
  </conditionalFormatting>
  <conditionalFormatting sqref="R30">
    <cfRule type="cellIs" dxfId="7962" priority="462" operator="lessThan">
      <formula>4</formula>
    </cfRule>
  </conditionalFormatting>
  <conditionalFormatting sqref="R30">
    <cfRule type="cellIs" dxfId="7961" priority="461" operator="greaterThan">
      <formula>4</formula>
    </cfRule>
  </conditionalFormatting>
  <conditionalFormatting sqref="X10">
    <cfRule type="cellIs" dxfId="7960" priority="452" operator="equal">
      <formula>3</formula>
    </cfRule>
  </conditionalFormatting>
  <conditionalFormatting sqref="X10">
    <cfRule type="cellIs" dxfId="7959" priority="451" operator="equal">
      <formula>3</formula>
    </cfRule>
  </conditionalFormatting>
  <conditionalFormatting sqref="X10">
    <cfRule type="cellIs" dxfId="7958" priority="450" operator="notEqual">
      <formula>3</formula>
    </cfRule>
  </conditionalFormatting>
  <conditionalFormatting sqref="Z5">
    <cfRule type="cellIs" dxfId="7957" priority="449" operator="equal">
      <formula>4</formula>
    </cfRule>
  </conditionalFormatting>
  <conditionalFormatting sqref="Z5">
    <cfRule type="cellIs" dxfId="7956" priority="448" operator="lessThan">
      <formula>4</formula>
    </cfRule>
  </conditionalFormatting>
  <conditionalFormatting sqref="Z5">
    <cfRule type="cellIs" dxfId="7955" priority="447" operator="greaterThan">
      <formula>4</formula>
    </cfRule>
  </conditionalFormatting>
  <conditionalFormatting sqref="Z20 Z24 Z26 Z30 Z32:Z33 Z45:Z46 Z55 Z48 Z50:Z51">
    <cfRule type="duplicateValues" dxfId="7954" priority="446"/>
  </conditionalFormatting>
  <conditionalFormatting sqref="AB6">
    <cfRule type="cellIs" dxfId="7953" priority="445" operator="equal">
      <formula>3</formula>
    </cfRule>
  </conditionalFormatting>
  <conditionalFormatting sqref="AB6">
    <cfRule type="cellIs" dxfId="7952" priority="444" operator="equal">
      <formula>3</formula>
    </cfRule>
  </conditionalFormatting>
  <conditionalFormatting sqref="AB6">
    <cfRule type="cellIs" dxfId="7951" priority="443" operator="notEqual">
      <formula>3</formula>
    </cfRule>
  </conditionalFormatting>
  <conditionalFormatting sqref="AB9:AB10">
    <cfRule type="cellIs" dxfId="7950" priority="442" operator="equal">
      <formula>3</formula>
    </cfRule>
  </conditionalFormatting>
  <conditionalFormatting sqref="AB9:AB10">
    <cfRule type="cellIs" dxfId="7949" priority="441" operator="equal">
      <formula>3</formula>
    </cfRule>
  </conditionalFormatting>
  <conditionalFormatting sqref="AB9:AB10">
    <cfRule type="cellIs" dxfId="7948" priority="440" operator="notEqual">
      <formula>3</formula>
    </cfRule>
  </conditionalFormatting>
  <conditionalFormatting sqref="AB15">
    <cfRule type="cellIs" dxfId="7947" priority="439" operator="equal">
      <formula>3</formula>
    </cfRule>
  </conditionalFormatting>
  <conditionalFormatting sqref="AB15">
    <cfRule type="cellIs" dxfId="7946" priority="438" operator="equal">
      <formula>3</formula>
    </cfRule>
  </conditionalFormatting>
  <conditionalFormatting sqref="AB15">
    <cfRule type="cellIs" dxfId="7945" priority="437" operator="notEqual">
      <formula>3</formula>
    </cfRule>
  </conditionalFormatting>
  <conditionalFormatting sqref="AB18:AB19">
    <cfRule type="cellIs" dxfId="7944" priority="436" operator="equal">
      <formula>3</formula>
    </cfRule>
  </conditionalFormatting>
  <conditionalFormatting sqref="AB18:AB19">
    <cfRule type="cellIs" dxfId="7943" priority="435" operator="equal">
      <formula>3</formula>
    </cfRule>
  </conditionalFormatting>
  <conditionalFormatting sqref="AB18:AB19">
    <cfRule type="cellIs" dxfId="7942" priority="434" operator="notEqual">
      <formula>3</formula>
    </cfRule>
  </conditionalFormatting>
  <conditionalFormatting sqref="AB21:AB23">
    <cfRule type="cellIs" dxfId="7941" priority="433" operator="equal">
      <formula>3</formula>
    </cfRule>
  </conditionalFormatting>
  <conditionalFormatting sqref="AB21:AB23">
    <cfRule type="cellIs" dxfId="7940" priority="432" operator="equal">
      <formula>3</formula>
    </cfRule>
  </conditionalFormatting>
  <conditionalFormatting sqref="AB21:AB23">
    <cfRule type="cellIs" dxfId="7939" priority="431" operator="notEqual">
      <formula>3</formula>
    </cfRule>
  </conditionalFormatting>
  <conditionalFormatting sqref="Z21:Z23">
    <cfRule type="cellIs" dxfId="7938" priority="430" operator="equal">
      <formula>3</formula>
    </cfRule>
  </conditionalFormatting>
  <conditionalFormatting sqref="Z21:Z23">
    <cfRule type="cellIs" dxfId="7937" priority="429" operator="equal">
      <formula>3</formula>
    </cfRule>
  </conditionalFormatting>
  <conditionalFormatting sqref="Z21:Z23">
    <cfRule type="cellIs" dxfId="7936" priority="428" operator="notEqual">
      <formula>3</formula>
    </cfRule>
  </conditionalFormatting>
  <conditionalFormatting sqref="Z25">
    <cfRule type="cellIs" dxfId="7935" priority="427" operator="equal">
      <formula>3</formula>
    </cfRule>
  </conditionalFormatting>
  <conditionalFormatting sqref="Z25">
    <cfRule type="cellIs" dxfId="7934" priority="426" operator="equal">
      <formula>3</formula>
    </cfRule>
  </conditionalFormatting>
  <conditionalFormatting sqref="Z25">
    <cfRule type="cellIs" dxfId="7933" priority="425" operator="notEqual">
      <formula>3</formula>
    </cfRule>
  </conditionalFormatting>
  <conditionalFormatting sqref="Z27:Z28">
    <cfRule type="cellIs" dxfId="7932" priority="424" operator="equal">
      <formula>3</formula>
    </cfRule>
  </conditionalFormatting>
  <conditionalFormatting sqref="Z27:Z28">
    <cfRule type="cellIs" dxfId="7931" priority="423" operator="equal">
      <formula>3</formula>
    </cfRule>
  </conditionalFormatting>
  <conditionalFormatting sqref="Z27:Z28">
    <cfRule type="cellIs" dxfId="7930" priority="422" operator="notEqual">
      <formula>3</formula>
    </cfRule>
  </conditionalFormatting>
  <conditionalFormatting sqref="AB27:AB28">
    <cfRule type="cellIs" dxfId="7929" priority="418" operator="equal">
      <formula>3</formula>
    </cfRule>
  </conditionalFormatting>
  <conditionalFormatting sqref="AB27:AB28">
    <cfRule type="cellIs" dxfId="7928" priority="417" operator="equal">
      <formula>3</formula>
    </cfRule>
  </conditionalFormatting>
  <conditionalFormatting sqref="AB27:AB28">
    <cfRule type="cellIs" dxfId="7927" priority="416" operator="notEqual">
      <formula>3</formula>
    </cfRule>
  </conditionalFormatting>
  <conditionalFormatting sqref="Z34:Z42 Z44">
    <cfRule type="cellIs" dxfId="7926" priority="415" operator="equal">
      <formula>3</formula>
    </cfRule>
  </conditionalFormatting>
  <conditionalFormatting sqref="Z34:Z42 Z44">
    <cfRule type="cellIs" dxfId="7925" priority="414" operator="equal">
      <formula>3</formula>
    </cfRule>
  </conditionalFormatting>
  <conditionalFormatting sqref="Z34:Z42 Z44">
    <cfRule type="cellIs" dxfId="7924" priority="413" operator="notEqual">
      <formula>3</formula>
    </cfRule>
  </conditionalFormatting>
  <conditionalFormatting sqref="AB36:AB37">
    <cfRule type="cellIs" dxfId="7923" priority="412" operator="equal">
      <formula>3</formula>
    </cfRule>
  </conditionalFormatting>
  <conditionalFormatting sqref="AB36:AB37">
    <cfRule type="cellIs" dxfId="7922" priority="411" operator="equal">
      <formula>3</formula>
    </cfRule>
  </conditionalFormatting>
  <conditionalFormatting sqref="AB36:AB37">
    <cfRule type="cellIs" dxfId="7921" priority="410" operator="notEqual">
      <formula>3</formula>
    </cfRule>
  </conditionalFormatting>
  <conditionalFormatting sqref="AB41:AB42">
    <cfRule type="cellIs" dxfId="7920" priority="409" operator="equal">
      <formula>3</formula>
    </cfRule>
  </conditionalFormatting>
  <conditionalFormatting sqref="AB41:AB42">
    <cfRule type="cellIs" dxfId="7919" priority="408" operator="equal">
      <formula>3</formula>
    </cfRule>
  </conditionalFormatting>
  <conditionalFormatting sqref="AB41:AB42">
    <cfRule type="cellIs" dxfId="7918" priority="407" operator="notEqual">
      <formula>3</formula>
    </cfRule>
  </conditionalFormatting>
  <conditionalFormatting sqref="AB44">
    <cfRule type="cellIs" dxfId="7917" priority="406" operator="equal">
      <formula>3</formula>
    </cfRule>
  </conditionalFormatting>
  <conditionalFormatting sqref="AB44">
    <cfRule type="cellIs" dxfId="7916" priority="405" operator="equal">
      <formula>3</formula>
    </cfRule>
  </conditionalFormatting>
  <conditionalFormatting sqref="AB44">
    <cfRule type="cellIs" dxfId="7915" priority="404" operator="notEqual">
      <formula>3</formula>
    </cfRule>
  </conditionalFormatting>
  <conditionalFormatting sqref="Z53">
    <cfRule type="cellIs" dxfId="7914" priority="403" operator="equal">
      <formula>3</formula>
    </cfRule>
  </conditionalFormatting>
  <conditionalFormatting sqref="Z53">
    <cfRule type="cellIs" dxfId="7913" priority="402" operator="equal">
      <formula>3</formula>
    </cfRule>
  </conditionalFormatting>
  <conditionalFormatting sqref="Z53">
    <cfRule type="cellIs" dxfId="7912" priority="401" operator="notEqual">
      <formula>3</formula>
    </cfRule>
  </conditionalFormatting>
  <conditionalFormatting sqref="AB53">
    <cfRule type="cellIs" dxfId="7911" priority="400" operator="equal">
      <formula>3</formula>
    </cfRule>
  </conditionalFormatting>
  <conditionalFormatting sqref="AB53">
    <cfRule type="cellIs" dxfId="7910" priority="399" operator="equal">
      <formula>3</formula>
    </cfRule>
  </conditionalFormatting>
  <conditionalFormatting sqref="AB53">
    <cfRule type="cellIs" dxfId="7909" priority="398" operator="notEqual">
      <formula>3</formula>
    </cfRule>
  </conditionalFormatting>
  <conditionalFormatting sqref="AB56:AB57">
    <cfRule type="cellIs" dxfId="7908" priority="397" operator="equal">
      <formula>3</formula>
    </cfRule>
  </conditionalFormatting>
  <conditionalFormatting sqref="AB56:AB57">
    <cfRule type="cellIs" dxfId="7907" priority="396" operator="equal">
      <formula>3</formula>
    </cfRule>
  </conditionalFormatting>
  <conditionalFormatting sqref="AB56:AB57">
    <cfRule type="cellIs" dxfId="7906" priority="395" operator="notEqual">
      <formula>3</formula>
    </cfRule>
  </conditionalFormatting>
  <conditionalFormatting sqref="Z47">
    <cfRule type="cellIs" dxfId="7905" priority="394" operator="equal">
      <formula>3</formula>
    </cfRule>
  </conditionalFormatting>
  <conditionalFormatting sqref="Z47">
    <cfRule type="cellIs" dxfId="7904" priority="393" operator="equal">
      <formula>3</formula>
    </cfRule>
  </conditionalFormatting>
  <conditionalFormatting sqref="Z47">
    <cfRule type="cellIs" dxfId="7903" priority="392" operator="notEqual">
      <formula>3</formula>
    </cfRule>
  </conditionalFormatting>
  <conditionalFormatting sqref="Z47">
    <cfRule type="cellIs" dxfId="7902" priority="391" operator="equal">
      <formula>3</formula>
    </cfRule>
  </conditionalFormatting>
  <conditionalFormatting sqref="Z47">
    <cfRule type="cellIs" dxfId="7901" priority="390" operator="equal">
      <formula>3</formula>
    </cfRule>
  </conditionalFormatting>
  <conditionalFormatting sqref="Z47">
    <cfRule type="cellIs" dxfId="7900" priority="389" operator="notEqual">
      <formula>3</formula>
    </cfRule>
  </conditionalFormatting>
  <conditionalFormatting sqref="Z47">
    <cfRule type="cellIs" dxfId="7899" priority="388" operator="equal">
      <formula>3</formula>
    </cfRule>
  </conditionalFormatting>
  <conditionalFormatting sqref="Z47">
    <cfRule type="cellIs" dxfId="7898" priority="387" operator="equal">
      <formula>3</formula>
    </cfRule>
  </conditionalFormatting>
  <conditionalFormatting sqref="Z47">
    <cfRule type="cellIs" dxfId="7897" priority="386" operator="notEqual">
      <formula>3</formula>
    </cfRule>
  </conditionalFormatting>
  <conditionalFormatting sqref="Z47">
    <cfRule type="cellIs" dxfId="7896" priority="385" operator="equal">
      <formula>3</formula>
    </cfRule>
  </conditionalFormatting>
  <conditionalFormatting sqref="Z47">
    <cfRule type="cellIs" dxfId="7895" priority="384" operator="equal">
      <formula>3</formula>
    </cfRule>
  </conditionalFormatting>
  <conditionalFormatting sqref="Z47">
    <cfRule type="cellIs" dxfId="7894" priority="383" operator="notEqual">
      <formula>3</formula>
    </cfRule>
  </conditionalFormatting>
  <conditionalFormatting sqref="Z47">
    <cfRule type="cellIs" dxfId="7893" priority="382" operator="equal">
      <formula>3</formula>
    </cfRule>
  </conditionalFormatting>
  <conditionalFormatting sqref="Z47">
    <cfRule type="cellIs" dxfId="7892" priority="381" operator="equal">
      <formula>3</formula>
    </cfRule>
  </conditionalFormatting>
  <conditionalFormatting sqref="Z47">
    <cfRule type="cellIs" dxfId="7891" priority="380" operator="notEqual">
      <formula>3</formula>
    </cfRule>
  </conditionalFormatting>
  <conditionalFormatting sqref="Z47">
    <cfRule type="cellIs" dxfId="7890" priority="379" operator="equal">
      <formula>4</formula>
    </cfRule>
  </conditionalFormatting>
  <conditionalFormatting sqref="Z47">
    <cfRule type="cellIs" dxfId="7889" priority="378" operator="lessThan">
      <formula>4</formula>
    </cfRule>
  </conditionalFormatting>
  <conditionalFormatting sqref="Z47">
    <cfRule type="cellIs" dxfId="7888" priority="377" operator="greaterThan">
      <formula>4</formula>
    </cfRule>
  </conditionalFormatting>
  <conditionalFormatting sqref="Z43">
    <cfRule type="cellIs" dxfId="7887" priority="376" operator="equal">
      <formula>3</formula>
    </cfRule>
  </conditionalFormatting>
  <conditionalFormatting sqref="Z43">
    <cfRule type="cellIs" dxfId="7886" priority="375" operator="equal">
      <formula>3</formula>
    </cfRule>
  </conditionalFormatting>
  <conditionalFormatting sqref="Z43">
    <cfRule type="cellIs" dxfId="7885" priority="374" operator="notEqual">
      <formula>3</formula>
    </cfRule>
  </conditionalFormatting>
  <conditionalFormatting sqref="Z43">
    <cfRule type="cellIs" dxfId="7884" priority="373" operator="equal">
      <formula>3</formula>
    </cfRule>
  </conditionalFormatting>
  <conditionalFormatting sqref="Z43">
    <cfRule type="cellIs" dxfId="7883" priority="372" operator="equal">
      <formula>3</formula>
    </cfRule>
  </conditionalFormatting>
  <conditionalFormatting sqref="Z43">
    <cfRule type="cellIs" dxfId="7882" priority="371" operator="notEqual">
      <formula>3</formula>
    </cfRule>
  </conditionalFormatting>
  <conditionalFormatting sqref="Z43">
    <cfRule type="cellIs" dxfId="7881" priority="370" operator="equal">
      <formula>3</formula>
    </cfRule>
  </conditionalFormatting>
  <conditionalFormatting sqref="Z43">
    <cfRule type="cellIs" dxfId="7880" priority="369" operator="equal">
      <formula>3</formula>
    </cfRule>
  </conditionalFormatting>
  <conditionalFormatting sqref="Z43">
    <cfRule type="cellIs" dxfId="7879" priority="368" operator="notEqual">
      <formula>3</formula>
    </cfRule>
  </conditionalFormatting>
  <conditionalFormatting sqref="Z43">
    <cfRule type="cellIs" dxfId="7878" priority="367" operator="equal">
      <formula>3</formula>
    </cfRule>
  </conditionalFormatting>
  <conditionalFormatting sqref="Z43">
    <cfRule type="cellIs" dxfId="7877" priority="366" operator="equal">
      <formula>3</formula>
    </cfRule>
  </conditionalFormatting>
  <conditionalFormatting sqref="Z43">
    <cfRule type="cellIs" dxfId="7876" priority="365" operator="notEqual">
      <formula>3</formula>
    </cfRule>
  </conditionalFormatting>
  <conditionalFormatting sqref="Z43">
    <cfRule type="cellIs" dxfId="7875" priority="364" operator="equal">
      <formula>3</formula>
    </cfRule>
  </conditionalFormatting>
  <conditionalFormatting sqref="Z43">
    <cfRule type="cellIs" dxfId="7874" priority="363" operator="equal">
      <formula>3</formula>
    </cfRule>
  </conditionalFormatting>
  <conditionalFormatting sqref="Z43">
    <cfRule type="cellIs" dxfId="7873" priority="362" operator="notEqual">
      <formula>3</formula>
    </cfRule>
  </conditionalFormatting>
  <conditionalFormatting sqref="Z43">
    <cfRule type="cellIs" dxfId="7872" priority="361" operator="equal">
      <formula>4</formula>
    </cfRule>
  </conditionalFormatting>
  <conditionalFormatting sqref="Z43">
    <cfRule type="cellIs" dxfId="7871" priority="360" operator="lessThan">
      <formula>4</formula>
    </cfRule>
  </conditionalFormatting>
  <conditionalFormatting sqref="Z43">
    <cfRule type="cellIs" dxfId="7870" priority="359" operator="greaterThan">
      <formula>4</formula>
    </cfRule>
  </conditionalFormatting>
  <conditionalFormatting sqref="V10">
    <cfRule type="cellIs" dxfId="7869" priority="358" operator="equal">
      <formula>3</formula>
    </cfRule>
  </conditionalFormatting>
  <conditionalFormatting sqref="V10">
    <cfRule type="cellIs" dxfId="7868" priority="357" operator="equal">
      <formula>3</formula>
    </cfRule>
  </conditionalFormatting>
  <conditionalFormatting sqref="V10">
    <cfRule type="cellIs" dxfId="7867" priority="356" operator="notEqual">
      <formula>3</formula>
    </cfRule>
  </conditionalFormatting>
  <conditionalFormatting sqref="X11">
    <cfRule type="cellIs" dxfId="7866" priority="355" operator="equal">
      <formula>3</formula>
    </cfRule>
  </conditionalFormatting>
  <conditionalFormatting sqref="X11">
    <cfRule type="cellIs" dxfId="7865" priority="354" operator="equal">
      <formula>3</formula>
    </cfRule>
  </conditionalFormatting>
  <conditionalFormatting sqref="X11">
    <cfRule type="cellIs" dxfId="7864" priority="353" operator="notEqual">
      <formula>3</formula>
    </cfRule>
  </conditionalFormatting>
  <conditionalFormatting sqref="T11">
    <cfRule type="cellIs" dxfId="7863" priority="352" operator="equal">
      <formula>3</formula>
    </cfRule>
  </conditionalFormatting>
  <conditionalFormatting sqref="T11">
    <cfRule type="cellIs" dxfId="7862" priority="351" operator="equal">
      <formula>3</formula>
    </cfRule>
  </conditionalFormatting>
  <conditionalFormatting sqref="T11">
    <cfRule type="cellIs" dxfId="7861" priority="350" operator="notEqual">
      <formula>3</formula>
    </cfRule>
  </conditionalFormatting>
  <conditionalFormatting sqref="T11">
    <cfRule type="cellIs" dxfId="7860" priority="349" operator="equal">
      <formula>3</formula>
    </cfRule>
  </conditionalFormatting>
  <conditionalFormatting sqref="T11">
    <cfRule type="cellIs" dxfId="7859" priority="348" operator="equal">
      <formula>3</formula>
    </cfRule>
  </conditionalFormatting>
  <conditionalFormatting sqref="T11">
    <cfRule type="cellIs" dxfId="7858" priority="347" operator="notEqual">
      <formula>3</formula>
    </cfRule>
  </conditionalFormatting>
  <conditionalFormatting sqref="T11">
    <cfRule type="cellIs" dxfId="7857" priority="346" operator="equal">
      <formula>4</formula>
    </cfRule>
  </conditionalFormatting>
  <conditionalFormatting sqref="T11">
    <cfRule type="cellIs" dxfId="7856" priority="345" operator="lessThan">
      <formula>4</formula>
    </cfRule>
  </conditionalFormatting>
  <conditionalFormatting sqref="T11">
    <cfRule type="cellIs" dxfId="7855" priority="344" operator="greaterThan">
      <formula>4</formula>
    </cfRule>
  </conditionalFormatting>
  <conditionalFormatting sqref="R12">
    <cfRule type="cellIs" dxfId="7854" priority="343" operator="equal">
      <formula>3</formula>
    </cfRule>
  </conditionalFormatting>
  <conditionalFormatting sqref="R12">
    <cfRule type="cellIs" dxfId="7853" priority="342" operator="equal">
      <formula>3</formula>
    </cfRule>
  </conditionalFormatting>
  <conditionalFormatting sqref="R12">
    <cfRule type="cellIs" dxfId="7852" priority="341" operator="notEqual">
      <formula>3</formula>
    </cfRule>
  </conditionalFormatting>
  <conditionalFormatting sqref="X18">
    <cfRule type="cellIs" dxfId="7851" priority="331" operator="equal">
      <formula>3</formula>
    </cfRule>
  </conditionalFormatting>
  <conditionalFormatting sqref="X18">
    <cfRule type="cellIs" dxfId="7850" priority="330" operator="equal">
      <formula>3</formula>
    </cfRule>
  </conditionalFormatting>
  <conditionalFormatting sqref="X18">
    <cfRule type="cellIs" dxfId="7849" priority="329" operator="notEqual">
      <formula>3</formula>
    </cfRule>
  </conditionalFormatting>
  <conditionalFormatting sqref="Z29">
    <cfRule type="cellIs" dxfId="7848" priority="328" operator="equal">
      <formula>3</formula>
    </cfRule>
  </conditionalFormatting>
  <conditionalFormatting sqref="Z29">
    <cfRule type="cellIs" dxfId="7847" priority="327" operator="equal">
      <formula>3</formula>
    </cfRule>
  </conditionalFormatting>
  <conditionalFormatting sqref="Z29">
    <cfRule type="cellIs" dxfId="7846" priority="326" operator="notEqual">
      <formula>3</formula>
    </cfRule>
  </conditionalFormatting>
  <conditionalFormatting sqref="Z29">
    <cfRule type="cellIs" dxfId="7845" priority="325" operator="equal">
      <formula>4</formula>
    </cfRule>
  </conditionalFormatting>
  <conditionalFormatting sqref="Z29">
    <cfRule type="cellIs" dxfId="7844" priority="324" operator="lessThan">
      <formula>4</formula>
    </cfRule>
  </conditionalFormatting>
  <conditionalFormatting sqref="Z29">
    <cfRule type="cellIs" dxfId="7843" priority="323" operator="greaterThan">
      <formula>4</formula>
    </cfRule>
  </conditionalFormatting>
  <conditionalFormatting sqref="Z31">
    <cfRule type="cellIs" dxfId="7842" priority="322" operator="equal">
      <formula>3</formula>
    </cfRule>
  </conditionalFormatting>
  <conditionalFormatting sqref="Z31">
    <cfRule type="cellIs" dxfId="7841" priority="321" operator="equal">
      <formula>3</formula>
    </cfRule>
  </conditionalFormatting>
  <conditionalFormatting sqref="Z31">
    <cfRule type="cellIs" dxfId="7840" priority="320" operator="notEqual">
      <formula>3</formula>
    </cfRule>
  </conditionalFormatting>
  <conditionalFormatting sqref="Z31">
    <cfRule type="cellIs" dxfId="7839" priority="319" operator="equal">
      <formula>4</formula>
    </cfRule>
  </conditionalFormatting>
  <conditionalFormatting sqref="Z31">
    <cfRule type="cellIs" dxfId="7838" priority="318" operator="lessThan">
      <formula>4</formula>
    </cfRule>
  </conditionalFormatting>
  <conditionalFormatting sqref="Z31">
    <cfRule type="cellIs" dxfId="7837" priority="317" operator="greaterThan">
      <formula>4</formula>
    </cfRule>
  </conditionalFormatting>
  <conditionalFormatting sqref="X30">
    <cfRule type="cellIs" dxfId="7836" priority="316" operator="equal">
      <formula>3</formula>
    </cfRule>
  </conditionalFormatting>
  <conditionalFormatting sqref="X30">
    <cfRule type="cellIs" dxfId="7835" priority="315" operator="equal">
      <formula>3</formula>
    </cfRule>
  </conditionalFormatting>
  <conditionalFormatting sqref="X30">
    <cfRule type="cellIs" dxfId="7834" priority="314" operator="notEqual">
      <formula>3</formula>
    </cfRule>
  </conditionalFormatting>
  <conditionalFormatting sqref="X30">
    <cfRule type="cellIs" dxfId="7833" priority="313" operator="equal">
      <formula>4</formula>
    </cfRule>
  </conditionalFormatting>
  <conditionalFormatting sqref="X30">
    <cfRule type="cellIs" dxfId="7832" priority="312" operator="lessThan">
      <formula>4</formula>
    </cfRule>
  </conditionalFormatting>
  <conditionalFormatting sqref="X30">
    <cfRule type="cellIs" dxfId="7831" priority="311" operator="greaterThan">
      <formula>4</formula>
    </cfRule>
  </conditionalFormatting>
  <conditionalFormatting sqref="X43">
    <cfRule type="cellIs" dxfId="7830" priority="310" operator="equal">
      <formula>3</formula>
    </cfRule>
  </conditionalFormatting>
  <conditionalFormatting sqref="X43">
    <cfRule type="cellIs" dxfId="7829" priority="309" operator="equal">
      <formula>3</formula>
    </cfRule>
  </conditionalFormatting>
  <conditionalFormatting sqref="X43">
    <cfRule type="cellIs" dxfId="7828" priority="308" operator="notEqual">
      <formula>3</formula>
    </cfRule>
  </conditionalFormatting>
  <conditionalFormatting sqref="V47">
    <cfRule type="cellIs" dxfId="7827" priority="307" operator="equal">
      <formula>3</formula>
    </cfRule>
  </conditionalFormatting>
  <conditionalFormatting sqref="V47">
    <cfRule type="cellIs" dxfId="7826" priority="306" operator="equal">
      <formula>3</formula>
    </cfRule>
  </conditionalFormatting>
  <conditionalFormatting sqref="V47">
    <cfRule type="cellIs" dxfId="7825" priority="305" operator="notEqual">
      <formula>3</formula>
    </cfRule>
  </conditionalFormatting>
  <conditionalFormatting sqref="X50">
    <cfRule type="cellIs" dxfId="7824" priority="304" operator="equal">
      <formula>3</formula>
    </cfRule>
  </conditionalFormatting>
  <conditionalFormatting sqref="X50">
    <cfRule type="cellIs" dxfId="7823" priority="303" operator="equal">
      <formula>3</formula>
    </cfRule>
  </conditionalFormatting>
  <conditionalFormatting sqref="X50">
    <cfRule type="cellIs" dxfId="7822" priority="302" operator="notEqual">
      <formula>3</formula>
    </cfRule>
  </conditionalFormatting>
  <conditionalFormatting sqref="X50">
    <cfRule type="cellIs" dxfId="7821" priority="301" operator="equal">
      <formula>3</formula>
    </cfRule>
  </conditionalFormatting>
  <conditionalFormatting sqref="X50">
    <cfRule type="cellIs" dxfId="7820" priority="300" operator="equal">
      <formula>3</formula>
    </cfRule>
  </conditionalFormatting>
  <conditionalFormatting sqref="X50">
    <cfRule type="cellIs" dxfId="7819" priority="299" operator="notEqual">
      <formula>3</formula>
    </cfRule>
  </conditionalFormatting>
  <conditionalFormatting sqref="X50">
    <cfRule type="cellIs" dxfId="7818" priority="298" operator="equal">
      <formula>3</formula>
    </cfRule>
  </conditionalFormatting>
  <conditionalFormatting sqref="X50">
    <cfRule type="cellIs" dxfId="7817" priority="297" operator="equal">
      <formula>3</formula>
    </cfRule>
  </conditionalFormatting>
  <conditionalFormatting sqref="X50">
    <cfRule type="cellIs" dxfId="7816" priority="296" operator="notEqual">
      <formula>3</formula>
    </cfRule>
  </conditionalFormatting>
  <conditionalFormatting sqref="X50">
    <cfRule type="cellIs" dxfId="7815" priority="295" operator="equal">
      <formula>3</formula>
    </cfRule>
  </conditionalFormatting>
  <conditionalFormatting sqref="X50">
    <cfRule type="cellIs" dxfId="7814" priority="294" operator="equal">
      <formula>3</formula>
    </cfRule>
  </conditionalFormatting>
  <conditionalFormatting sqref="X50">
    <cfRule type="cellIs" dxfId="7813" priority="293" operator="notEqual">
      <formula>3</formula>
    </cfRule>
  </conditionalFormatting>
  <conditionalFormatting sqref="X50">
    <cfRule type="cellIs" dxfId="7812" priority="292" operator="equal">
      <formula>3</formula>
    </cfRule>
  </conditionalFormatting>
  <conditionalFormatting sqref="X50">
    <cfRule type="cellIs" dxfId="7811" priority="291" operator="equal">
      <formula>3</formula>
    </cfRule>
  </conditionalFormatting>
  <conditionalFormatting sqref="X50">
    <cfRule type="cellIs" dxfId="7810" priority="290" operator="notEqual">
      <formula>3</formula>
    </cfRule>
  </conditionalFormatting>
  <conditionalFormatting sqref="X50">
    <cfRule type="cellIs" dxfId="7809" priority="289" operator="equal">
      <formula>4</formula>
    </cfRule>
  </conditionalFormatting>
  <conditionalFormatting sqref="X50">
    <cfRule type="cellIs" dxfId="7808" priority="288" operator="lessThan">
      <formula>4</formula>
    </cfRule>
  </conditionalFormatting>
  <conditionalFormatting sqref="X50">
    <cfRule type="cellIs" dxfId="7807" priority="287" operator="greaterThan">
      <formula>4</formula>
    </cfRule>
  </conditionalFormatting>
  <conditionalFormatting sqref="X51">
    <cfRule type="cellIs" dxfId="7806" priority="286" operator="equal">
      <formula>3</formula>
    </cfRule>
  </conditionalFormatting>
  <conditionalFormatting sqref="X51">
    <cfRule type="cellIs" dxfId="7805" priority="285" operator="equal">
      <formula>3</formula>
    </cfRule>
  </conditionalFormatting>
  <conditionalFormatting sqref="X51">
    <cfRule type="cellIs" dxfId="7804" priority="284" operator="notEqual">
      <formula>3</formula>
    </cfRule>
  </conditionalFormatting>
  <conditionalFormatting sqref="X51">
    <cfRule type="cellIs" dxfId="7803" priority="283" operator="equal">
      <formula>3</formula>
    </cfRule>
  </conditionalFormatting>
  <conditionalFormatting sqref="X51">
    <cfRule type="cellIs" dxfId="7802" priority="282" operator="equal">
      <formula>3</formula>
    </cfRule>
  </conditionalFormatting>
  <conditionalFormatting sqref="X51">
    <cfRule type="cellIs" dxfId="7801" priority="281" operator="notEqual">
      <formula>3</formula>
    </cfRule>
  </conditionalFormatting>
  <conditionalFormatting sqref="X51">
    <cfRule type="cellIs" dxfId="7800" priority="280" operator="equal">
      <formula>3</formula>
    </cfRule>
  </conditionalFormatting>
  <conditionalFormatting sqref="X51">
    <cfRule type="cellIs" dxfId="7799" priority="279" operator="equal">
      <formula>3</formula>
    </cfRule>
  </conditionalFormatting>
  <conditionalFormatting sqref="X51">
    <cfRule type="cellIs" dxfId="7798" priority="278" operator="notEqual">
      <formula>3</formula>
    </cfRule>
  </conditionalFormatting>
  <conditionalFormatting sqref="X51">
    <cfRule type="cellIs" dxfId="7797" priority="277" operator="equal">
      <formula>3</formula>
    </cfRule>
  </conditionalFormatting>
  <conditionalFormatting sqref="X51">
    <cfRule type="cellIs" dxfId="7796" priority="276" operator="equal">
      <formula>3</formula>
    </cfRule>
  </conditionalFormatting>
  <conditionalFormatting sqref="X51">
    <cfRule type="cellIs" dxfId="7795" priority="275" operator="notEqual">
      <formula>3</formula>
    </cfRule>
  </conditionalFormatting>
  <conditionalFormatting sqref="X51">
    <cfRule type="cellIs" dxfId="7794" priority="274" operator="equal">
      <formula>3</formula>
    </cfRule>
  </conditionalFormatting>
  <conditionalFormatting sqref="X51">
    <cfRule type="cellIs" dxfId="7793" priority="273" operator="equal">
      <formula>3</formula>
    </cfRule>
  </conditionalFormatting>
  <conditionalFormatting sqref="X51">
    <cfRule type="cellIs" dxfId="7792" priority="272" operator="notEqual">
      <formula>3</formula>
    </cfRule>
  </conditionalFormatting>
  <conditionalFormatting sqref="X51">
    <cfRule type="cellIs" dxfId="7791" priority="271" operator="equal">
      <formula>4</formula>
    </cfRule>
  </conditionalFormatting>
  <conditionalFormatting sqref="X51">
    <cfRule type="cellIs" dxfId="7790" priority="270" operator="lessThan">
      <formula>4</formula>
    </cfRule>
  </conditionalFormatting>
  <conditionalFormatting sqref="X51">
    <cfRule type="cellIs" dxfId="7789" priority="269" operator="greaterThan">
      <formula>4</formula>
    </cfRule>
  </conditionalFormatting>
  <conditionalFormatting sqref="Z54">
    <cfRule type="cellIs" dxfId="7788" priority="268" operator="equal">
      <formula>3</formula>
    </cfRule>
  </conditionalFormatting>
  <conditionalFormatting sqref="Z54">
    <cfRule type="cellIs" dxfId="7787" priority="267" operator="equal">
      <formula>3</formula>
    </cfRule>
  </conditionalFormatting>
  <conditionalFormatting sqref="Z54">
    <cfRule type="cellIs" dxfId="7786" priority="266" operator="notEqual">
      <formula>3</formula>
    </cfRule>
  </conditionalFormatting>
  <conditionalFormatting sqref="Z54">
    <cfRule type="cellIs" dxfId="7785" priority="265" operator="equal">
      <formula>3</formula>
    </cfRule>
  </conditionalFormatting>
  <conditionalFormatting sqref="Z54">
    <cfRule type="cellIs" dxfId="7784" priority="264" operator="equal">
      <formula>3</formula>
    </cfRule>
  </conditionalFormatting>
  <conditionalFormatting sqref="Z54">
    <cfRule type="cellIs" dxfId="7783" priority="263" operator="notEqual">
      <formula>3</formula>
    </cfRule>
  </conditionalFormatting>
  <conditionalFormatting sqref="Z54">
    <cfRule type="cellIs" dxfId="7782" priority="262" operator="equal">
      <formula>3</formula>
    </cfRule>
  </conditionalFormatting>
  <conditionalFormatting sqref="Z54">
    <cfRule type="cellIs" dxfId="7781" priority="261" operator="equal">
      <formula>3</formula>
    </cfRule>
  </conditionalFormatting>
  <conditionalFormatting sqref="Z54">
    <cfRule type="cellIs" dxfId="7780" priority="260" operator="notEqual">
      <formula>3</formula>
    </cfRule>
  </conditionalFormatting>
  <conditionalFormatting sqref="Z54">
    <cfRule type="cellIs" dxfId="7779" priority="259" operator="equal">
      <formula>3</formula>
    </cfRule>
  </conditionalFormatting>
  <conditionalFormatting sqref="Z54">
    <cfRule type="cellIs" dxfId="7778" priority="258" operator="equal">
      <formula>3</formula>
    </cfRule>
  </conditionalFormatting>
  <conditionalFormatting sqref="Z54">
    <cfRule type="cellIs" dxfId="7777" priority="257" operator="notEqual">
      <formula>3</formula>
    </cfRule>
  </conditionalFormatting>
  <conditionalFormatting sqref="Z54">
    <cfRule type="cellIs" dxfId="7776" priority="256" operator="equal">
      <formula>3</formula>
    </cfRule>
  </conditionalFormatting>
  <conditionalFormatting sqref="Z54">
    <cfRule type="cellIs" dxfId="7775" priority="255" operator="equal">
      <formula>3</formula>
    </cfRule>
  </conditionalFormatting>
  <conditionalFormatting sqref="Z54">
    <cfRule type="cellIs" dxfId="7774" priority="254" operator="notEqual">
      <formula>3</formula>
    </cfRule>
  </conditionalFormatting>
  <conditionalFormatting sqref="Z54">
    <cfRule type="cellIs" dxfId="7773" priority="253" operator="equal">
      <formula>4</formula>
    </cfRule>
  </conditionalFormatting>
  <conditionalFormatting sqref="Z54">
    <cfRule type="cellIs" dxfId="7772" priority="252" operator="lessThan">
      <formula>4</formula>
    </cfRule>
  </conditionalFormatting>
  <conditionalFormatting sqref="Z54">
    <cfRule type="cellIs" dxfId="7771" priority="251" operator="greaterThan">
      <formula>4</formula>
    </cfRule>
  </conditionalFormatting>
  <conditionalFormatting sqref="X54">
    <cfRule type="cellIs" dxfId="7770" priority="250" operator="equal">
      <formula>3</formula>
    </cfRule>
  </conditionalFormatting>
  <conditionalFormatting sqref="X54">
    <cfRule type="cellIs" dxfId="7769" priority="249" operator="equal">
      <formula>3</formula>
    </cfRule>
  </conditionalFormatting>
  <conditionalFormatting sqref="X54">
    <cfRule type="cellIs" dxfId="7768" priority="248" operator="notEqual">
      <formula>3</formula>
    </cfRule>
  </conditionalFormatting>
  <conditionalFormatting sqref="X54">
    <cfRule type="cellIs" dxfId="7767" priority="247" operator="equal">
      <formula>4</formula>
    </cfRule>
  </conditionalFormatting>
  <conditionalFormatting sqref="X54">
    <cfRule type="cellIs" dxfId="7766" priority="246" operator="lessThan">
      <formula>4</formula>
    </cfRule>
  </conditionalFormatting>
  <conditionalFormatting sqref="X54">
    <cfRule type="cellIs" dxfId="7765" priority="245" operator="greaterThan">
      <formula>4</formula>
    </cfRule>
  </conditionalFormatting>
  <conditionalFormatting sqref="X54">
    <cfRule type="cellIs" dxfId="7764" priority="244" operator="equal">
      <formula>4</formula>
    </cfRule>
  </conditionalFormatting>
  <conditionalFormatting sqref="X54">
    <cfRule type="cellIs" dxfId="7763" priority="243" operator="lessThan">
      <formula>4</formula>
    </cfRule>
  </conditionalFormatting>
  <conditionalFormatting sqref="X54">
    <cfRule type="cellIs" dxfId="7762" priority="242" operator="greaterThan">
      <formula>4</formula>
    </cfRule>
  </conditionalFormatting>
  <conditionalFormatting sqref="X54">
    <cfRule type="cellIs" dxfId="7761" priority="241" operator="equal">
      <formula>4</formula>
    </cfRule>
  </conditionalFormatting>
  <conditionalFormatting sqref="X54">
    <cfRule type="cellIs" dxfId="7760" priority="240" operator="lessThan">
      <formula>4</formula>
    </cfRule>
  </conditionalFormatting>
  <conditionalFormatting sqref="X54">
    <cfRule type="cellIs" dxfId="7759" priority="239" operator="greaterThan">
      <formula>4</formula>
    </cfRule>
  </conditionalFormatting>
  <conditionalFormatting sqref="T55">
    <cfRule type="cellIs" dxfId="7758" priority="238" operator="equal">
      <formula>3</formula>
    </cfRule>
  </conditionalFormatting>
  <conditionalFormatting sqref="T55">
    <cfRule type="cellIs" dxfId="7757" priority="237" operator="equal">
      <formula>3</formula>
    </cfRule>
  </conditionalFormatting>
  <conditionalFormatting sqref="T55">
    <cfRule type="cellIs" dxfId="7756" priority="236" operator="notEqual">
      <formula>3</formula>
    </cfRule>
  </conditionalFormatting>
  <conditionalFormatting sqref="T55">
    <cfRule type="cellIs" dxfId="7755" priority="235" operator="equal">
      <formula>4</formula>
    </cfRule>
  </conditionalFormatting>
  <conditionalFormatting sqref="T55">
    <cfRule type="cellIs" dxfId="7754" priority="234" operator="lessThan">
      <formula>4</formula>
    </cfRule>
  </conditionalFormatting>
  <conditionalFormatting sqref="T55">
    <cfRule type="cellIs" dxfId="7753" priority="233" operator="greaterThan">
      <formula>4</formula>
    </cfRule>
  </conditionalFormatting>
  <conditionalFormatting sqref="T55">
    <cfRule type="cellIs" dxfId="7752" priority="232" operator="equal">
      <formula>4</formula>
    </cfRule>
  </conditionalFormatting>
  <conditionalFormatting sqref="T55">
    <cfRule type="cellIs" dxfId="7751" priority="231" operator="lessThan">
      <formula>4</formula>
    </cfRule>
  </conditionalFormatting>
  <conditionalFormatting sqref="T55">
    <cfRule type="cellIs" dxfId="7750" priority="230" operator="greaterThan">
      <formula>4</formula>
    </cfRule>
  </conditionalFormatting>
  <conditionalFormatting sqref="T55">
    <cfRule type="cellIs" dxfId="7749" priority="229" operator="equal">
      <formula>4</formula>
    </cfRule>
  </conditionalFormatting>
  <conditionalFormatting sqref="T55">
    <cfRule type="cellIs" dxfId="7748" priority="228" operator="lessThan">
      <formula>4</formula>
    </cfRule>
  </conditionalFormatting>
  <conditionalFormatting sqref="T55">
    <cfRule type="cellIs" dxfId="7747" priority="227" operator="greaterThan">
      <formula>4</formula>
    </cfRule>
  </conditionalFormatting>
  <conditionalFormatting sqref="R54">
    <cfRule type="cellIs" dxfId="7746" priority="226" operator="equal">
      <formula>3</formula>
    </cfRule>
  </conditionalFormatting>
  <conditionalFormatting sqref="R54">
    <cfRule type="cellIs" dxfId="7745" priority="225" operator="equal">
      <formula>3</formula>
    </cfRule>
  </conditionalFormatting>
  <conditionalFormatting sqref="R54">
    <cfRule type="cellIs" dxfId="7744" priority="224" operator="notEqual">
      <formula>3</formula>
    </cfRule>
  </conditionalFormatting>
  <conditionalFormatting sqref="R54">
    <cfRule type="cellIs" dxfId="7743" priority="223" operator="equal">
      <formula>4</formula>
    </cfRule>
  </conditionalFormatting>
  <conditionalFormatting sqref="R54">
    <cfRule type="cellIs" dxfId="7742" priority="222" operator="lessThan">
      <formula>4</formula>
    </cfRule>
  </conditionalFormatting>
  <conditionalFormatting sqref="R54">
    <cfRule type="cellIs" dxfId="7741" priority="221" operator="greaterThan">
      <formula>4</formula>
    </cfRule>
  </conditionalFormatting>
  <conditionalFormatting sqref="R54">
    <cfRule type="cellIs" dxfId="7740" priority="220" operator="equal">
      <formula>4</formula>
    </cfRule>
  </conditionalFormatting>
  <conditionalFormatting sqref="R54">
    <cfRule type="cellIs" dxfId="7739" priority="219" operator="lessThan">
      <formula>4</formula>
    </cfRule>
  </conditionalFormatting>
  <conditionalFormatting sqref="R54">
    <cfRule type="cellIs" dxfId="7738" priority="218" operator="greaterThan">
      <formula>4</formula>
    </cfRule>
  </conditionalFormatting>
  <conditionalFormatting sqref="R54">
    <cfRule type="cellIs" dxfId="7737" priority="217" operator="equal">
      <formula>4</formula>
    </cfRule>
  </conditionalFormatting>
  <conditionalFormatting sqref="R54">
    <cfRule type="cellIs" dxfId="7736" priority="216" operator="lessThan">
      <formula>4</formula>
    </cfRule>
  </conditionalFormatting>
  <conditionalFormatting sqref="R54">
    <cfRule type="cellIs" dxfId="7735" priority="215" operator="greaterThan">
      <formula>4</formula>
    </cfRule>
  </conditionalFormatting>
  <conditionalFormatting sqref="V54">
    <cfRule type="cellIs" dxfId="7734" priority="214" operator="equal">
      <formula>3</formula>
    </cfRule>
  </conditionalFormatting>
  <conditionalFormatting sqref="V54">
    <cfRule type="cellIs" dxfId="7733" priority="213" operator="equal">
      <formula>3</formula>
    </cfRule>
  </conditionalFormatting>
  <conditionalFormatting sqref="V54">
    <cfRule type="cellIs" dxfId="7732" priority="212" operator="notEqual">
      <formula>3</formula>
    </cfRule>
  </conditionalFormatting>
  <conditionalFormatting sqref="V54">
    <cfRule type="cellIs" dxfId="7731" priority="211" operator="equal">
      <formula>4</formula>
    </cfRule>
  </conditionalFormatting>
  <conditionalFormatting sqref="V54">
    <cfRule type="cellIs" dxfId="7730" priority="210" operator="lessThan">
      <formula>4</formula>
    </cfRule>
  </conditionalFormatting>
  <conditionalFormatting sqref="V54">
    <cfRule type="cellIs" dxfId="7729" priority="209" operator="greaterThan">
      <formula>4</formula>
    </cfRule>
  </conditionalFormatting>
  <conditionalFormatting sqref="V54">
    <cfRule type="cellIs" dxfId="7728" priority="208" operator="equal">
      <formula>4</formula>
    </cfRule>
  </conditionalFormatting>
  <conditionalFormatting sqref="V54">
    <cfRule type="cellIs" dxfId="7727" priority="207" operator="lessThan">
      <formula>4</formula>
    </cfRule>
  </conditionalFormatting>
  <conditionalFormatting sqref="V54">
    <cfRule type="cellIs" dxfId="7726" priority="206" operator="greaterThan">
      <formula>4</formula>
    </cfRule>
  </conditionalFormatting>
  <conditionalFormatting sqref="V54">
    <cfRule type="cellIs" dxfId="7725" priority="205" operator="equal">
      <formula>4</formula>
    </cfRule>
  </conditionalFormatting>
  <conditionalFormatting sqref="V54">
    <cfRule type="cellIs" dxfId="7724" priority="204" operator="lessThan">
      <formula>4</formula>
    </cfRule>
  </conditionalFormatting>
  <conditionalFormatting sqref="V54">
    <cfRule type="cellIs" dxfId="7723" priority="203" operator="greaterThan">
      <formula>4</formula>
    </cfRule>
  </conditionalFormatting>
  <conditionalFormatting sqref="T47">
    <cfRule type="cellIs" dxfId="7722" priority="202" operator="equal">
      <formula>3</formula>
    </cfRule>
  </conditionalFormatting>
  <conditionalFormatting sqref="T47">
    <cfRule type="cellIs" dxfId="7721" priority="201" operator="equal">
      <formula>3</formula>
    </cfRule>
  </conditionalFormatting>
  <conditionalFormatting sqref="T47">
    <cfRule type="cellIs" dxfId="7720" priority="200" operator="notEqual">
      <formula>3</formula>
    </cfRule>
  </conditionalFormatting>
  <conditionalFormatting sqref="T47">
    <cfRule type="cellIs" dxfId="7719" priority="199" operator="equal">
      <formula>4</formula>
    </cfRule>
  </conditionalFormatting>
  <conditionalFormatting sqref="T47">
    <cfRule type="cellIs" dxfId="7718" priority="198" operator="lessThan">
      <formula>4</formula>
    </cfRule>
  </conditionalFormatting>
  <conditionalFormatting sqref="T47">
    <cfRule type="cellIs" dxfId="7717" priority="197" operator="greaterThan">
      <formula>4</formula>
    </cfRule>
  </conditionalFormatting>
  <conditionalFormatting sqref="T47">
    <cfRule type="cellIs" dxfId="7716" priority="196" operator="equal">
      <formula>4</formula>
    </cfRule>
  </conditionalFormatting>
  <conditionalFormatting sqref="T47">
    <cfRule type="cellIs" dxfId="7715" priority="195" operator="lessThan">
      <formula>4</formula>
    </cfRule>
  </conditionalFormatting>
  <conditionalFormatting sqref="T47">
    <cfRule type="cellIs" dxfId="7714" priority="194" operator="greaterThan">
      <formula>4</formula>
    </cfRule>
  </conditionalFormatting>
  <conditionalFormatting sqref="T47">
    <cfRule type="cellIs" dxfId="7713" priority="193" operator="equal">
      <formula>4</formula>
    </cfRule>
  </conditionalFormatting>
  <conditionalFormatting sqref="T47">
    <cfRule type="cellIs" dxfId="7712" priority="192" operator="lessThan">
      <formula>4</formula>
    </cfRule>
  </conditionalFormatting>
  <conditionalFormatting sqref="T47">
    <cfRule type="cellIs" dxfId="7711" priority="191" operator="greaterThan">
      <formula>4</formula>
    </cfRule>
  </conditionalFormatting>
  <conditionalFormatting sqref="V48">
    <cfRule type="cellIs" dxfId="7710" priority="190" operator="equal">
      <formula>3</formula>
    </cfRule>
  </conditionalFormatting>
  <conditionalFormatting sqref="V48">
    <cfRule type="cellIs" dxfId="7709" priority="189" operator="equal">
      <formula>3</formula>
    </cfRule>
  </conditionalFormatting>
  <conditionalFormatting sqref="V48">
    <cfRule type="cellIs" dxfId="7708" priority="188" operator="notEqual">
      <formula>3</formula>
    </cfRule>
  </conditionalFormatting>
  <conditionalFormatting sqref="X47">
    <cfRule type="cellIs" dxfId="7707" priority="187" operator="equal">
      <formula>3</formula>
    </cfRule>
  </conditionalFormatting>
  <conditionalFormatting sqref="X47">
    <cfRule type="cellIs" dxfId="7706" priority="186" operator="equal">
      <formula>3</formula>
    </cfRule>
  </conditionalFormatting>
  <conditionalFormatting sqref="X47">
    <cfRule type="cellIs" dxfId="7705" priority="185" operator="notEqual">
      <formula>3</formula>
    </cfRule>
  </conditionalFormatting>
  <conditionalFormatting sqref="V22">
    <cfRule type="cellIs" dxfId="7704" priority="184" operator="equal">
      <formula>3</formula>
    </cfRule>
  </conditionalFormatting>
  <conditionalFormatting sqref="V22">
    <cfRule type="cellIs" dxfId="7703" priority="183" operator="equal">
      <formula>3</formula>
    </cfRule>
  </conditionalFormatting>
  <conditionalFormatting sqref="V22">
    <cfRule type="cellIs" dxfId="7702" priority="182" operator="notEqual">
      <formula>3</formula>
    </cfRule>
  </conditionalFormatting>
  <conditionalFormatting sqref="V13 AB14 T33 X33 X13 V33">
    <cfRule type="duplicateValues" dxfId="7701" priority="178"/>
  </conditionalFormatting>
  <conditionalFormatting sqref="Z49">
    <cfRule type="cellIs" dxfId="7700" priority="177" operator="equal">
      <formula>3</formula>
    </cfRule>
  </conditionalFormatting>
  <conditionalFormatting sqref="Z49">
    <cfRule type="cellIs" dxfId="7699" priority="176" operator="equal">
      <formula>3</formula>
    </cfRule>
  </conditionalFormatting>
  <conditionalFormatting sqref="Z49">
    <cfRule type="cellIs" dxfId="7698" priority="175" operator="notEqual">
      <formula>3</formula>
    </cfRule>
  </conditionalFormatting>
  <conditionalFormatting sqref="Z49">
    <cfRule type="cellIs" dxfId="7697" priority="174" operator="equal">
      <formula>3</formula>
    </cfRule>
  </conditionalFormatting>
  <conditionalFormatting sqref="Z49">
    <cfRule type="cellIs" dxfId="7696" priority="173" operator="equal">
      <formula>3</formula>
    </cfRule>
  </conditionalFormatting>
  <conditionalFormatting sqref="Z49">
    <cfRule type="cellIs" dxfId="7695" priority="172" operator="notEqual">
      <formula>3</formula>
    </cfRule>
  </conditionalFormatting>
  <conditionalFormatting sqref="Z49">
    <cfRule type="cellIs" dxfId="7694" priority="171" operator="equal">
      <formula>3</formula>
    </cfRule>
  </conditionalFormatting>
  <conditionalFormatting sqref="Z49">
    <cfRule type="cellIs" dxfId="7693" priority="170" operator="equal">
      <formula>3</formula>
    </cfRule>
  </conditionalFormatting>
  <conditionalFormatting sqref="Z49">
    <cfRule type="cellIs" dxfId="7692" priority="169" operator="notEqual">
      <formula>3</formula>
    </cfRule>
  </conditionalFormatting>
  <conditionalFormatting sqref="Z49">
    <cfRule type="cellIs" dxfId="7691" priority="168" operator="equal">
      <formula>3</formula>
    </cfRule>
  </conditionalFormatting>
  <conditionalFormatting sqref="Z49">
    <cfRule type="cellIs" dxfId="7690" priority="167" operator="equal">
      <formula>3</formula>
    </cfRule>
  </conditionalFormatting>
  <conditionalFormatting sqref="Z49">
    <cfRule type="cellIs" dxfId="7689" priority="166" operator="notEqual">
      <formula>3</formula>
    </cfRule>
  </conditionalFormatting>
  <conditionalFormatting sqref="Z49">
    <cfRule type="cellIs" dxfId="7688" priority="165" operator="equal">
      <formula>3</formula>
    </cfRule>
  </conditionalFormatting>
  <conditionalFormatting sqref="Z49">
    <cfRule type="cellIs" dxfId="7687" priority="164" operator="equal">
      <formula>3</formula>
    </cfRule>
  </conditionalFormatting>
  <conditionalFormatting sqref="Z49">
    <cfRule type="cellIs" dxfId="7686" priority="163" operator="notEqual">
      <formula>3</formula>
    </cfRule>
  </conditionalFormatting>
  <conditionalFormatting sqref="Z49">
    <cfRule type="cellIs" dxfId="7685" priority="162" operator="equal">
      <formula>4</formula>
    </cfRule>
  </conditionalFormatting>
  <conditionalFormatting sqref="Z49">
    <cfRule type="cellIs" dxfId="7684" priority="161" operator="lessThan">
      <formula>4</formula>
    </cfRule>
  </conditionalFormatting>
  <conditionalFormatting sqref="Z49">
    <cfRule type="cellIs" dxfId="7683" priority="160" operator="greaterThan">
      <formula>4</formula>
    </cfRule>
  </conditionalFormatting>
  <conditionalFormatting sqref="Z52">
    <cfRule type="cellIs" dxfId="7682" priority="159" operator="equal">
      <formula>3</formula>
    </cfRule>
  </conditionalFormatting>
  <conditionalFormatting sqref="Z52">
    <cfRule type="cellIs" dxfId="7681" priority="158" operator="equal">
      <formula>3</formula>
    </cfRule>
  </conditionalFormatting>
  <conditionalFormatting sqref="Z52">
    <cfRule type="cellIs" dxfId="7680" priority="157" operator="notEqual">
      <formula>3</formula>
    </cfRule>
  </conditionalFormatting>
  <conditionalFormatting sqref="Z52">
    <cfRule type="cellIs" dxfId="7679" priority="156" operator="equal">
      <formula>3</formula>
    </cfRule>
  </conditionalFormatting>
  <conditionalFormatting sqref="Z52">
    <cfRule type="cellIs" dxfId="7678" priority="155" operator="equal">
      <formula>3</formula>
    </cfRule>
  </conditionalFormatting>
  <conditionalFormatting sqref="Z52">
    <cfRule type="cellIs" dxfId="7677" priority="154" operator="notEqual">
      <formula>3</formula>
    </cfRule>
  </conditionalFormatting>
  <conditionalFormatting sqref="Z52">
    <cfRule type="cellIs" dxfId="7676" priority="153" operator="equal">
      <formula>3</formula>
    </cfRule>
  </conditionalFormatting>
  <conditionalFormatting sqref="Z52">
    <cfRule type="cellIs" dxfId="7675" priority="152" operator="equal">
      <formula>3</formula>
    </cfRule>
  </conditionalFormatting>
  <conditionalFormatting sqref="Z52">
    <cfRule type="cellIs" dxfId="7674" priority="151" operator="notEqual">
      <formula>3</formula>
    </cfRule>
  </conditionalFormatting>
  <conditionalFormatting sqref="Z52">
    <cfRule type="cellIs" dxfId="7673" priority="150" operator="equal">
      <formula>3</formula>
    </cfRule>
  </conditionalFormatting>
  <conditionalFormatting sqref="Z52">
    <cfRule type="cellIs" dxfId="7672" priority="149" operator="equal">
      <formula>3</formula>
    </cfRule>
  </conditionalFormatting>
  <conditionalFormatting sqref="Z52">
    <cfRule type="cellIs" dxfId="7671" priority="148" operator="notEqual">
      <formula>3</formula>
    </cfRule>
  </conditionalFormatting>
  <conditionalFormatting sqref="Z52">
    <cfRule type="cellIs" dxfId="7670" priority="147" operator="equal">
      <formula>3</formula>
    </cfRule>
  </conditionalFormatting>
  <conditionalFormatting sqref="Z52">
    <cfRule type="cellIs" dxfId="7669" priority="146" operator="equal">
      <formula>3</formula>
    </cfRule>
  </conditionalFormatting>
  <conditionalFormatting sqref="Z52">
    <cfRule type="cellIs" dxfId="7668" priority="145" operator="notEqual">
      <formula>3</formula>
    </cfRule>
  </conditionalFormatting>
  <conditionalFormatting sqref="Z52">
    <cfRule type="cellIs" dxfId="7667" priority="144" operator="equal">
      <formula>4</formula>
    </cfRule>
  </conditionalFormatting>
  <conditionalFormatting sqref="Z52">
    <cfRule type="cellIs" dxfId="7666" priority="143" operator="lessThan">
      <formula>4</formula>
    </cfRule>
  </conditionalFormatting>
  <conditionalFormatting sqref="Z52">
    <cfRule type="cellIs" dxfId="7665" priority="142" operator="greaterThan">
      <formula>4</formula>
    </cfRule>
  </conditionalFormatting>
  <conditionalFormatting sqref="AD23">
    <cfRule type="cellIs" dxfId="7664" priority="141" operator="equal">
      <formula>3</formula>
    </cfRule>
  </conditionalFormatting>
  <conditionalFormatting sqref="AD23">
    <cfRule type="cellIs" dxfId="7663" priority="140" operator="equal">
      <formula>3</formula>
    </cfRule>
  </conditionalFormatting>
  <conditionalFormatting sqref="AD23">
    <cfRule type="cellIs" dxfId="7662" priority="139" operator="notEqual">
      <formula>3</formula>
    </cfRule>
  </conditionalFormatting>
  <conditionalFormatting sqref="AB25">
    <cfRule type="cellIs" dxfId="7661" priority="138" operator="equal">
      <formula>3</formula>
    </cfRule>
  </conditionalFormatting>
  <conditionalFormatting sqref="AB25">
    <cfRule type="cellIs" dxfId="7660" priority="137" operator="equal">
      <formula>3</formula>
    </cfRule>
  </conditionalFormatting>
  <conditionalFormatting sqref="AB25">
    <cfRule type="cellIs" dxfId="7659" priority="136" operator="notEqual">
      <formula>3</formula>
    </cfRule>
  </conditionalFormatting>
  <conditionalFormatting sqref="X6">
    <cfRule type="cellIs" dxfId="7658" priority="135" operator="equal">
      <formula>3</formula>
    </cfRule>
  </conditionalFormatting>
  <conditionalFormatting sqref="X6">
    <cfRule type="cellIs" dxfId="7657" priority="134" operator="equal">
      <formula>3</formula>
    </cfRule>
  </conditionalFormatting>
  <conditionalFormatting sqref="X6">
    <cfRule type="cellIs" dxfId="7656" priority="133" operator="notEqual">
      <formula>3</formula>
    </cfRule>
  </conditionalFormatting>
  <conditionalFormatting sqref="T18">
    <cfRule type="cellIs" dxfId="7655" priority="132" operator="equal">
      <formula>3</formula>
    </cfRule>
  </conditionalFormatting>
  <conditionalFormatting sqref="T18">
    <cfRule type="cellIs" dxfId="7654" priority="131" operator="equal">
      <formula>3</formula>
    </cfRule>
  </conditionalFormatting>
  <conditionalFormatting sqref="T18">
    <cfRule type="cellIs" dxfId="7653" priority="130" operator="notEqual">
      <formula>3</formula>
    </cfRule>
  </conditionalFormatting>
  <conditionalFormatting sqref="R13">
    <cfRule type="cellIs" dxfId="7652" priority="129" operator="equal">
      <formula>3</formula>
    </cfRule>
  </conditionalFormatting>
  <conditionalFormatting sqref="R13">
    <cfRule type="cellIs" dxfId="7651" priority="128" operator="equal">
      <formula>3</formula>
    </cfRule>
  </conditionalFormatting>
  <conditionalFormatting sqref="R13">
    <cfRule type="cellIs" dxfId="7650" priority="127" operator="notEqual">
      <formula>3</formula>
    </cfRule>
  </conditionalFormatting>
  <conditionalFormatting sqref="T13">
    <cfRule type="cellIs" dxfId="7649" priority="126" operator="equal">
      <formula>3</formula>
    </cfRule>
  </conditionalFormatting>
  <conditionalFormatting sqref="T13">
    <cfRule type="cellIs" dxfId="7648" priority="125" operator="equal">
      <formula>3</formula>
    </cfRule>
  </conditionalFormatting>
  <conditionalFormatting sqref="T13">
    <cfRule type="cellIs" dxfId="7647" priority="124" operator="notEqual">
      <formula>3</formula>
    </cfRule>
  </conditionalFormatting>
  <conditionalFormatting sqref="T54">
    <cfRule type="cellIs" dxfId="7646" priority="123" operator="equal">
      <formula>3</formula>
    </cfRule>
  </conditionalFormatting>
  <conditionalFormatting sqref="T54">
    <cfRule type="cellIs" dxfId="7645" priority="122" operator="equal">
      <formula>3</formula>
    </cfRule>
  </conditionalFormatting>
  <conditionalFormatting sqref="T54">
    <cfRule type="cellIs" dxfId="7644" priority="121" operator="notEqual">
      <formula>3</formula>
    </cfRule>
  </conditionalFormatting>
  <conditionalFormatting sqref="T54">
    <cfRule type="cellIs" dxfId="7643" priority="120" operator="equal">
      <formula>4</formula>
    </cfRule>
  </conditionalFormatting>
  <conditionalFormatting sqref="T54">
    <cfRule type="cellIs" dxfId="7642" priority="119" operator="lessThan">
      <formula>4</formula>
    </cfRule>
  </conditionalFormatting>
  <conditionalFormatting sqref="T54">
    <cfRule type="cellIs" dxfId="7641" priority="118" operator="greaterThan">
      <formula>4</formula>
    </cfRule>
  </conditionalFormatting>
  <conditionalFormatting sqref="T54">
    <cfRule type="cellIs" dxfId="7640" priority="117" operator="equal">
      <formula>4</formula>
    </cfRule>
  </conditionalFormatting>
  <conditionalFormatting sqref="T54">
    <cfRule type="cellIs" dxfId="7639" priority="116" operator="lessThan">
      <formula>4</formula>
    </cfRule>
  </conditionalFormatting>
  <conditionalFormatting sqref="T54">
    <cfRule type="cellIs" dxfId="7638" priority="115" operator="greaterThan">
      <formula>4</formula>
    </cfRule>
  </conditionalFormatting>
  <conditionalFormatting sqref="T54">
    <cfRule type="cellIs" dxfId="7637" priority="114" operator="equal">
      <formula>4</formula>
    </cfRule>
  </conditionalFormatting>
  <conditionalFormatting sqref="T54">
    <cfRule type="cellIs" dxfId="7636" priority="113" operator="lessThan">
      <formula>4</formula>
    </cfRule>
  </conditionalFormatting>
  <conditionalFormatting sqref="T54">
    <cfRule type="cellIs" dxfId="7635" priority="112" operator="greaterThan">
      <formula>4</formula>
    </cfRule>
  </conditionalFormatting>
  <conditionalFormatting sqref="R58">
    <cfRule type="cellIs" dxfId="7634" priority="111" operator="equal">
      <formula>4</formula>
    </cfRule>
  </conditionalFormatting>
  <conditionalFormatting sqref="R58">
    <cfRule type="cellIs" dxfId="7633" priority="110" operator="lessThan">
      <formula>4</formula>
    </cfRule>
  </conditionalFormatting>
  <conditionalFormatting sqref="R58">
    <cfRule type="cellIs" dxfId="7632" priority="109" operator="greaterThan">
      <formula>4</formula>
    </cfRule>
  </conditionalFormatting>
  <conditionalFormatting sqref="R58">
    <cfRule type="cellIs" dxfId="7631" priority="108" operator="equal">
      <formula>3</formula>
    </cfRule>
  </conditionalFormatting>
  <conditionalFormatting sqref="R58">
    <cfRule type="cellIs" dxfId="7630" priority="107" operator="equal">
      <formula>3</formula>
    </cfRule>
  </conditionalFormatting>
  <conditionalFormatting sqref="R58">
    <cfRule type="cellIs" dxfId="7629" priority="106" operator="notEqual">
      <formula>3</formula>
    </cfRule>
  </conditionalFormatting>
  <conditionalFormatting sqref="R58">
    <cfRule type="cellIs" dxfId="7628" priority="105" operator="equal">
      <formula>3</formula>
    </cfRule>
  </conditionalFormatting>
  <conditionalFormatting sqref="R58">
    <cfRule type="cellIs" dxfId="7627" priority="104" operator="equal">
      <formula>3</formula>
    </cfRule>
  </conditionalFormatting>
  <conditionalFormatting sqref="R58">
    <cfRule type="cellIs" dxfId="7626" priority="103" operator="notEqual">
      <formula>3</formula>
    </cfRule>
  </conditionalFormatting>
  <conditionalFormatting sqref="R58">
    <cfRule type="cellIs" dxfId="7625" priority="102" operator="equal">
      <formula>3</formula>
    </cfRule>
  </conditionalFormatting>
  <conditionalFormatting sqref="R58">
    <cfRule type="cellIs" dxfId="7624" priority="101" operator="equal">
      <formula>3</formula>
    </cfRule>
  </conditionalFormatting>
  <conditionalFormatting sqref="R58">
    <cfRule type="cellIs" dxfId="7623" priority="100" operator="notEqual">
      <formula>3</formula>
    </cfRule>
  </conditionalFormatting>
  <conditionalFormatting sqref="R58">
    <cfRule type="cellIs" dxfId="7622" priority="99" operator="equal">
      <formula>3</formula>
    </cfRule>
  </conditionalFormatting>
  <conditionalFormatting sqref="R58">
    <cfRule type="cellIs" dxfId="7621" priority="98" operator="equal">
      <formula>3</formula>
    </cfRule>
  </conditionalFormatting>
  <conditionalFormatting sqref="R58">
    <cfRule type="cellIs" dxfId="7620" priority="97" operator="notEqual">
      <formula>3</formula>
    </cfRule>
  </conditionalFormatting>
  <conditionalFormatting sqref="T58">
    <cfRule type="cellIs" dxfId="7619" priority="96" operator="equal">
      <formula>4</formula>
    </cfRule>
  </conditionalFormatting>
  <conditionalFormatting sqref="T58">
    <cfRule type="cellIs" dxfId="7618" priority="95" operator="lessThan">
      <formula>4</formula>
    </cfRule>
  </conditionalFormatting>
  <conditionalFormatting sqref="T58">
    <cfRule type="cellIs" dxfId="7617" priority="94" operator="greaterThan">
      <formula>4</formula>
    </cfRule>
  </conditionalFormatting>
  <conditionalFormatting sqref="T58">
    <cfRule type="cellIs" dxfId="7616" priority="93" operator="equal">
      <formula>3</formula>
    </cfRule>
  </conditionalFormatting>
  <conditionalFormatting sqref="T58">
    <cfRule type="cellIs" dxfId="7615" priority="92" operator="equal">
      <formula>3</formula>
    </cfRule>
  </conditionalFormatting>
  <conditionalFormatting sqref="T58">
    <cfRule type="cellIs" dxfId="7614" priority="91" operator="notEqual">
      <formula>3</formula>
    </cfRule>
  </conditionalFormatting>
  <conditionalFormatting sqref="T58">
    <cfRule type="cellIs" dxfId="7613" priority="90" operator="equal">
      <formula>3</formula>
    </cfRule>
  </conditionalFormatting>
  <conditionalFormatting sqref="T58">
    <cfRule type="cellIs" dxfId="7612" priority="89" operator="equal">
      <formula>3</formula>
    </cfRule>
  </conditionalFormatting>
  <conditionalFormatting sqref="T58">
    <cfRule type="cellIs" dxfId="7611" priority="88" operator="notEqual">
      <formula>3</formula>
    </cfRule>
  </conditionalFormatting>
  <conditionalFormatting sqref="T58">
    <cfRule type="cellIs" dxfId="7610" priority="87" operator="equal">
      <formula>3</formula>
    </cfRule>
  </conditionalFormatting>
  <conditionalFormatting sqref="T58">
    <cfRule type="cellIs" dxfId="7609" priority="86" operator="equal">
      <formula>3</formula>
    </cfRule>
  </conditionalFormatting>
  <conditionalFormatting sqref="T58">
    <cfRule type="cellIs" dxfId="7608" priority="85" operator="notEqual">
      <formula>3</formula>
    </cfRule>
  </conditionalFormatting>
  <conditionalFormatting sqref="T58">
    <cfRule type="cellIs" dxfId="7607" priority="84" operator="equal">
      <formula>3</formula>
    </cfRule>
  </conditionalFormatting>
  <conditionalFormatting sqref="T58">
    <cfRule type="cellIs" dxfId="7606" priority="83" operator="equal">
      <formula>3</formula>
    </cfRule>
  </conditionalFormatting>
  <conditionalFormatting sqref="T58">
    <cfRule type="cellIs" dxfId="7605" priority="82" operator="notEqual">
      <formula>3</formula>
    </cfRule>
  </conditionalFormatting>
  <conditionalFormatting sqref="V58">
    <cfRule type="cellIs" dxfId="7604" priority="81" operator="equal">
      <formula>4</formula>
    </cfRule>
  </conditionalFormatting>
  <conditionalFormatting sqref="V58">
    <cfRule type="cellIs" dxfId="7603" priority="80" operator="lessThan">
      <formula>4</formula>
    </cfRule>
  </conditionalFormatting>
  <conditionalFormatting sqref="V58">
    <cfRule type="cellIs" dxfId="7602" priority="79" operator="greaterThan">
      <formula>4</formula>
    </cfRule>
  </conditionalFormatting>
  <conditionalFormatting sqref="V58">
    <cfRule type="cellIs" dxfId="7601" priority="78" operator="equal">
      <formula>3</formula>
    </cfRule>
  </conditionalFormatting>
  <conditionalFormatting sqref="V58">
    <cfRule type="cellIs" dxfId="7600" priority="77" operator="equal">
      <formula>3</formula>
    </cfRule>
  </conditionalFormatting>
  <conditionalFormatting sqref="V58">
    <cfRule type="cellIs" dxfId="7599" priority="76" operator="notEqual">
      <formula>3</formula>
    </cfRule>
  </conditionalFormatting>
  <conditionalFormatting sqref="V58">
    <cfRule type="cellIs" dxfId="7598" priority="75" operator="equal">
      <formula>3</formula>
    </cfRule>
  </conditionalFormatting>
  <conditionalFormatting sqref="V58">
    <cfRule type="cellIs" dxfId="7597" priority="74" operator="equal">
      <formula>3</formula>
    </cfRule>
  </conditionalFormatting>
  <conditionalFormatting sqref="V58">
    <cfRule type="cellIs" dxfId="7596" priority="73" operator="notEqual">
      <formula>3</formula>
    </cfRule>
  </conditionalFormatting>
  <conditionalFormatting sqref="V58">
    <cfRule type="cellIs" dxfId="7595" priority="72" operator="equal">
      <formula>3</formula>
    </cfRule>
  </conditionalFormatting>
  <conditionalFormatting sqref="V58">
    <cfRule type="cellIs" dxfId="7594" priority="71" operator="equal">
      <formula>3</formula>
    </cfRule>
  </conditionalFormatting>
  <conditionalFormatting sqref="V58">
    <cfRule type="cellIs" dxfId="7593" priority="70" operator="notEqual">
      <formula>3</formula>
    </cfRule>
  </conditionalFormatting>
  <conditionalFormatting sqref="V58">
    <cfRule type="cellIs" dxfId="7592" priority="69" operator="equal">
      <formula>3</formula>
    </cfRule>
  </conditionalFormatting>
  <conditionalFormatting sqref="V58">
    <cfRule type="cellIs" dxfId="7591" priority="68" operator="equal">
      <formula>3</formula>
    </cfRule>
  </conditionalFormatting>
  <conditionalFormatting sqref="V58">
    <cfRule type="cellIs" dxfId="7590" priority="67" operator="notEqual">
      <formula>3</formula>
    </cfRule>
  </conditionalFormatting>
  <conditionalFormatting sqref="X58">
    <cfRule type="cellIs" dxfId="7589" priority="66" operator="equal">
      <formula>4</formula>
    </cfRule>
  </conditionalFormatting>
  <conditionalFormatting sqref="X58">
    <cfRule type="cellIs" dxfId="7588" priority="65" operator="lessThan">
      <formula>4</formula>
    </cfRule>
  </conditionalFormatting>
  <conditionalFormatting sqref="X58">
    <cfRule type="cellIs" dxfId="7587" priority="64" operator="greaterThan">
      <formula>4</formula>
    </cfRule>
  </conditionalFormatting>
  <conditionalFormatting sqref="X58">
    <cfRule type="cellIs" dxfId="7586" priority="63" operator="equal">
      <formula>3</formula>
    </cfRule>
  </conditionalFormatting>
  <conditionalFormatting sqref="X58">
    <cfRule type="cellIs" dxfId="7585" priority="62" operator="equal">
      <formula>3</formula>
    </cfRule>
  </conditionalFormatting>
  <conditionalFormatting sqref="X58">
    <cfRule type="cellIs" dxfId="7584" priority="61" operator="notEqual">
      <formula>3</formula>
    </cfRule>
  </conditionalFormatting>
  <conditionalFormatting sqref="X58">
    <cfRule type="cellIs" dxfId="7583" priority="60" operator="equal">
      <formula>3</formula>
    </cfRule>
  </conditionalFormatting>
  <conditionalFormatting sqref="X58">
    <cfRule type="cellIs" dxfId="7582" priority="59" operator="equal">
      <formula>3</formula>
    </cfRule>
  </conditionalFormatting>
  <conditionalFormatting sqref="X58">
    <cfRule type="cellIs" dxfId="7581" priority="58" operator="notEqual">
      <formula>3</formula>
    </cfRule>
  </conditionalFormatting>
  <conditionalFormatting sqref="X58">
    <cfRule type="cellIs" dxfId="7580" priority="57" operator="equal">
      <formula>3</formula>
    </cfRule>
  </conditionalFormatting>
  <conditionalFormatting sqref="X58">
    <cfRule type="cellIs" dxfId="7579" priority="56" operator="equal">
      <formula>3</formula>
    </cfRule>
  </conditionalFormatting>
  <conditionalFormatting sqref="X58">
    <cfRule type="cellIs" dxfId="7578" priority="55" operator="notEqual">
      <formula>3</formula>
    </cfRule>
  </conditionalFormatting>
  <conditionalFormatting sqref="X58">
    <cfRule type="cellIs" dxfId="7577" priority="54" operator="equal">
      <formula>3</formula>
    </cfRule>
  </conditionalFormatting>
  <conditionalFormatting sqref="X58">
    <cfRule type="cellIs" dxfId="7576" priority="53" operator="equal">
      <formula>3</formula>
    </cfRule>
  </conditionalFormatting>
  <conditionalFormatting sqref="X58">
    <cfRule type="cellIs" dxfId="7575" priority="52" operator="notEqual">
      <formula>3</formula>
    </cfRule>
  </conditionalFormatting>
  <conditionalFormatting sqref="Z58">
    <cfRule type="cellIs" dxfId="7574" priority="51" operator="equal">
      <formula>4</formula>
    </cfRule>
  </conditionalFormatting>
  <conditionalFormatting sqref="Z58">
    <cfRule type="cellIs" dxfId="7573" priority="50" operator="lessThan">
      <formula>4</formula>
    </cfRule>
  </conditionalFormatting>
  <conditionalFormatting sqref="Z58">
    <cfRule type="cellIs" dxfId="7572" priority="49" operator="greaterThan">
      <formula>4</formula>
    </cfRule>
  </conditionalFormatting>
  <conditionalFormatting sqref="Z58">
    <cfRule type="cellIs" dxfId="7571" priority="48" operator="equal">
      <formula>3</formula>
    </cfRule>
  </conditionalFormatting>
  <conditionalFormatting sqref="Z58">
    <cfRule type="cellIs" dxfId="7570" priority="47" operator="equal">
      <formula>3</formula>
    </cfRule>
  </conditionalFormatting>
  <conditionalFormatting sqref="Z58">
    <cfRule type="cellIs" dxfId="7569" priority="46" operator="notEqual">
      <formula>3</formula>
    </cfRule>
  </conditionalFormatting>
  <conditionalFormatting sqref="Z58">
    <cfRule type="cellIs" dxfId="7568" priority="45" operator="equal">
      <formula>3</formula>
    </cfRule>
  </conditionalFormatting>
  <conditionalFormatting sqref="Z58">
    <cfRule type="cellIs" dxfId="7567" priority="44" operator="equal">
      <formula>3</formula>
    </cfRule>
  </conditionalFormatting>
  <conditionalFormatting sqref="Z58">
    <cfRule type="cellIs" dxfId="7566" priority="43" operator="notEqual">
      <formula>3</formula>
    </cfRule>
  </conditionalFormatting>
  <conditionalFormatting sqref="Z58">
    <cfRule type="cellIs" dxfId="7565" priority="42" operator="equal">
      <formula>3</formula>
    </cfRule>
  </conditionalFormatting>
  <conditionalFormatting sqref="Z58">
    <cfRule type="cellIs" dxfId="7564" priority="41" operator="equal">
      <formula>3</formula>
    </cfRule>
  </conditionalFormatting>
  <conditionalFormatting sqref="Z58">
    <cfRule type="cellIs" dxfId="7563" priority="40" operator="notEqual">
      <formula>3</formula>
    </cfRule>
  </conditionalFormatting>
  <conditionalFormatting sqref="Z58">
    <cfRule type="cellIs" dxfId="7562" priority="39" operator="equal">
      <formula>3</formula>
    </cfRule>
  </conditionalFormatting>
  <conditionalFormatting sqref="Z58">
    <cfRule type="cellIs" dxfId="7561" priority="38" operator="equal">
      <formula>3</formula>
    </cfRule>
  </conditionalFormatting>
  <conditionalFormatting sqref="Z58">
    <cfRule type="cellIs" dxfId="7560" priority="37" operator="notEqual">
      <formula>3</formula>
    </cfRule>
  </conditionalFormatting>
  <conditionalFormatting sqref="V6">
    <cfRule type="cellIs" dxfId="7559" priority="36" operator="equal">
      <formula>3</formula>
    </cfRule>
  </conditionalFormatting>
  <conditionalFormatting sqref="V6">
    <cfRule type="cellIs" dxfId="7558" priority="35" operator="equal">
      <formula>3</formula>
    </cfRule>
  </conditionalFormatting>
  <conditionalFormatting sqref="V6">
    <cfRule type="cellIs" dxfId="7557" priority="34" operator="notEqual">
      <formula>3</formula>
    </cfRule>
  </conditionalFormatting>
  <conditionalFormatting sqref="X8">
    <cfRule type="cellIs" dxfId="7556" priority="33" operator="equal">
      <formula>3</formula>
    </cfRule>
  </conditionalFormatting>
  <conditionalFormatting sqref="X8">
    <cfRule type="cellIs" dxfId="7555" priority="32" operator="equal">
      <formula>3</formula>
    </cfRule>
  </conditionalFormatting>
  <conditionalFormatting sqref="X8">
    <cfRule type="cellIs" dxfId="7554" priority="31" operator="notEqual">
      <formula>3</formula>
    </cfRule>
  </conditionalFormatting>
  <conditionalFormatting sqref="AB8">
    <cfRule type="cellIs" dxfId="7553" priority="30" operator="equal">
      <formula>3</formula>
    </cfRule>
  </conditionalFormatting>
  <conditionalFormatting sqref="AB8">
    <cfRule type="cellIs" dxfId="7552" priority="29" operator="equal">
      <formula>3</formula>
    </cfRule>
  </conditionalFormatting>
  <conditionalFormatting sqref="AB8">
    <cfRule type="cellIs" dxfId="7551" priority="28" operator="notEqual">
      <formula>3</formula>
    </cfRule>
  </conditionalFormatting>
  <conditionalFormatting sqref="R9">
    <cfRule type="cellIs" dxfId="7550" priority="27" operator="equal">
      <formula>3</formula>
    </cfRule>
  </conditionalFormatting>
  <conditionalFormatting sqref="R9">
    <cfRule type="cellIs" dxfId="7549" priority="26" operator="equal">
      <formula>3</formula>
    </cfRule>
  </conditionalFormatting>
  <conditionalFormatting sqref="R9">
    <cfRule type="cellIs" dxfId="7548" priority="25" operator="notEqual">
      <formula>3</formula>
    </cfRule>
  </conditionalFormatting>
  <conditionalFormatting sqref="Z9:Z10">
    <cfRule type="cellIs" dxfId="7547" priority="24" operator="equal">
      <formula>3</formula>
    </cfRule>
  </conditionalFormatting>
  <conditionalFormatting sqref="Z9:Z10">
    <cfRule type="cellIs" dxfId="7546" priority="23" operator="equal">
      <formula>3</formula>
    </cfRule>
  </conditionalFormatting>
  <conditionalFormatting sqref="Z9:Z10">
    <cfRule type="cellIs" dxfId="7545" priority="22" operator="notEqual">
      <formula>3</formula>
    </cfRule>
  </conditionalFormatting>
  <conditionalFormatting sqref="X14">
    <cfRule type="cellIs" dxfId="7544" priority="21" operator="equal">
      <formula>3</formula>
    </cfRule>
  </conditionalFormatting>
  <conditionalFormatting sqref="X14">
    <cfRule type="cellIs" dxfId="7543" priority="20" operator="equal">
      <formula>3</formula>
    </cfRule>
  </conditionalFormatting>
  <conditionalFormatting sqref="X14">
    <cfRule type="cellIs" dxfId="7542" priority="19" operator="notEqual">
      <formula>3</formula>
    </cfRule>
  </conditionalFormatting>
  <conditionalFormatting sqref="V23">
    <cfRule type="cellIs" dxfId="7541" priority="17" operator="equal">
      <formula>3</formula>
    </cfRule>
  </conditionalFormatting>
  <conditionalFormatting sqref="V23">
    <cfRule type="cellIs" dxfId="7540" priority="16" operator="equal">
      <formula>3</formula>
    </cfRule>
  </conditionalFormatting>
  <conditionalFormatting sqref="V23">
    <cfRule type="cellIs" dxfId="7539" priority="15" operator="notEqual">
      <formula>3</formula>
    </cfRule>
  </conditionalFormatting>
  <conditionalFormatting sqref="X23">
    <cfRule type="cellIs" dxfId="7538" priority="14" operator="equal">
      <formula>3</formula>
    </cfRule>
  </conditionalFormatting>
  <conditionalFormatting sqref="X23">
    <cfRule type="cellIs" dxfId="7537" priority="13" operator="equal">
      <formula>3</formula>
    </cfRule>
  </conditionalFormatting>
  <conditionalFormatting sqref="X23">
    <cfRule type="cellIs" dxfId="7536" priority="12" operator="notEqual">
      <formula>3</formula>
    </cfRule>
  </conditionalFormatting>
  <conditionalFormatting sqref="X32">
    <cfRule type="cellIs" dxfId="7535" priority="11" operator="equal">
      <formula>3</formula>
    </cfRule>
  </conditionalFormatting>
  <conditionalFormatting sqref="X32">
    <cfRule type="cellIs" dxfId="7534" priority="10" operator="equal">
      <formula>3</formula>
    </cfRule>
  </conditionalFormatting>
  <conditionalFormatting sqref="X32">
    <cfRule type="cellIs" dxfId="7533" priority="9" operator="notEqual">
      <formula>3</formula>
    </cfRule>
  </conditionalFormatting>
  <conditionalFormatting sqref="X32">
    <cfRule type="cellIs" dxfId="7532" priority="8" operator="equal">
      <formula>3</formula>
    </cfRule>
  </conditionalFormatting>
  <conditionalFormatting sqref="X32">
    <cfRule type="cellIs" dxfId="7531" priority="7" operator="equal">
      <formula>3</formula>
    </cfRule>
  </conditionalFormatting>
  <conditionalFormatting sqref="X32">
    <cfRule type="cellIs" dxfId="7530" priority="6" operator="notEqual">
      <formula>3</formula>
    </cfRule>
  </conditionalFormatting>
  <conditionalFormatting sqref="X32">
    <cfRule type="cellIs" dxfId="7529" priority="5" operator="equal">
      <formula>4</formula>
    </cfRule>
  </conditionalFormatting>
  <conditionalFormatting sqref="X32">
    <cfRule type="cellIs" dxfId="7528" priority="4" operator="lessThan">
      <formula>4</formula>
    </cfRule>
  </conditionalFormatting>
  <conditionalFormatting sqref="X32">
    <cfRule type="cellIs" dxfId="7527" priority="3" operator="greaterThan">
      <formula>4</formula>
    </cfRule>
  </conditionalFormatting>
  <conditionalFormatting sqref="Q4:Q58 S4:S58 U4:U58 W4:W58 Y4:Y58 AA4:AA58 AC4:AC58">
    <cfRule type="duplicateValues" dxfId="7526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4"/>
  <sheetViews>
    <sheetView showGridLines="0" zoomScale="55" zoomScaleNormal="55" workbookViewId="0">
      <selection activeCell="L15" sqref="L15"/>
    </sheetView>
  </sheetViews>
  <sheetFormatPr defaultColWidth="9.1796875" defaultRowHeight="14.5" x14ac:dyDescent="0.35"/>
  <cols>
    <col min="2" max="2" width="19.1796875" bestFit="1" customWidth="1"/>
    <col min="3" max="3" width="7.453125" customWidth="1"/>
    <col min="4" max="4" width="7" customWidth="1"/>
    <col min="5" max="10" width="7.453125" customWidth="1"/>
    <col min="11" max="11" width="9" customWidth="1"/>
    <col min="12" max="67" width="7.453125" customWidth="1"/>
  </cols>
  <sheetData>
    <row r="1" spans="1:68" x14ac:dyDescent="0.35">
      <c r="A1" s="1"/>
      <c r="B1" s="1"/>
      <c r="C1" s="1"/>
      <c r="D1" s="1"/>
      <c r="E1" s="1"/>
      <c r="F1" s="1"/>
      <c r="G1" s="1"/>
      <c r="H1" s="2"/>
      <c r="I1" s="1"/>
      <c r="J1" s="1"/>
      <c r="O1" s="1"/>
      <c r="Z1" s="1"/>
      <c r="AK1" s="1"/>
      <c r="AV1" s="1"/>
      <c r="BG1" s="1"/>
    </row>
    <row r="2" spans="1:68" ht="15" thickBot="1" x14ac:dyDescent="0.4"/>
    <row r="3" spans="1:68" ht="21.5" thickBot="1" x14ac:dyDescent="0.55000000000000004">
      <c r="A3" s="46"/>
      <c r="B3" s="45"/>
      <c r="C3" s="45"/>
      <c r="D3" s="248"/>
      <c r="E3" s="404" t="s">
        <v>0</v>
      </c>
      <c r="F3" s="405"/>
      <c r="G3" s="405"/>
      <c r="H3" s="405"/>
      <c r="I3" s="405"/>
      <c r="J3" s="405"/>
      <c r="K3" s="405"/>
      <c r="L3" s="405"/>
      <c r="M3" s="405"/>
      <c r="N3" s="406"/>
      <c r="O3" s="45"/>
      <c r="P3" s="404" t="s">
        <v>217</v>
      </c>
      <c r="Q3" s="405"/>
      <c r="R3" s="405"/>
      <c r="S3" s="405"/>
      <c r="T3" s="405"/>
      <c r="U3" s="405"/>
      <c r="V3" s="405"/>
      <c r="W3" s="405"/>
      <c r="X3" s="405"/>
      <c r="Y3" s="406"/>
      <c r="Z3" s="45"/>
      <c r="AA3" s="404" t="s">
        <v>220</v>
      </c>
      <c r="AB3" s="405"/>
      <c r="AC3" s="405"/>
      <c r="AD3" s="405"/>
      <c r="AE3" s="405"/>
      <c r="AF3" s="405"/>
      <c r="AG3" s="405"/>
      <c r="AH3" s="405"/>
      <c r="AI3" s="405"/>
      <c r="AJ3" s="406"/>
      <c r="AK3" s="45"/>
      <c r="AL3" s="404" t="s">
        <v>223</v>
      </c>
      <c r="AM3" s="405"/>
      <c r="AN3" s="405"/>
      <c r="AO3" s="405"/>
      <c r="AP3" s="405"/>
      <c r="AQ3" s="405"/>
      <c r="AR3" s="405"/>
      <c r="AS3" s="405"/>
      <c r="AT3" s="405"/>
      <c r="AU3" s="406"/>
      <c r="AV3" s="45"/>
      <c r="AW3" s="404" t="s">
        <v>231</v>
      </c>
      <c r="AX3" s="405"/>
      <c r="AY3" s="405"/>
      <c r="AZ3" s="405"/>
      <c r="BA3" s="405"/>
      <c r="BB3" s="405"/>
      <c r="BC3" s="405"/>
      <c r="BD3" s="405"/>
      <c r="BE3" s="405"/>
      <c r="BF3" s="406"/>
      <c r="BG3" s="45"/>
      <c r="BH3" s="404" t="s">
        <v>237</v>
      </c>
      <c r="BI3" s="405"/>
      <c r="BJ3" s="405"/>
      <c r="BK3" s="405"/>
      <c r="BL3" s="405"/>
      <c r="BM3" s="405"/>
      <c r="BN3" s="405"/>
      <c r="BO3" s="406"/>
    </row>
    <row r="4" spans="1:68" ht="15" customHeight="1" thickBot="1" x14ac:dyDescent="0.4">
      <c r="A4" s="232" t="str">
        <f>Mon!A4</f>
        <v>Semester</v>
      </c>
      <c r="B4" s="97">
        <f>Mon!B4</f>
        <v>0</v>
      </c>
      <c r="C4" s="233" t="str">
        <f>Mon!C4</f>
        <v>Section</v>
      </c>
      <c r="D4" s="249">
        <f>Mon!D4</f>
        <v>0</v>
      </c>
      <c r="E4" s="418" t="str">
        <f>Mon!E4</f>
        <v>8:30-9:20</v>
      </c>
      <c r="F4" s="419"/>
      <c r="G4" s="419" t="str">
        <f>Mon!G4</f>
        <v>9:30-10:20</v>
      </c>
      <c r="H4" s="419">
        <f>Mon!H4</f>
        <v>0</v>
      </c>
      <c r="I4" s="419" t="str">
        <f>Mon!I4</f>
        <v>10:20-10:50</v>
      </c>
      <c r="J4" s="419">
        <f>Mon!J4</f>
        <v>0</v>
      </c>
      <c r="K4" s="419" t="str">
        <f>Mon!K4</f>
        <v>10:50-11:40</v>
      </c>
      <c r="L4" s="419">
        <f>Mon!L4</f>
        <v>0</v>
      </c>
      <c r="M4" s="419" t="str">
        <f>Mon!M4</f>
        <v>11:50-12:40</v>
      </c>
      <c r="N4" s="422">
        <f>Mon!N4</f>
        <v>0</v>
      </c>
      <c r="O4" s="241" t="s">
        <v>27</v>
      </c>
      <c r="P4" s="418" t="str">
        <f>Tue!E4</f>
        <v>8:30-9:20</v>
      </c>
      <c r="Q4" s="419">
        <f>Tue!F4</f>
        <v>0</v>
      </c>
      <c r="R4" s="419" t="str">
        <f>Tue!G4</f>
        <v>9:30-10:20</v>
      </c>
      <c r="S4" s="419">
        <f>Tue!H4</f>
        <v>0</v>
      </c>
      <c r="T4" s="419" t="str">
        <f>Tue!I4</f>
        <v>10:20-10:50</v>
      </c>
      <c r="U4" s="419">
        <f>Tue!J4</f>
        <v>0</v>
      </c>
      <c r="V4" s="419" t="s">
        <v>523</v>
      </c>
      <c r="W4" s="419">
        <v>0</v>
      </c>
      <c r="X4" s="419" t="s">
        <v>524</v>
      </c>
      <c r="Y4" s="422">
        <v>0</v>
      </c>
      <c r="Z4" s="241" t="s">
        <v>27</v>
      </c>
      <c r="AA4" s="418" t="str">
        <f>Wed!E4</f>
        <v>8:30-9:20</v>
      </c>
      <c r="AB4" s="419">
        <f>Wed!F4</f>
        <v>0</v>
      </c>
      <c r="AC4" s="419" t="str">
        <f>Wed!G4</f>
        <v>9:30-10:20</v>
      </c>
      <c r="AD4" s="419">
        <f>Wed!H4</f>
        <v>0</v>
      </c>
      <c r="AE4" s="419" t="str">
        <f>Wed!I4</f>
        <v>10:20-10:50</v>
      </c>
      <c r="AF4" s="419">
        <f>Wed!J4</f>
        <v>0</v>
      </c>
      <c r="AG4" s="419" t="str">
        <f>Wed!K4</f>
        <v>10:50-11:40</v>
      </c>
      <c r="AH4" s="419">
        <f>Wed!L4</f>
        <v>0</v>
      </c>
      <c r="AI4" s="419" t="str">
        <f>Wed!M4</f>
        <v>11:50-12:40</v>
      </c>
      <c r="AJ4" s="422">
        <f>Wed!N4</f>
        <v>0</v>
      </c>
      <c r="AK4" s="241" t="s">
        <v>27</v>
      </c>
      <c r="AL4" s="418" t="str">
        <f>Thur!E4</f>
        <v>8:30-9:20</v>
      </c>
      <c r="AM4" s="419">
        <f>Thur!F4</f>
        <v>0</v>
      </c>
      <c r="AN4" s="419" t="str">
        <f>Thur!G4</f>
        <v>9:30-10:20</v>
      </c>
      <c r="AO4" s="419">
        <f>Thur!H4</f>
        <v>0</v>
      </c>
      <c r="AP4" s="419" t="str">
        <f>Thur!I4</f>
        <v>10:20-10:50</v>
      </c>
      <c r="AQ4" s="419">
        <f>Thur!J4</f>
        <v>0</v>
      </c>
      <c r="AR4" s="419" t="str">
        <f>Thur!K4</f>
        <v>10:50-11:40</v>
      </c>
      <c r="AS4" s="419">
        <f>Thur!L4</f>
        <v>0</v>
      </c>
      <c r="AT4" s="419" t="str">
        <f>Thur!M4</f>
        <v>11:50-12:40</v>
      </c>
      <c r="AU4" s="422">
        <f>Thur!N4</f>
        <v>0</v>
      </c>
      <c r="AV4" s="241" t="s">
        <v>27</v>
      </c>
      <c r="AW4" s="418" t="str">
        <f>Fri!E4</f>
        <v>8:30-9:20</v>
      </c>
      <c r="AX4" s="419">
        <f>Fri!F4</f>
        <v>0</v>
      </c>
      <c r="AY4" s="419" t="str">
        <f>Fri!G4</f>
        <v>9:30-10:20</v>
      </c>
      <c r="AZ4" s="419">
        <f>Fri!H4</f>
        <v>0</v>
      </c>
      <c r="BA4" s="419" t="str">
        <f>Fri!I4</f>
        <v>10:20-10:50</v>
      </c>
      <c r="BB4" s="419">
        <f>Fri!J4</f>
        <v>0</v>
      </c>
      <c r="BC4" s="419" t="str">
        <f>Fri!K4</f>
        <v>10:50-11:40</v>
      </c>
      <c r="BD4" s="419">
        <f>Fri!L4</f>
        <v>0</v>
      </c>
      <c r="BE4" s="419" t="str">
        <f>Fri!M4</f>
        <v>11:50-12:40</v>
      </c>
      <c r="BF4" s="422">
        <f>Fri!N4</f>
        <v>0</v>
      </c>
      <c r="BG4" s="257" t="s">
        <v>27</v>
      </c>
      <c r="BH4" s="418" t="str">
        <f>Sat!E4</f>
        <v>8:30-9:20</v>
      </c>
      <c r="BI4" s="419">
        <f>Sat!F4</f>
        <v>0</v>
      </c>
      <c r="BJ4" s="419" t="str">
        <f>Sat!G4</f>
        <v>9:30-10:20</v>
      </c>
      <c r="BK4" s="419">
        <f>Sat!H4</f>
        <v>0</v>
      </c>
      <c r="BL4" s="419" t="str">
        <f>Sat!I4</f>
        <v>10:20-10:50</v>
      </c>
      <c r="BM4" s="419">
        <f>Sat!J4</f>
        <v>0</v>
      </c>
      <c r="BN4" s="419" t="str">
        <f>Sat!K4</f>
        <v>10:50-11:40</v>
      </c>
      <c r="BO4" s="422">
        <f>Sat!L4</f>
        <v>0</v>
      </c>
      <c r="BP4">
        <f>Sat!M4</f>
        <v>0</v>
      </c>
    </row>
    <row r="5" spans="1:68" x14ac:dyDescent="0.35">
      <c r="A5" s="408">
        <f>Mon!A5</f>
        <v>5</v>
      </c>
      <c r="B5" s="230" t="str">
        <f>Mon!B5</f>
        <v>F+ECOM</v>
      </c>
      <c r="C5" s="231" t="str">
        <f>Mon!C5</f>
        <v>A</v>
      </c>
      <c r="D5" s="250">
        <f>Mon!D5</f>
        <v>0</v>
      </c>
      <c r="E5" s="42" t="str">
        <f>Mon!E5</f>
        <v>MA</v>
      </c>
      <c r="F5" s="92" t="str">
        <f>Mon!F5</f>
        <v>(KR)</v>
      </c>
      <c r="G5" s="33" t="str">
        <f>Mon!G5</f>
        <v>FMS</v>
      </c>
      <c r="H5" s="92" t="str">
        <f>Mon!H5</f>
        <v>(SUN)</v>
      </c>
      <c r="I5" s="412" t="s">
        <v>143</v>
      </c>
      <c r="J5" s="413"/>
      <c r="K5" s="33" t="str">
        <f>Mon!K5</f>
        <v>AA</v>
      </c>
      <c r="L5" s="93" t="str">
        <f>Mon!L5</f>
        <v>(SUP)</v>
      </c>
      <c r="M5" s="222" t="str">
        <f>Mon!M5</f>
        <v>IT</v>
      </c>
      <c r="N5" s="223" t="str">
        <f>Mon!N5</f>
        <v>(SRN)</v>
      </c>
      <c r="O5" s="242" t="s">
        <v>41</v>
      </c>
      <c r="P5" s="42" t="str">
        <f>Tue!E5</f>
        <v>IB</v>
      </c>
      <c r="Q5" s="92" t="str">
        <f>Tue!F5</f>
        <v>(AV)</v>
      </c>
      <c r="R5" s="33" t="str">
        <f>Tue!G5</f>
        <v>IT</v>
      </c>
      <c r="S5" s="92" t="str">
        <f>Tue!H5</f>
        <v>(SRN)</v>
      </c>
      <c r="T5" s="412" t="s">
        <v>143</v>
      </c>
      <c r="U5" s="413"/>
      <c r="V5" s="33" t="str">
        <f>Tue!K5</f>
        <v>IF</v>
      </c>
      <c r="W5" s="93" t="str">
        <f>Tue!L5</f>
        <v>(VAR)</v>
      </c>
      <c r="X5" s="222" t="str">
        <f>Tue!M5</f>
        <v>AA</v>
      </c>
      <c r="Y5" s="223" t="str">
        <f>Tue!N5</f>
        <v>(SUP)</v>
      </c>
      <c r="Z5" s="242" t="s">
        <v>41</v>
      </c>
      <c r="AA5" s="42" t="str">
        <f>Wed!E5</f>
        <v>IB</v>
      </c>
      <c r="AB5" s="92" t="str">
        <f>Wed!F5</f>
        <v>(AV)</v>
      </c>
      <c r="AC5" s="33" t="str">
        <f>Wed!G5</f>
        <v>IF</v>
      </c>
      <c r="AD5" s="92" t="str">
        <f>Wed!H5</f>
        <v>(VAR)</v>
      </c>
      <c r="AE5" s="412" t="s">
        <v>143</v>
      </c>
      <c r="AF5" s="413"/>
      <c r="AG5" s="33" t="str">
        <f>Wed!K5</f>
        <v>ECOM</v>
      </c>
      <c r="AH5" s="93" t="str">
        <f>Wed!L5</f>
        <v>(AW)</v>
      </c>
      <c r="AI5" s="222" t="str">
        <f>Wed!M5</f>
        <v>MA</v>
      </c>
      <c r="AJ5" s="223" t="str">
        <f>Wed!N5</f>
        <v>(KR)</v>
      </c>
      <c r="AK5" s="242" t="s">
        <v>41</v>
      </c>
      <c r="AL5" s="42" t="str">
        <f>Thur!E5</f>
        <v>IT</v>
      </c>
      <c r="AM5" s="92" t="str">
        <f>Thur!F5</f>
        <v>(SRN)</v>
      </c>
      <c r="AN5" s="33" t="str">
        <f>Thur!G5</f>
        <v>AA</v>
      </c>
      <c r="AO5" s="92" t="str">
        <f>Thur!H5</f>
        <v>(SUP)</v>
      </c>
      <c r="AP5" s="412" t="s">
        <v>143</v>
      </c>
      <c r="AQ5" s="413"/>
      <c r="AR5" s="33" t="str">
        <f>Thur!K5</f>
        <v>ECOM</v>
      </c>
      <c r="AS5" s="93" t="str">
        <f>Thur!L5</f>
        <v>(AW)</v>
      </c>
      <c r="AT5" s="222" t="str">
        <f>Thur!M5</f>
        <v>FMS</v>
      </c>
      <c r="AU5" s="223" t="str">
        <f>Thur!N5</f>
        <v>(SUN)</v>
      </c>
      <c r="AV5" s="242" t="s">
        <v>41</v>
      </c>
      <c r="AW5" s="42" t="str">
        <f>Fri!E5</f>
        <v>MA</v>
      </c>
      <c r="AX5" s="92" t="str">
        <f>Fri!F5</f>
        <v>(KR)</v>
      </c>
      <c r="AY5" s="33" t="str">
        <f>Fri!G5</f>
        <v>IT</v>
      </c>
      <c r="AZ5" s="92" t="str">
        <f>Fri!H5</f>
        <v>(SRN)</v>
      </c>
      <c r="BA5" s="412" t="s">
        <v>143</v>
      </c>
      <c r="BB5" s="413"/>
      <c r="BC5" s="33" t="str">
        <f>Fri!K5</f>
        <v>ECOM</v>
      </c>
      <c r="BD5" s="93" t="str">
        <f>Fri!L5</f>
        <v>(AW)</v>
      </c>
      <c r="BE5" s="222" t="str">
        <f>Fri!M5</f>
        <v>FMS</v>
      </c>
      <c r="BF5" s="223" t="str">
        <f>Fri!N5</f>
        <v>(SUN)</v>
      </c>
      <c r="BG5" s="258" t="s">
        <v>41</v>
      </c>
      <c r="BH5" s="42" t="str">
        <f>Sat!E5</f>
        <v>IT</v>
      </c>
      <c r="BI5" s="92" t="str">
        <f>Sat!F5</f>
        <v>(SRN)</v>
      </c>
      <c r="BJ5" s="33" t="str">
        <f>Sat!G5</f>
        <v>MA</v>
      </c>
      <c r="BK5" s="92" t="str">
        <f>Sat!H5</f>
        <v>(KR)</v>
      </c>
      <c r="BL5" s="412" t="str">
        <f>Sat!I5</f>
        <v>Break</v>
      </c>
      <c r="BM5" s="413"/>
      <c r="BN5" s="33" t="str">
        <f>Sat!K5</f>
        <v>IF</v>
      </c>
      <c r="BO5" s="44" t="str">
        <f>Sat!L5</f>
        <v>(VAR)</v>
      </c>
      <c r="BP5">
        <f>Sat!M5</f>
        <v>0</v>
      </c>
    </row>
    <row r="6" spans="1:68" x14ac:dyDescent="0.35">
      <c r="A6" s="408"/>
      <c r="B6" s="17" t="str">
        <f>Mon!B6</f>
        <v>F+ECOM</v>
      </c>
      <c r="C6" s="244" t="str">
        <f>Mon!C6</f>
        <v>B</v>
      </c>
      <c r="D6" s="251">
        <f>Mon!D6</f>
        <v>0</v>
      </c>
      <c r="E6" s="40" t="str">
        <f>Mon!E6</f>
        <v>IF</v>
      </c>
      <c r="F6" s="7" t="str">
        <f>Mon!F6</f>
        <v>(SRN)</v>
      </c>
      <c r="G6" s="6" t="str">
        <f>Mon!G6</f>
        <v>ECOM</v>
      </c>
      <c r="H6" s="7" t="str">
        <f>Mon!H6</f>
        <v>(SR)</v>
      </c>
      <c r="I6" s="412"/>
      <c r="J6" s="413"/>
      <c r="K6" s="6" t="str">
        <f>Mon!K6</f>
        <v>IT</v>
      </c>
      <c r="L6" s="11" t="str">
        <f>Mon!L6</f>
        <v>(UK)</v>
      </c>
      <c r="M6" s="39" t="str">
        <f>Mon!M6</f>
        <v>FMS</v>
      </c>
      <c r="N6" s="43" t="str">
        <f>Mon!N6</f>
        <v>(MS)</v>
      </c>
      <c r="O6" s="221" t="s">
        <v>49</v>
      </c>
      <c r="P6" s="40" t="str">
        <f>Tue!E6</f>
        <v>IB</v>
      </c>
      <c r="Q6" s="7" t="str">
        <f>Tue!F6</f>
        <v>(KM)</v>
      </c>
      <c r="R6" s="6" t="str">
        <f>Tue!G6</f>
        <v>MA</v>
      </c>
      <c r="S6" s="7" t="str">
        <f>Tue!H6</f>
        <v>(TK)</v>
      </c>
      <c r="T6" s="412" t="s">
        <v>143</v>
      </c>
      <c r="U6" s="413"/>
      <c r="V6" s="6" t="str">
        <f>Tue!K6</f>
        <v>IT</v>
      </c>
      <c r="W6" s="11" t="str">
        <f>Tue!L6</f>
        <v>(UK)</v>
      </c>
      <c r="X6" s="39" t="str">
        <f>Tue!M6</f>
        <v>ECOM</v>
      </c>
      <c r="Y6" s="43" t="str">
        <f>Tue!N6</f>
        <v>(SR)</v>
      </c>
      <c r="Z6" s="221" t="s">
        <v>49</v>
      </c>
      <c r="AA6" s="40" t="str">
        <f>Wed!E6</f>
        <v>IF</v>
      </c>
      <c r="AB6" s="7" t="str">
        <f>Wed!F6</f>
        <v>(SRN)</v>
      </c>
      <c r="AC6" s="6" t="str">
        <f>Wed!G6</f>
        <v>FMS</v>
      </c>
      <c r="AD6" s="7" t="str">
        <f>Wed!H6</f>
        <v>(MS)</v>
      </c>
      <c r="AE6" s="412" t="s">
        <v>143</v>
      </c>
      <c r="AF6" s="413"/>
      <c r="AG6" s="6" t="str">
        <f>Wed!K6</f>
        <v>AA</v>
      </c>
      <c r="AH6" s="11" t="str">
        <f>Wed!L6</f>
        <v>(VAR)</v>
      </c>
      <c r="AI6" s="39" t="str">
        <f>Wed!M6</f>
        <v>MA</v>
      </c>
      <c r="AJ6" s="43" t="str">
        <f>Wed!N6</f>
        <v>(TK)</v>
      </c>
      <c r="AK6" s="221" t="s">
        <v>49</v>
      </c>
      <c r="AL6" s="40" t="str">
        <f>Thur!E6</f>
        <v>AA</v>
      </c>
      <c r="AM6" s="7" t="str">
        <f>Thur!F6</f>
        <v>(VAR)</v>
      </c>
      <c r="AN6" s="6" t="str">
        <f>Thur!G6</f>
        <v>ECOM</v>
      </c>
      <c r="AO6" s="7" t="str">
        <f>Thur!H6</f>
        <v>(SR)</v>
      </c>
      <c r="AP6" s="412" t="s">
        <v>143</v>
      </c>
      <c r="AQ6" s="413"/>
      <c r="AR6" s="6" t="str">
        <f>Thur!K6</f>
        <v>IB</v>
      </c>
      <c r="AS6" s="11" t="str">
        <f>Thur!L6</f>
        <v>(KM)</v>
      </c>
      <c r="AT6" s="39" t="str">
        <f>Thur!M6</f>
        <v>MA</v>
      </c>
      <c r="AU6" s="43" t="str">
        <f>Thur!N6</f>
        <v>(TK)</v>
      </c>
      <c r="AV6" s="221" t="s">
        <v>49</v>
      </c>
      <c r="AW6" s="40" t="str">
        <f>Fri!E6</f>
        <v>FMS</v>
      </c>
      <c r="AX6" s="7" t="str">
        <f>Fri!F6</f>
        <v>(MS)</v>
      </c>
      <c r="AY6" s="6" t="str">
        <f>Fri!G6</f>
        <v>IB</v>
      </c>
      <c r="AZ6" s="7" t="str">
        <f>Fri!H6</f>
        <v>(KM)</v>
      </c>
      <c r="BA6" s="412" t="s">
        <v>143</v>
      </c>
      <c r="BB6" s="413"/>
      <c r="BC6" s="6" t="str">
        <f>Fri!K6</f>
        <v>AA</v>
      </c>
      <c r="BD6" s="11" t="str">
        <f>Fri!L6</f>
        <v>(VAR)</v>
      </c>
      <c r="BE6" s="39" t="str">
        <f>Fri!M6</f>
        <v>IT</v>
      </c>
      <c r="BF6" s="43" t="str">
        <f>Fri!N6</f>
        <v>(UK)</v>
      </c>
      <c r="BG6" s="259" t="s">
        <v>49</v>
      </c>
      <c r="BH6" s="40" t="str">
        <f>Sat!E6</f>
        <v>IT</v>
      </c>
      <c r="BI6" s="7" t="str">
        <f>Sat!F6</f>
        <v>(UK)</v>
      </c>
      <c r="BJ6" s="6" t="str">
        <f>Sat!G6</f>
        <v>IF</v>
      </c>
      <c r="BK6" s="7" t="str">
        <f>Sat!H6</f>
        <v>(SRN)</v>
      </c>
      <c r="BL6" s="412">
        <f>Sat!I6</f>
        <v>0</v>
      </c>
      <c r="BM6" s="413"/>
      <c r="BN6" s="6" t="str">
        <f>Sat!K6</f>
        <v>MA</v>
      </c>
      <c r="BO6" s="41" t="str">
        <f>Sat!L6</f>
        <v>(TK)</v>
      </c>
      <c r="BP6">
        <f>Sat!M6</f>
        <v>0</v>
      </c>
    </row>
    <row r="7" spans="1:68" x14ac:dyDescent="0.35">
      <c r="A7" s="408"/>
      <c r="B7" s="17" t="str">
        <f>Mon!B7</f>
        <v>F+ECOM</v>
      </c>
      <c r="C7" s="244" t="str">
        <f>Mon!C7</f>
        <v>C</v>
      </c>
      <c r="D7" s="251">
        <f>Mon!D7</f>
        <v>0</v>
      </c>
      <c r="E7" s="40" t="str">
        <f>Mon!E7</f>
        <v>ECOM</v>
      </c>
      <c r="F7" s="7" t="str">
        <f>Mon!F7</f>
        <v>(AW)</v>
      </c>
      <c r="G7" s="6" t="str">
        <f>Mon!G7</f>
        <v>MA</v>
      </c>
      <c r="H7" s="7" t="str">
        <f>Mon!H7</f>
        <v>(RG)</v>
      </c>
      <c r="I7" s="412"/>
      <c r="J7" s="413"/>
      <c r="K7" s="6" t="str">
        <f>Mon!K7</f>
        <v>IF</v>
      </c>
      <c r="L7" s="11" t="str">
        <f>Mon!L7</f>
        <v>(VAR)</v>
      </c>
      <c r="M7" s="39" t="str">
        <f>Mon!M7</f>
        <v>IB</v>
      </c>
      <c r="N7" s="43" t="str">
        <f>Mon!N7</f>
        <v>(SUN)</v>
      </c>
      <c r="O7" s="221" t="s">
        <v>55</v>
      </c>
      <c r="P7" s="40" t="str">
        <f>Tue!E7</f>
        <v>ECOM</v>
      </c>
      <c r="Q7" s="7" t="str">
        <f>Tue!F7</f>
        <v>(AW)</v>
      </c>
      <c r="R7" s="6" t="str">
        <f>Tue!G7</f>
        <v>AA</v>
      </c>
      <c r="S7" s="7" t="str">
        <f>Tue!H7</f>
        <v>(MS)</v>
      </c>
      <c r="T7" s="412" t="s">
        <v>143</v>
      </c>
      <c r="U7" s="413"/>
      <c r="V7" s="6" t="str">
        <f>Tue!K7</f>
        <v>IT</v>
      </c>
      <c r="W7" s="11" t="str">
        <f>Tue!L7</f>
        <v>(SUP)</v>
      </c>
      <c r="X7" s="39" t="str">
        <f>Tue!M7</f>
        <v>FMS</v>
      </c>
      <c r="Y7" s="43" t="str">
        <f>Tue!N7</f>
        <v>(NG)</v>
      </c>
      <c r="Z7" s="221" t="s">
        <v>55</v>
      </c>
      <c r="AA7" s="40" t="str">
        <f>Wed!E7</f>
        <v>IF</v>
      </c>
      <c r="AB7" s="7" t="str">
        <f>Wed!F7</f>
        <v>(VAR)</v>
      </c>
      <c r="AC7" s="6" t="str">
        <f>Wed!G7</f>
        <v>MA</v>
      </c>
      <c r="AD7" s="7" t="str">
        <f>Wed!H7</f>
        <v>(RG)</v>
      </c>
      <c r="AE7" s="412" t="s">
        <v>143</v>
      </c>
      <c r="AF7" s="413"/>
      <c r="AG7" s="6" t="str">
        <f>Wed!K7</f>
        <v>AA</v>
      </c>
      <c r="AH7" s="11" t="str">
        <f>Wed!L7</f>
        <v>(MS)</v>
      </c>
      <c r="AI7" s="39" t="str">
        <f>Wed!M7</f>
        <v>IT</v>
      </c>
      <c r="AJ7" s="43" t="str">
        <f>Wed!N7</f>
        <v>(SUP)</v>
      </c>
      <c r="AK7" s="221" t="s">
        <v>55</v>
      </c>
      <c r="AL7" s="40" t="str">
        <f>Thur!E7</f>
        <v>IB</v>
      </c>
      <c r="AM7" s="7" t="str">
        <f>Thur!F7</f>
        <v>(SUN)</v>
      </c>
      <c r="AN7" s="6" t="str">
        <f>Thur!G7</f>
        <v>AA</v>
      </c>
      <c r="AO7" s="7" t="str">
        <f>Thur!H7</f>
        <v>(MS)</v>
      </c>
      <c r="AP7" s="412" t="s">
        <v>143</v>
      </c>
      <c r="AQ7" s="413"/>
      <c r="AR7" s="6" t="str">
        <f>Thur!K7</f>
        <v>FMS</v>
      </c>
      <c r="AS7" s="11" t="str">
        <f>Thur!L7</f>
        <v>(NG)</v>
      </c>
      <c r="AT7" s="39" t="str">
        <f>Thur!M7</f>
        <v>IF</v>
      </c>
      <c r="AU7" s="43" t="str">
        <f>Thur!N7</f>
        <v>(VAR)</v>
      </c>
      <c r="AV7" s="221" t="s">
        <v>55</v>
      </c>
      <c r="AW7" s="40" t="str">
        <f>Fri!E7</f>
        <v>MA</v>
      </c>
      <c r="AX7" s="7" t="str">
        <f>Fri!F7</f>
        <v>(RG)</v>
      </c>
      <c r="AY7" s="6" t="str">
        <f>Fri!G7</f>
        <v>IT</v>
      </c>
      <c r="AZ7" s="7" t="str">
        <f>Fri!H7</f>
        <v>(SUP)</v>
      </c>
      <c r="BA7" s="412" t="s">
        <v>143</v>
      </c>
      <c r="BB7" s="413"/>
      <c r="BC7" s="6" t="str">
        <f>Fri!K7</f>
        <v>FMS</v>
      </c>
      <c r="BD7" s="11" t="str">
        <f>Fri!L7</f>
        <v>(NG)</v>
      </c>
      <c r="BE7" s="39" t="str">
        <f>Fri!M7</f>
        <v>ECOM</v>
      </c>
      <c r="BF7" s="43" t="str">
        <f>Fri!N7</f>
        <v>(AW)</v>
      </c>
      <c r="BG7" s="259" t="s">
        <v>55</v>
      </c>
      <c r="BH7" s="40" t="str">
        <f>Sat!E7</f>
        <v>MA</v>
      </c>
      <c r="BI7" s="7" t="str">
        <f>Sat!F7</f>
        <v>(RG)</v>
      </c>
      <c r="BJ7" s="6" t="str">
        <f>Sat!G7</f>
        <v>IB</v>
      </c>
      <c r="BK7" s="7" t="str">
        <f>Sat!H7</f>
        <v>(SUN)</v>
      </c>
      <c r="BL7" s="412">
        <f>Sat!I7</f>
        <v>0</v>
      </c>
      <c r="BM7" s="413"/>
      <c r="BN7" s="6" t="str">
        <f>Sat!K7</f>
        <v>IT</v>
      </c>
      <c r="BO7" s="41" t="str">
        <f>Sat!L7</f>
        <v>(SUP)</v>
      </c>
      <c r="BP7">
        <f>Sat!M7</f>
        <v>0</v>
      </c>
    </row>
    <row r="8" spans="1:68" x14ac:dyDescent="0.35">
      <c r="A8" s="408"/>
      <c r="B8" s="17" t="str">
        <f>Mon!B8</f>
        <v>F+ECOM</v>
      </c>
      <c r="C8" s="244" t="str">
        <f>Mon!C8</f>
        <v>D</v>
      </c>
      <c r="D8" s="251">
        <f>Mon!D8</f>
        <v>0</v>
      </c>
      <c r="E8" s="40" t="str">
        <f>Mon!E8</f>
        <v>FMS</v>
      </c>
      <c r="F8" s="7" t="str">
        <f>Mon!F8</f>
        <v>(SUN)</v>
      </c>
      <c r="G8" s="6" t="str">
        <f>Mon!G8</f>
        <v>IT</v>
      </c>
      <c r="H8" s="7" t="str">
        <f>Mon!H8</f>
        <v>(SRN)</v>
      </c>
      <c r="I8" s="412"/>
      <c r="J8" s="413"/>
      <c r="K8" s="6" t="str">
        <f>Mon!K8</f>
        <v>MA</v>
      </c>
      <c r="L8" s="11" t="str">
        <f>Mon!L8</f>
        <v>(MEG)</v>
      </c>
      <c r="M8" s="39" t="str">
        <f>Mon!M8</f>
        <v>AA</v>
      </c>
      <c r="N8" s="43" t="str">
        <f>Mon!N8</f>
        <v>(SUP)</v>
      </c>
      <c r="O8" s="221" t="s">
        <v>37</v>
      </c>
      <c r="P8" s="40" t="str">
        <f>Tue!E8</f>
        <v>IT</v>
      </c>
      <c r="Q8" s="7" t="str">
        <f>Tue!F8</f>
        <v>(SRN)</v>
      </c>
      <c r="R8" s="6" t="str">
        <f>Tue!G8</f>
        <v>ECOM</v>
      </c>
      <c r="S8" s="7" t="str">
        <f>Tue!H8</f>
        <v>(SR)</v>
      </c>
      <c r="T8" s="412" t="s">
        <v>143</v>
      </c>
      <c r="U8" s="413"/>
      <c r="V8" s="6" t="str">
        <f>Tue!K8</f>
        <v>FMS</v>
      </c>
      <c r="W8" s="11" t="str">
        <f>Tue!L8</f>
        <v>(SUN)</v>
      </c>
      <c r="X8" s="39" t="str">
        <f>Tue!M8</f>
        <v>IF</v>
      </c>
      <c r="Y8" s="43" t="str">
        <f>Tue!N8</f>
        <v>(VAR)</v>
      </c>
      <c r="Z8" s="221" t="s">
        <v>37</v>
      </c>
      <c r="AA8" s="40" t="str">
        <f>Wed!E8</f>
        <v>AA</v>
      </c>
      <c r="AB8" s="7" t="str">
        <f>Wed!F8</f>
        <v>(SUP)</v>
      </c>
      <c r="AC8" s="6" t="str">
        <f>Wed!G8</f>
        <v>FMS</v>
      </c>
      <c r="AD8" s="7" t="str">
        <f>Wed!H8</f>
        <v>(SUN)</v>
      </c>
      <c r="AE8" s="412" t="s">
        <v>143</v>
      </c>
      <c r="AF8" s="413"/>
      <c r="AG8" s="6" t="str">
        <f>Wed!K8</f>
        <v>IT</v>
      </c>
      <c r="AH8" s="11" t="str">
        <f>Wed!L8</f>
        <v>(SRN)</v>
      </c>
      <c r="AI8" s="39" t="str">
        <f>Wed!M8</f>
        <v>MA</v>
      </c>
      <c r="AJ8" s="43" t="str">
        <f>Wed!N8</f>
        <v>(MEG)</v>
      </c>
      <c r="AK8" s="221" t="s">
        <v>37</v>
      </c>
      <c r="AL8" s="40" t="str">
        <f>Thur!E8</f>
        <v>IB</v>
      </c>
      <c r="AM8" s="7" t="str">
        <f>Thur!F8</f>
        <v>(YL)</v>
      </c>
      <c r="AN8" s="6" t="str">
        <f>Thur!G8</f>
        <v>IF</v>
      </c>
      <c r="AO8" s="7" t="str">
        <f>Thur!H8</f>
        <v>(VAR)</v>
      </c>
      <c r="AP8" s="412" t="s">
        <v>143</v>
      </c>
      <c r="AQ8" s="413"/>
      <c r="AR8" s="6" t="str">
        <f>Thur!K8</f>
        <v>MA</v>
      </c>
      <c r="AS8" s="11" t="str">
        <f>Thur!L8</f>
        <v>(MEG)</v>
      </c>
      <c r="AT8" s="39" t="str">
        <f>Thur!M8</f>
        <v>ECOM</v>
      </c>
      <c r="AU8" s="43" t="str">
        <f>Thur!N8</f>
        <v>(SR)</v>
      </c>
      <c r="AV8" s="221" t="s">
        <v>37</v>
      </c>
      <c r="AW8" s="40" t="str">
        <f>Fri!E8</f>
        <v>IB</v>
      </c>
      <c r="AX8" s="7" t="str">
        <f>Fri!F8</f>
        <v>(YL)</v>
      </c>
      <c r="AY8" s="6" t="str">
        <f>Fri!G8</f>
        <v>IF</v>
      </c>
      <c r="AZ8" s="7" t="str">
        <f>Fri!H8</f>
        <v>(VAR)</v>
      </c>
      <c r="BA8" s="412" t="s">
        <v>143</v>
      </c>
      <c r="BB8" s="413"/>
      <c r="BC8" s="6" t="str">
        <f>Fri!K8</f>
        <v>IT</v>
      </c>
      <c r="BD8" s="11" t="str">
        <f>Fri!L8</f>
        <v>(SRN)</v>
      </c>
      <c r="BE8" s="39" t="str">
        <f>Fri!M8</f>
        <v>AA</v>
      </c>
      <c r="BF8" s="43" t="str">
        <f>Fri!N8</f>
        <v>(SUP)</v>
      </c>
      <c r="BG8" s="259" t="s">
        <v>37</v>
      </c>
      <c r="BH8" s="40" t="str">
        <f>Sat!E8</f>
        <v>ECOM</v>
      </c>
      <c r="BI8" s="7" t="str">
        <f>Sat!F8</f>
        <v>(SR)</v>
      </c>
      <c r="BJ8" s="6" t="str">
        <f>Sat!G8</f>
        <v>IB</v>
      </c>
      <c r="BK8" s="7" t="str">
        <f>Sat!H8</f>
        <v>(YL)</v>
      </c>
      <c r="BL8" s="412">
        <f>Sat!I8</f>
        <v>0</v>
      </c>
      <c r="BM8" s="413"/>
      <c r="BN8" s="6" t="str">
        <f>Sat!K8</f>
        <v>MA</v>
      </c>
      <c r="BO8" s="41" t="str">
        <f>Sat!L8</f>
        <v>(MEG)</v>
      </c>
      <c r="BP8">
        <f>Sat!M8</f>
        <v>0</v>
      </c>
    </row>
    <row r="9" spans="1:68" ht="25.5" customHeight="1" x14ac:dyDescent="0.35">
      <c r="A9" s="408"/>
      <c r="B9" s="17" t="str">
        <f>Mon!B9</f>
        <v>F+ECOM</v>
      </c>
      <c r="C9" s="244" t="str">
        <f>Mon!C9</f>
        <v>E</v>
      </c>
      <c r="D9" s="251">
        <f>Mon!D9</f>
        <v>0</v>
      </c>
      <c r="E9" s="40" t="str">
        <f>Mon!E9</f>
        <v>IT</v>
      </c>
      <c r="F9" s="7" t="str">
        <f>Mon!F9</f>
        <v>(AD)</v>
      </c>
      <c r="G9" s="6" t="str">
        <f>Mon!G9</f>
        <v>MA</v>
      </c>
      <c r="H9" s="7" t="str">
        <f>Mon!H9</f>
        <v>(KR)</v>
      </c>
      <c r="I9" s="412"/>
      <c r="J9" s="413"/>
      <c r="K9" s="6" t="str">
        <f>Mon!K9</f>
        <v>ECOM</v>
      </c>
      <c r="L9" s="11" t="str">
        <f>Mon!L9</f>
        <v>(DT)</v>
      </c>
      <c r="M9" s="39" t="str">
        <f>Mon!M9</f>
        <v>IB</v>
      </c>
      <c r="N9" s="43" t="str">
        <f>Mon!N9</f>
        <v>(EC)</v>
      </c>
      <c r="O9" s="221" t="s">
        <v>38</v>
      </c>
      <c r="P9" s="40" t="str">
        <f>Tue!E9</f>
        <v>MA</v>
      </c>
      <c r="Q9" s="7" t="str">
        <f>Tue!F9</f>
        <v>(KR)</v>
      </c>
      <c r="R9" s="6" t="str">
        <f>Tue!G9</f>
        <v>AA</v>
      </c>
      <c r="S9" s="7" t="str">
        <f>Tue!H9</f>
        <v>(SUP)</v>
      </c>
      <c r="T9" s="412" t="s">
        <v>143</v>
      </c>
      <c r="U9" s="413"/>
      <c r="V9" s="6" t="str">
        <f>Tue!K9</f>
        <v>FMS</v>
      </c>
      <c r="W9" s="11" t="str">
        <f>Tue!L9</f>
        <v>(MS)</v>
      </c>
      <c r="X9" s="39" t="str">
        <f>Tue!M9</f>
        <v>ECOM</v>
      </c>
      <c r="Y9" s="43" t="str">
        <f>Tue!N9</f>
        <v>(DT)</v>
      </c>
      <c r="Z9" s="221" t="s">
        <v>38</v>
      </c>
      <c r="AA9" s="40" t="str">
        <f>Wed!E9</f>
        <v>MA</v>
      </c>
      <c r="AB9" s="7" t="str">
        <f>Wed!F9</f>
        <v>(KR)</v>
      </c>
      <c r="AC9" s="6" t="str">
        <f>Wed!G9</f>
        <v>IT</v>
      </c>
      <c r="AD9" s="7" t="str">
        <f>Wed!H9</f>
        <v>(AD)</v>
      </c>
      <c r="AE9" s="412" t="s">
        <v>143</v>
      </c>
      <c r="AF9" s="413"/>
      <c r="AG9" s="6" t="str">
        <f>Wed!K9</f>
        <v>AA</v>
      </c>
      <c r="AH9" s="11" t="str">
        <f>Wed!L9</f>
        <v>(SUP)</v>
      </c>
      <c r="AI9" s="39" t="str">
        <f>Wed!M9</f>
        <v>IB</v>
      </c>
      <c r="AJ9" s="43" t="str">
        <f>Wed!N9</f>
        <v>(EC)</v>
      </c>
      <c r="AK9" s="221" t="s">
        <v>38</v>
      </c>
      <c r="AL9" s="40" t="str">
        <f>Thur!E9</f>
        <v>ECOM</v>
      </c>
      <c r="AM9" s="7" t="str">
        <f>Thur!F9</f>
        <v>(DT)</v>
      </c>
      <c r="AN9" s="6" t="str">
        <f>Thur!G9</f>
        <v>IF</v>
      </c>
      <c r="AO9" s="7" t="str">
        <f>Thur!H9</f>
        <v>(SRN)</v>
      </c>
      <c r="AP9" s="412" t="s">
        <v>143</v>
      </c>
      <c r="AQ9" s="413"/>
      <c r="AR9" s="6" t="str">
        <f>Thur!K9</f>
        <v>FMS</v>
      </c>
      <c r="AS9" s="11" t="str">
        <f>Thur!L9</f>
        <v>(SUN)</v>
      </c>
      <c r="AT9" s="39" t="str">
        <f>Thur!M9</f>
        <v>MA</v>
      </c>
      <c r="AU9" s="43" t="str">
        <f>Thur!N9</f>
        <v>(KR)</v>
      </c>
      <c r="AV9" s="221" t="s">
        <v>38</v>
      </c>
      <c r="AW9" s="40" t="str">
        <f>Fri!E9</f>
        <v>AA</v>
      </c>
      <c r="AX9" s="7" t="str">
        <f>Fri!F9</f>
        <v>(SUP)</v>
      </c>
      <c r="AY9" s="6" t="str">
        <f>Fri!G9</f>
        <v>IT</v>
      </c>
      <c r="AZ9" s="7" t="str">
        <f>Fri!H9</f>
        <v>(AD)</v>
      </c>
      <c r="BA9" s="412" t="s">
        <v>143</v>
      </c>
      <c r="BB9" s="413"/>
      <c r="BC9" s="6" t="str">
        <f>Fri!K9</f>
        <v>IB</v>
      </c>
      <c r="BD9" s="11" t="str">
        <f>Fri!L9</f>
        <v>(EC)</v>
      </c>
      <c r="BE9" s="39" t="str">
        <f>Fri!M9</f>
        <v>IF</v>
      </c>
      <c r="BF9" s="43" t="str">
        <f>Fri!N9</f>
        <v>(SRN)</v>
      </c>
      <c r="BG9" s="259" t="s">
        <v>38</v>
      </c>
      <c r="BH9" s="40" t="str">
        <f>Sat!E9</f>
        <v>FMS</v>
      </c>
      <c r="BI9" s="7" t="str">
        <f>Sat!F9</f>
        <v>(MS)</v>
      </c>
      <c r="BJ9" s="6" t="str">
        <f>Sat!G9</f>
        <v>IT</v>
      </c>
      <c r="BK9" s="7" t="str">
        <f>Sat!H9</f>
        <v>(AD)</v>
      </c>
      <c r="BL9" s="412">
        <f>Sat!I9</f>
        <v>0</v>
      </c>
      <c r="BM9" s="413"/>
      <c r="BN9" s="6" t="str">
        <f>Sat!K9</f>
        <v>IF</v>
      </c>
      <c r="BO9" s="41" t="str">
        <f>Sat!L9</f>
        <v>(SRN)</v>
      </c>
      <c r="BP9">
        <f>Sat!M9</f>
        <v>0</v>
      </c>
    </row>
    <row r="10" spans="1:68" x14ac:dyDescent="0.35">
      <c r="A10" s="408"/>
      <c r="B10" s="17" t="str">
        <f>Mon!B10</f>
        <v>F+PR</v>
      </c>
      <c r="C10" s="244" t="str">
        <f>Mon!C10</f>
        <v>F</v>
      </c>
      <c r="D10" s="251">
        <f>Mon!D10</f>
        <v>0</v>
      </c>
      <c r="E10" s="40" t="str">
        <f>Mon!E10</f>
        <v>AA</v>
      </c>
      <c r="F10" s="7" t="str">
        <f>Mon!F10</f>
        <v>(MS)</v>
      </c>
      <c r="G10" s="6" t="str">
        <f>Mon!G10</f>
        <v>IT</v>
      </c>
      <c r="H10" s="7" t="str">
        <f>Mon!H10</f>
        <v>(UK)</v>
      </c>
      <c r="I10" s="412"/>
      <c r="J10" s="413"/>
      <c r="K10" s="6" t="str">
        <f>Mon!K10</f>
        <v>FMS</v>
      </c>
      <c r="L10" s="11" t="str">
        <f>Mon!L10</f>
        <v>(NG)</v>
      </c>
      <c r="M10" s="39" t="str">
        <f>Mon!M10</f>
        <v>IF</v>
      </c>
      <c r="N10" s="43" t="str">
        <f>Mon!N10</f>
        <v>(VAR)</v>
      </c>
      <c r="O10" s="221" t="s">
        <v>65</v>
      </c>
      <c r="P10" s="40" t="str">
        <f>Tue!E10</f>
        <v>IB</v>
      </c>
      <c r="Q10" s="7" t="str">
        <f>Tue!F10</f>
        <v>(YL)</v>
      </c>
      <c r="R10" s="6" t="str">
        <f>Tue!G10</f>
        <v>PR</v>
      </c>
      <c r="S10" s="7" t="str">
        <f>Tue!H10</f>
        <v>(SP)</v>
      </c>
      <c r="T10" s="412" t="s">
        <v>143</v>
      </c>
      <c r="U10" s="413"/>
      <c r="V10" s="6" t="str">
        <f>Tue!K10</f>
        <v>FMS</v>
      </c>
      <c r="W10" s="11" t="str">
        <f>Tue!L10</f>
        <v>(NG)</v>
      </c>
      <c r="X10" s="39" t="str">
        <f>Tue!M10</f>
        <v>MA</v>
      </c>
      <c r="Y10" s="43" t="str">
        <f>Tue!N10</f>
        <v>(PM)</v>
      </c>
      <c r="Z10" s="221" t="s">
        <v>65</v>
      </c>
      <c r="AA10" s="40" t="str">
        <f>Wed!E10</f>
        <v>PR</v>
      </c>
      <c r="AB10" s="7" t="str">
        <f>Wed!F10</f>
        <v>(SP)</v>
      </c>
      <c r="AC10" s="6" t="str">
        <f>Wed!G10</f>
        <v>IB</v>
      </c>
      <c r="AD10" s="7" t="str">
        <f>Wed!H10</f>
        <v>(YL)</v>
      </c>
      <c r="AE10" s="412" t="s">
        <v>143</v>
      </c>
      <c r="AF10" s="413"/>
      <c r="AG10" s="6" t="str">
        <f>Wed!K10</f>
        <v>IT</v>
      </c>
      <c r="AH10" s="11" t="str">
        <f>Wed!L10</f>
        <v>(UK)</v>
      </c>
      <c r="AI10" s="39" t="str">
        <f>Wed!M10</f>
        <v>FMS</v>
      </c>
      <c r="AJ10" s="43" t="str">
        <f>Wed!N10</f>
        <v>(NG)</v>
      </c>
      <c r="AK10" s="221" t="s">
        <v>65</v>
      </c>
      <c r="AL10" s="40" t="str">
        <f>Thur!E10</f>
        <v>AA</v>
      </c>
      <c r="AM10" s="7" t="str">
        <f>Thur!F10</f>
        <v>(MS)</v>
      </c>
      <c r="AN10" s="6" t="str">
        <f>Thur!G10</f>
        <v>MA</v>
      </c>
      <c r="AO10" s="7" t="str">
        <f>Thur!H10</f>
        <v>(PM)</v>
      </c>
      <c r="AP10" s="412" t="s">
        <v>143</v>
      </c>
      <c r="AQ10" s="413"/>
      <c r="AR10" s="6" t="str">
        <f>Thur!K10</f>
        <v>IB</v>
      </c>
      <c r="AS10" s="11" t="str">
        <f>Thur!L10</f>
        <v>(YL)</v>
      </c>
      <c r="AT10" s="39" t="str">
        <f>Thur!M10</f>
        <v>IT</v>
      </c>
      <c r="AU10" s="43" t="str">
        <f>Thur!N10</f>
        <v>(UK)</v>
      </c>
      <c r="AV10" s="221" t="s">
        <v>65</v>
      </c>
      <c r="AW10" s="40" t="str">
        <f>Fri!E10</f>
        <v>IT</v>
      </c>
      <c r="AX10" s="7" t="str">
        <f>Fri!F10</f>
        <v>(UK)</v>
      </c>
      <c r="AY10" s="6" t="str">
        <f>Fri!G10</f>
        <v>MA</v>
      </c>
      <c r="AZ10" s="7" t="str">
        <f>Fri!H10</f>
        <v>(PM)</v>
      </c>
      <c r="BA10" s="412" t="s">
        <v>143</v>
      </c>
      <c r="BB10" s="413"/>
      <c r="BC10" s="6" t="str">
        <f>Fri!K10</f>
        <v>AA</v>
      </c>
      <c r="BD10" s="11" t="str">
        <f>Fri!L10</f>
        <v>(MS)</v>
      </c>
      <c r="BE10" s="39" t="str">
        <f>Fri!M10</f>
        <v>IF</v>
      </c>
      <c r="BF10" s="43" t="str">
        <f>Fri!N10</f>
        <v>(VAR)</v>
      </c>
      <c r="BG10" s="259" t="s">
        <v>65</v>
      </c>
      <c r="BH10" s="40" t="str">
        <f>Sat!E10</f>
        <v>PR</v>
      </c>
      <c r="BI10" s="7" t="str">
        <f>Sat!F10</f>
        <v>(SP)</v>
      </c>
      <c r="BJ10" s="6" t="str">
        <f>Sat!G10</f>
        <v>IF</v>
      </c>
      <c r="BK10" s="7" t="str">
        <f>Sat!H10</f>
        <v>(VAR)</v>
      </c>
      <c r="BL10" s="412">
        <f>Sat!I10</f>
        <v>0</v>
      </c>
      <c r="BM10" s="413"/>
      <c r="BN10" s="6" t="str">
        <f>Sat!K10</f>
        <v>MA</v>
      </c>
      <c r="BO10" s="41" t="str">
        <f>Sat!L10</f>
        <v>(PM)</v>
      </c>
      <c r="BP10">
        <f>Sat!M10</f>
        <v>0</v>
      </c>
    </row>
    <row r="11" spans="1:68" x14ac:dyDescent="0.35">
      <c r="A11" s="408"/>
      <c r="B11" s="17" t="str">
        <f>Mon!B11</f>
        <v>MKG+ECOM</v>
      </c>
      <c r="C11" s="244" t="str">
        <f>Mon!C11</f>
        <v>G</v>
      </c>
      <c r="D11" s="251">
        <f>Mon!D11</f>
        <v>0</v>
      </c>
      <c r="E11" s="40" t="str">
        <f>Mon!E11</f>
        <v>MIP</v>
      </c>
      <c r="F11" s="7" t="str">
        <f>Mon!F11</f>
        <v>(DT)</v>
      </c>
      <c r="G11" s="6" t="str">
        <f>Mon!G11</f>
        <v>MA</v>
      </c>
      <c r="H11" s="7" t="str">
        <f>Mon!H11</f>
        <v>(NG)</v>
      </c>
      <c r="I11" s="412"/>
      <c r="J11" s="413"/>
      <c r="K11" s="6" t="str">
        <f>Mon!K11</f>
        <v>ECOM</v>
      </c>
      <c r="L11" s="11" t="str">
        <f>Mon!L11</f>
        <v>(SR)</v>
      </c>
      <c r="M11" s="39" t="str">
        <f>Mon!M11</f>
        <v>CB</v>
      </c>
      <c r="N11" s="43" t="str">
        <f>Mon!N11</f>
        <v>(KM)</v>
      </c>
      <c r="O11" s="221" t="s">
        <v>69</v>
      </c>
      <c r="P11" s="40" t="str">
        <f>Tue!E11</f>
        <v>IT</v>
      </c>
      <c r="Q11" s="7" t="str">
        <f>Tue!F11</f>
        <v>(UK)</v>
      </c>
      <c r="R11" s="6" t="str">
        <f>Tue!G11</f>
        <v>RM</v>
      </c>
      <c r="S11" s="7" t="str">
        <f>Tue!H11</f>
        <v>(LK)</v>
      </c>
      <c r="T11" s="412" t="s">
        <v>143</v>
      </c>
      <c r="U11" s="413"/>
      <c r="V11" s="6" t="str">
        <f>Tue!K11</f>
        <v>ECOM</v>
      </c>
      <c r="W11" s="11" t="str">
        <f>Tue!L11</f>
        <v>(SR)</v>
      </c>
      <c r="X11" s="39" t="str">
        <f>Tue!M11</f>
        <v>IB</v>
      </c>
      <c r="Y11" s="43" t="str">
        <f>Tue!N11</f>
        <v>(EC)</v>
      </c>
      <c r="Z11" s="221" t="s">
        <v>69</v>
      </c>
      <c r="AA11" s="40" t="str">
        <f>Wed!E11</f>
        <v>MIP</v>
      </c>
      <c r="AB11" s="7" t="str">
        <f>Wed!F11</f>
        <v>(DT)</v>
      </c>
      <c r="AC11" s="6" t="str">
        <f>Wed!G11</f>
        <v>IT</v>
      </c>
      <c r="AD11" s="7" t="str">
        <f>Wed!H11</f>
        <v>(UK)</v>
      </c>
      <c r="AE11" s="412" t="s">
        <v>143</v>
      </c>
      <c r="AF11" s="413"/>
      <c r="AG11" s="6" t="str">
        <f>Wed!K11</f>
        <v>MA</v>
      </c>
      <c r="AH11" s="11" t="str">
        <f>Wed!L11</f>
        <v>(NG)</v>
      </c>
      <c r="AI11" s="39" t="str">
        <f>Wed!M11</f>
        <v>RM</v>
      </c>
      <c r="AJ11" s="43" t="str">
        <f>Wed!N11</f>
        <v>(LK)</v>
      </c>
      <c r="AK11" s="221" t="s">
        <v>69</v>
      </c>
      <c r="AL11" s="40" t="str">
        <f>Thur!E11</f>
        <v>IT</v>
      </c>
      <c r="AM11" s="7" t="str">
        <f>Thur!F11</f>
        <v>(UK)</v>
      </c>
      <c r="AN11" s="6" t="str">
        <f>Thur!G11</f>
        <v>IB</v>
      </c>
      <c r="AO11" s="7" t="str">
        <f>Thur!H11</f>
        <v>(EC)</v>
      </c>
      <c r="AP11" s="412" t="s">
        <v>143</v>
      </c>
      <c r="AQ11" s="413"/>
      <c r="AR11" s="6" t="str">
        <f>Thur!K11</f>
        <v>RM</v>
      </c>
      <c r="AS11" s="11" t="str">
        <f>Thur!L11</f>
        <v>(LK)</v>
      </c>
      <c r="AT11" s="39" t="str">
        <f>Thur!M11</f>
        <v>MA</v>
      </c>
      <c r="AU11" s="43" t="str">
        <f>Thur!N11</f>
        <v>(NG)</v>
      </c>
      <c r="AV11" s="221" t="s">
        <v>69</v>
      </c>
      <c r="AW11" s="40" t="str">
        <f>Fri!E11</f>
        <v>MIP</v>
      </c>
      <c r="AX11" s="7" t="str">
        <f>Fri!F11</f>
        <v>(DT)</v>
      </c>
      <c r="AY11" s="6" t="str">
        <f>Fri!G11</f>
        <v>IB</v>
      </c>
      <c r="AZ11" s="7" t="str">
        <f>Fri!H11</f>
        <v>(EC)</v>
      </c>
      <c r="BA11" s="412" t="s">
        <v>143</v>
      </c>
      <c r="BB11" s="413"/>
      <c r="BC11" s="6" t="str">
        <f>Fri!K11</f>
        <v>ECOM</v>
      </c>
      <c r="BD11" s="11" t="str">
        <f>Fri!L11</f>
        <v>(SR)</v>
      </c>
      <c r="BE11" s="39" t="str">
        <f>Fri!M11</f>
        <v>CB</v>
      </c>
      <c r="BF11" s="43" t="str">
        <f>Fri!N11</f>
        <v>(KM)</v>
      </c>
      <c r="BG11" s="259" t="s">
        <v>69</v>
      </c>
      <c r="BH11" s="40" t="str">
        <f>Sat!E11</f>
        <v>MA</v>
      </c>
      <c r="BI11" s="7" t="str">
        <f>Sat!F11</f>
        <v>(NG)</v>
      </c>
      <c r="BJ11" s="6" t="str">
        <f>Sat!G11</f>
        <v>CB</v>
      </c>
      <c r="BK11" s="7" t="str">
        <f>Sat!H11</f>
        <v>(KM)</v>
      </c>
      <c r="BL11" s="412">
        <f>Sat!I11</f>
        <v>0</v>
      </c>
      <c r="BM11" s="413"/>
      <c r="BN11" s="6" t="str">
        <f>Sat!K11</f>
        <v>IT</v>
      </c>
      <c r="BO11" s="41" t="str">
        <f>Sat!L11</f>
        <v>(UK)</v>
      </c>
      <c r="BP11">
        <f>Sat!M11</f>
        <v>0</v>
      </c>
    </row>
    <row r="12" spans="1:68" ht="25.5" customHeight="1" x14ac:dyDescent="0.35">
      <c r="A12" s="408"/>
      <c r="B12" s="17" t="str">
        <f>Mon!B12</f>
        <v>MKG+ECOM</v>
      </c>
      <c r="C12" s="244" t="str">
        <f>Mon!C12</f>
        <v>H</v>
      </c>
      <c r="D12" s="251">
        <f>Mon!D12</f>
        <v>0</v>
      </c>
      <c r="E12" s="40" t="str">
        <f>Mon!E12</f>
        <v>ECOM</v>
      </c>
      <c r="F12" s="7" t="str">
        <f>Mon!F12</f>
        <v>(SR)</v>
      </c>
      <c r="G12" s="6" t="str">
        <f>Mon!G12</f>
        <v>MIP</v>
      </c>
      <c r="H12" s="7" t="str">
        <f>Mon!H12</f>
        <v>(LK)</v>
      </c>
      <c r="I12" s="412"/>
      <c r="J12" s="413"/>
      <c r="K12" s="6" t="str">
        <f>Mon!K12</f>
        <v>IT</v>
      </c>
      <c r="L12" s="11" t="str">
        <f>Mon!L12</f>
        <v>(SRN)</v>
      </c>
      <c r="M12" s="39" t="str">
        <f>Mon!M12</f>
        <v>CB</v>
      </c>
      <c r="N12" s="43" t="str">
        <f>Mon!N12</f>
        <v>(SRS)</v>
      </c>
      <c r="O12" s="221" t="s">
        <v>72</v>
      </c>
      <c r="P12" s="40" t="str">
        <f>Tue!E12</f>
        <v>IB</v>
      </c>
      <c r="Q12" s="7" t="str">
        <f>Tue!F12</f>
        <v>(SUN)</v>
      </c>
      <c r="R12" s="6" t="str">
        <f>Tue!G12</f>
        <v>RM</v>
      </c>
      <c r="S12" s="7" t="str">
        <f>Tue!H12</f>
        <v>(VRL)</v>
      </c>
      <c r="T12" s="412" t="s">
        <v>143</v>
      </c>
      <c r="U12" s="413"/>
      <c r="V12" s="6" t="str">
        <f>Tue!K12</f>
        <v>IT</v>
      </c>
      <c r="W12" s="11" t="str">
        <f>Tue!L12</f>
        <v>(SRN)</v>
      </c>
      <c r="X12" s="39" t="str">
        <f>Tue!M12</f>
        <v>MA</v>
      </c>
      <c r="Y12" s="43" t="str">
        <f>Tue!N12</f>
        <v>(KR)</v>
      </c>
      <c r="Z12" s="221" t="s">
        <v>72</v>
      </c>
      <c r="AA12" s="40" t="str">
        <f>Wed!E12</f>
        <v>IB</v>
      </c>
      <c r="AB12" s="7" t="str">
        <f>Wed!F12</f>
        <v>(SUN)</v>
      </c>
      <c r="AC12" s="6" t="str">
        <f>Wed!G12</f>
        <v>CB</v>
      </c>
      <c r="AD12" s="7" t="str">
        <f>Wed!H12</f>
        <v>(SRS)</v>
      </c>
      <c r="AE12" s="412" t="s">
        <v>143</v>
      </c>
      <c r="AF12" s="413"/>
      <c r="AG12" s="6" t="str">
        <f>Wed!K12</f>
        <v>ECOM</v>
      </c>
      <c r="AH12" s="11" t="str">
        <f>Wed!L12</f>
        <v>(SR)</v>
      </c>
      <c r="AI12" s="39" t="str">
        <f>Wed!M12</f>
        <v>IT</v>
      </c>
      <c r="AJ12" s="43" t="str">
        <f>Wed!N12</f>
        <v>(SRN)</v>
      </c>
      <c r="AK12" s="221" t="s">
        <v>72</v>
      </c>
      <c r="AL12" s="40" t="str">
        <f>Thur!E12</f>
        <v>MA</v>
      </c>
      <c r="AM12" s="7" t="str">
        <f>Thur!F12</f>
        <v>(KR)</v>
      </c>
      <c r="AN12" s="6" t="str">
        <f>Thur!G12</f>
        <v>CB</v>
      </c>
      <c r="AO12" s="7" t="str">
        <f>Thur!H12</f>
        <v>(SRS)</v>
      </c>
      <c r="AP12" s="412" t="s">
        <v>143</v>
      </c>
      <c r="AQ12" s="413"/>
      <c r="AR12" s="6" t="str">
        <f>Thur!K12</f>
        <v>IT</v>
      </c>
      <c r="AS12" s="11" t="str">
        <f>Thur!L12</f>
        <v>(SRN)</v>
      </c>
      <c r="AT12" s="39" t="str">
        <f>Thur!M12</f>
        <v>MIP</v>
      </c>
      <c r="AU12" s="43" t="str">
        <f>Thur!N12</f>
        <v>(LK)</v>
      </c>
      <c r="AV12" s="221" t="s">
        <v>72</v>
      </c>
      <c r="AW12" s="40" t="str">
        <f>Fri!E12</f>
        <v>IB</v>
      </c>
      <c r="AX12" s="7" t="str">
        <f>Fri!F12</f>
        <v>(SUN)</v>
      </c>
      <c r="AY12" s="6" t="str">
        <f>Fri!G12</f>
        <v>ECOM</v>
      </c>
      <c r="AZ12" s="7" t="str">
        <f>Fri!H12</f>
        <v>(SR)</v>
      </c>
      <c r="BA12" s="412" t="s">
        <v>143</v>
      </c>
      <c r="BB12" s="413"/>
      <c r="BC12" s="6" t="str">
        <f>Fri!K12</f>
        <v>MA</v>
      </c>
      <c r="BD12" s="11" t="str">
        <f>Fri!L12</f>
        <v>(RG)</v>
      </c>
      <c r="BE12" s="39" t="str">
        <f>Fri!M12</f>
        <v>RM</v>
      </c>
      <c r="BF12" s="43" t="str">
        <f>Fri!N12</f>
        <v>(VRL)</v>
      </c>
      <c r="BG12" s="259" t="s">
        <v>72</v>
      </c>
      <c r="BH12" s="40" t="str">
        <f>Sat!E12</f>
        <v>MIP</v>
      </c>
      <c r="BI12" s="7" t="str">
        <f>Sat!F12</f>
        <v>(LK)</v>
      </c>
      <c r="BJ12" s="6" t="str">
        <f>Sat!G12</f>
        <v>MA</v>
      </c>
      <c r="BK12" s="7" t="str">
        <f>Sat!H12</f>
        <v>(RG)</v>
      </c>
      <c r="BL12" s="412">
        <f>Sat!I12</f>
        <v>0</v>
      </c>
      <c r="BM12" s="413"/>
      <c r="BN12" s="6" t="str">
        <f>Sat!K12</f>
        <v>RM</v>
      </c>
      <c r="BO12" s="41" t="str">
        <f>Sat!L12</f>
        <v>(VRL)</v>
      </c>
      <c r="BP12">
        <f>Sat!M12</f>
        <v>0</v>
      </c>
    </row>
    <row r="13" spans="1:68" x14ac:dyDescent="0.35">
      <c r="A13" s="408"/>
      <c r="B13" s="17" t="str">
        <f>Mon!B13</f>
        <v>MKG+ECOM</v>
      </c>
      <c r="C13" s="244" t="str">
        <f>Mon!C13</f>
        <v>I</v>
      </c>
      <c r="D13" s="251">
        <f>Mon!D13</f>
        <v>0</v>
      </c>
      <c r="E13" s="40" t="str">
        <f>Mon!E13</f>
        <v>MA</v>
      </c>
      <c r="F13" s="7" t="str">
        <f>Mon!F13</f>
        <v>(NG)</v>
      </c>
      <c r="G13" s="6" t="str">
        <f>Mon!G13</f>
        <v>IT</v>
      </c>
      <c r="H13" s="7" t="str">
        <f>Mon!H13</f>
        <v>(SUP)</v>
      </c>
      <c r="I13" s="412"/>
      <c r="J13" s="413"/>
      <c r="K13" s="6" t="str">
        <f>Mon!K13</f>
        <v>MIP</v>
      </c>
      <c r="L13" s="11" t="str">
        <f>Mon!L13</f>
        <v>(LK)</v>
      </c>
      <c r="M13" s="39" t="str">
        <f>Mon!M13</f>
        <v>RM</v>
      </c>
      <c r="N13" s="43" t="str">
        <f>Mon!N13</f>
        <v>(AD)</v>
      </c>
      <c r="O13" s="221" t="s">
        <v>76</v>
      </c>
      <c r="P13" s="40" t="str">
        <f>Tue!E13</f>
        <v>MIP</v>
      </c>
      <c r="Q13" s="7" t="str">
        <f>Tue!F13</f>
        <v>(LK)</v>
      </c>
      <c r="R13" s="6" t="str">
        <f>Tue!G13</f>
        <v>IB</v>
      </c>
      <c r="S13" s="7" t="str">
        <f>Tue!H13</f>
        <v>(AV)</v>
      </c>
      <c r="T13" s="412" t="s">
        <v>143</v>
      </c>
      <c r="U13" s="413"/>
      <c r="V13" s="6" t="str">
        <f>Tue!K13</f>
        <v>ECOM</v>
      </c>
      <c r="W13" s="11" t="str">
        <f>Tue!L13</f>
        <v>(DT)</v>
      </c>
      <c r="X13" s="39" t="str">
        <f>Tue!M13</f>
        <v>CB</v>
      </c>
      <c r="Y13" s="43" t="str">
        <f>Tue!N13</f>
        <v>(KM)</v>
      </c>
      <c r="Z13" s="221" t="s">
        <v>76</v>
      </c>
      <c r="AA13" s="40" t="str">
        <f>Wed!E13</f>
        <v>MA</v>
      </c>
      <c r="AB13" s="7" t="str">
        <f>Wed!F13</f>
        <v>(NG)</v>
      </c>
      <c r="AC13" s="6" t="str">
        <f>Wed!G13</f>
        <v>ECOM</v>
      </c>
      <c r="AD13" s="7" t="str">
        <f>Wed!H13</f>
        <v>(DT)</v>
      </c>
      <c r="AE13" s="412" t="s">
        <v>143</v>
      </c>
      <c r="AF13" s="413"/>
      <c r="AG13" s="6" t="str">
        <f>Wed!K13</f>
        <v>RM</v>
      </c>
      <c r="AH13" s="11" t="str">
        <f>Wed!L13</f>
        <v>(AD)</v>
      </c>
      <c r="AI13" s="39" t="str">
        <f>Wed!M13</f>
        <v>CB</v>
      </c>
      <c r="AJ13" s="43" t="str">
        <f>Wed!N13</f>
        <v>(KM)</v>
      </c>
      <c r="AK13" s="221" t="s">
        <v>76</v>
      </c>
      <c r="AL13" s="40" t="str">
        <f>Thur!E13</f>
        <v>MA</v>
      </c>
      <c r="AM13" s="7" t="str">
        <f>Thur!F13</f>
        <v>(NG)</v>
      </c>
      <c r="AN13" s="6" t="str">
        <f>Thur!G13</f>
        <v>IB</v>
      </c>
      <c r="AO13" s="7" t="str">
        <f>Thur!H13</f>
        <v>(AV)</v>
      </c>
      <c r="AP13" s="412" t="s">
        <v>143</v>
      </c>
      <c r="AQ13" s="413"/>
      <c r="AR13" s="6" t="str">
        <f>Thur!K13</f>
        <v>IT</v>
      </c>
      <c r="AS13" s="11" t="str">
        <f>Thur!L13</f>
        <v>(SUP)</v>
      </c>
      <c r="AT13" s="39" t="str">
        <f>Thur!M13</f>
        <v>ECOM</v>
      </c>
      <c r="AU13" s="43" t="str">
        <f>Thur!N13</f>
        <v>(DT)</v>
      </c>
      <c r="AV13" s="221" t="s">
        <v>76</v>
      </c>
      <c r="AW13" s="40" t="str">
        <f>Fri!E13</f>
        <v>IB</v>
      </c>
      <c r="AX13" s="7" t="str">
        <f>Fri!F13</f>
        <v>(AV)</v>
      </c>
      <c r="AY13" s="6" t="str">
        <f>Fri!G13</f>
        <v>MA</v>
      </c>
      <c r="AZ13" s="7" t="str">
        <f>Fri!H13</f>
        <v>(NG)</v>
      </c>
      <c r="BA13" s="412" t="s">
        <v>143</v>
      </c>
      <c r="BB13" s="413"/>
      <c r="BC13" s="6" t="str">
        <f>Fri!K13</f>
        <v>IT</v>
      </c>
      <c r="BD13" s="11" t="str">
        <f>Fri!L13</f>
        <v>(SUP)</v>
      </c>
      <c r="BE13" s="39" t="str">
        <f>Fri!M13</f>
        <v>RM</v>
      </c>
      <c r="BF13" s="43" t="str">
        <f>Fri!N13</f>
        <v>(AD)</v>
      </c>
      <c r="BG13" s="259" t="s">
        <v>76</v>
      </c>
      <c r="BH13" s="40" t="str">
        <f>Sat!E13</f>
        <v>CB</v>
      </c>
      <c r="BI13" s="7" t="str">
        <f>Sat!F13</f>
        <v>(KM)</v>
      </c>
      <c r="BJ13" s="6" t="str">
        <f>Sat!G13</f>
        <v>IT</v>
      </c>
      <c r="BK13" s="7" t="str">
        <f>Sat!H13</f>
        <v>(SUP)</v>
      </c>
      <c r="BL13" s="412">
        <f>Sat!I13</f>
        <v>0</v>
      </c>
      <c r="BM13" s="413"/>
      <c r="BN13" s="6" t="str">
        <f>Sat!K13</f>
        <v>MIP</v>
      </c>
      <c r="BO13" s="41" t="str">
        <f>Sat!L13</f>
        <v>(LK)</v>
      </c>
      <c r="BP13">
        <f>Sat!M13</f>
        <v>0</v>
      </c>
    </row>
    <row r="14" spans="1:68" x14ac:dyDescent="0.35">
      <c r="A14" s="408"/>
      <c r="B14" s="17" t="str">
        <f>Mon!B14</f>
        <v>MKG+PR</v>
      </c>
      <c r="C14" s="244" t="str">
        <f>Mon!C14</f>
        <v>J</v>
      </c>
      <c r="D14" s="251">
        <f>Mon!D14</f>
        <v>0</v>
      </c>
      <c r="E14" s="40" t="str">
        <f>Mon!E14</f>
        <v>RM</v>
      </c>
      <c r="F14" s="7" t="str">
        <f>Mon!F14</f>
        <v>(LK)</v>
      </c>
      <c r="G14" s="6" t="str">
        <f>Mon!G14</f>
        <v>CB</v>
      </c>
      <c r="H14" s="7" t="str">
        <f>Mon!H14</f>
        <v>(KM)</v>
      </c>
      <c r="I14" s="412"/>
      <c r="J14" s="413"/>
      <c r="K14" s="6" t="str">
        <f>Mon!K14</f>
        <v>MIP</v>
      </c>
      <c r="L14" s="11" t="str">
        <f>Mon!L14</f>
        <v>(AV)</v>
      </c>
      <c r="M14" s="39" t="str">
        <f>Mon!M14</f>
        <v>MA</v>
      </c>
      <c r="N14" s="43" t="str">
        <f>Mon!N14</f>
        <v>(MEG)</v>
      </c>
      <c r="O14" s="221" t="s">
        <v>79</v>
      </c>
      <c r="P14" s="40" t="str">
        <f>Tue!E14</f>
        <v>IT</v>
      </c>
      <c r="Q14" s="7" t="str">
        <f>Tue!F14</f>
        <v>(AD)</v>
      </c>
      <c r="R14" s="6" t="str">
        <f>Tue!G14</f>
        <v>CB</v>
      </c>
      <c r="S14" s="7" t="str">
        <f>Tue!H14</f>
        <v>(KM)</v>
      </c>
      <c r="T14" s="412" t="s">
        <v>143</v>
      </c>
      <c r="U14" s="413"/>
      <c r="V14" s="6" t="str">
        <f>Tue!K14</f>
        <v>IB</v>
      </c>
      <c r="W14" s="11" t="str">
        <f>Tue!L14</f>
        <v>(EC)</v>
      </c>
      <c r="X14" s="39" t="str">
        <f>Tue!M14</f>
        <v>MA</v>
      </c>
      <c r="Y14" s="43" t="str">
        <f>Tue!N14</f>
        <v>(MEG)</v>
      </c>
      <c r="Z14" s="221" t="s">
        <v>79</v>
      </c>
      <c r="AA14" s="40" t="str">
        <f>Wed!E14</f>
        <v>IB</v>
      </c>
      <c r="AB14" s="7" t="str">
        <f>Wed!F14</f>
        <v>(EC)</v>
      </c>
      <c r="AC14" s="6" t="str">
        <f>Wed!G14</f>
        <v>RM</v>
      </c>
      <c r="AD14" s="7" t="str">
        <f>Wed!H14</f>
        <v>(LK)</v>
      </c>
      <c r="AE14" s="412" t="s">
        <v>143</v>
      </c>
      <c r="AF14" s="413"/>
      <c r="AG14" s="6" t="str">
        <f>Wed!K14</f>
        <v>MIP</v>
      </c>
      <c r="AH14" s="11" t="str">
        <f>Wed!L14</f>
        <v>(AV)</v>
      </c>
      <c r="AI14" s="39" t="str">
        <f>Wed!M14</f>
        <v>PR</v>
      </c>
      <c r="AJ14" s="43" t="str">
        <f>Wed!N14</f>
        <v>(SR)</v>
      </c>
      <c r="AK14" s="221" t="s">
        <v>79</v>
      </c>
      <c r="AL14" s="40" t="str">
        <f>Thur!E14</f>
        <v>PR</v>
      </c>
      <c r="AM14" s="7" t="str">
        <f>Thur!F14</f>
        <v>(SR)</v>
      </c>
      <c r="AN14" s="6" t="str">
        <f>Thur!G14</f>
        <v>MA</v>
      </c>
      <c r="AO14" s="7" t="str">
        <f>Thur!H14</f>
        <v>(MEG)</v>
      </c>
      <c r="AP14" s="412" t="s">
        <v>143</v>
      </c>
      <c r="AQ14" s="413"/>
      <c r="AR14" s="6" t="str">
        <f>Thur!K14</f>
        <v>MIP</v>
      </c>
      <c r="AS14" s="11" t="str">
        <f>Thur!L14</f>
        <v>(AV)</v>
      </c>
      <c r="AT14" s="39" t="str">
        <f>Thur!M14</f>
        <v>IT</v>
      </c>
      <c r="AU14" s="43" t="str">
        <f>Thur!N14</f>
        <v>(AD)</v>
      </c>
      <c r="AV14" s="221" t="s">
        <v>79</v>
      </c>
      <c r="AW14" s="40" t="str">
        <f>Fri!E14</f>
        <v>CB</v>
      </c>
      <c r="AX14" s="7" t="str">
        <f>Fri!F14</f>
        <v>(KM)</v>
      </c>
      <c r="AY14" s="6" t="str">
        <f>Fri!G14</f>
        <v>MA</v>
      </c>
      <c r="AZ14" s="7" t="str">
        <f>Fri!H14</f>
        <v>(MEG)</v>
      </c>
      <c r="BA14" s="412" t="s">
        <v>143</v>
      </c>
      <c r="BB14" s="413"/>
      <c r="BC14" s="6" t="str">
        <f>Fri!K14</f>
        <v>IT</v>
      </c>
      <c r="BD14" s="11" t="str">
        <f>Fri!L14</f>
        <v>(AD)</v>
      </c>
      <c r="BE14" s="39" t="str">
        <f>Fri!M14</f>
        <v>RM</v>
      </c>
      <c r="BF14" s="43" t="str">
        <f>Fri!N14</f>
        <v>(LK)</v>
      </c>
      <c r="BG14" s="259" t="s">
        <v>79</v>
      </c>
      <c r="BH14" s="40" t="str">
        <f>Sat!E14</f>
        <v>IB</v>
      </c>
      <c r="BI14" s="7" t="str">
        <f>Sat!F14</f>
        <v>(EC)</v>
      </c>
      <c r="BJ14" s="6" t="str">
        <f>Sat!G14</f>
        <v>PR</v>
      </c>
      <c r="BK14" s="7" t="str">
        <f>Sat!H14</f>
        <v>(SR)</v>
      </c>
      <c r="BL14" s="412">
        <f>Sat!I14</f>
        <v>0</v>
      </c>
      <c r="BM14" s="413"/>
      <c r="BN14" s="6" t="str">
        <f>Sat!K14</f>
        <v>IT</v>
      </c>
      <c r="BO14" s="41" t="str">
        <f>Sat!L14</f>
        <v>(AD)</v>
      </c>
      <c r="BP14">
        <f>Sat!M14</f>
        <v>0</v>
      </c>
    </row>
    <row r="15" spans="1:68" x14ac:dyDescent="0.35">
      <c r="A15" s="408"/>
      <c r="B15" s="17" t="str">
        <f>Mon!B15</f>
        <v>MKG+ECOM+PR</v>
      </c>
      <c r="C15" s="234" t="str">
        <f>Mon!C15</f>
        <v>K</v>
      </c>
      <c r="D15" s="252">
        <f>Mon!D15</f>
        <v>0</v>
      </c>
      <c r="E15" s="235" t="str">
        <f>Mon!E15</f>
        <v>IB</v>
      </c>
      <c r="F15" s="80" t="str">
        <f>Mon!F15</f>
        <v>(EC)</v>
      </c>
      <c r="G15" s="81" t="str">
        <f>Mon!G15</f>
        <v>IT</v>
      </c>
      <c r="H15" s="80" t="str">
        <f>Mon!H15</f>
        <v>(AD)</v>
      </c>
      <c r="I15" s="412"/>
      <c r="J15" s="413"/>
      <c r="K15" s="81" t="str">
        <f>Mon!K15</f>
        <v>CB</v>
      </c>
      <c r="L15" s="86" t="str">
        <f>Mon!L15</f>
        <v>(SRS)</v>
      </c>
      <c r="M15" s="83" t="str">
        <f>Mon!M15</f>
        <v>PR</v>
      </c>
      <c r="N15" s="236" t="str">
        <f>Mon!N15</f>
        <v>(SP)</v>
      </c>
      <c r="O15" s="221" t="s">
        <v>81</v>
      </c>
      <c r="P15" s="235" t="str">
        <f>Tue!E15</f>
        <v>CB</v>
      </c>
      <c r="Q15" s="80" t="str">
        <f>Tue!F15</f>
        <v>(SRS)</v>
      </c>
      <c r="R15" s="81" t="str">
        <f>Tue!G15</f>
        <v>MA</v>
      </c>
      <c r="S15" s="80" t="str">
        <f>Tue!H15</f>
        <v>(NG)</v>
      </c>
      <c r="T15" s="412" t="s">
        <v>143</v>
      </c>
      <c r="U15" s="413"/>
      <c r="V15" s="81" t="str">
        <f>Tue!K15</f>
        <v>RM</v>
      </c>
      <c r="W15" s="86" t="str">
        <f>Tue!L15</f>
        <v>(LK)</v>
      </c>
      <c r="X15" s="83" t="str">
        <f>Tue!M15</f>
        <v>IT</v>
      </c>
      <c r="Y15" s="236" t="str">
        <f>Tue!N15</f>
        <v>(AD)</v>
      </c>
      <c r="Z15" s="221" t="s">
        <v>81</v>
      </c>
      <c r="AA15" s="235" t="str">
        <f>Wed!E15</f>
        <v>IT</v>
      </c>
      <c r="AB15" s="80" t="str">
        <f>Wed!F15</f>
        <v>(AD)</v>
      </c>
      <c r="AC15" s="81" t="str">
        <f>Wed!G15</f>
        <v>MA</v>
      </c>
      <c r="AD15" s="80" t="str">
        <f>Wed!H15</f>
        <v>(NG)</v>
      </c>
      <c r="AE15" s="412" t="s">
        <v>143</v>
      </c>
      <c r="AF15" s="413"/>
      <c r="AG15" s="81" t="str">
        <f>Wed!K15</f>
        <v>MIP</v>
      </c>
      <c r="AH15" s="86" t="str">
        <f>Wed!L15</f>
        <v>(DT)</v>
      </c>
      <c r="AI15" s="83" t="str">
        <f>Wed!M15</f>
        <v>CB</v>
      </c>
      <c r="AJ15" s="236" t="str">
        <f>Wed!N15</f>
        <v>(SRS)</v>
      </c>
      <c r="AK15" s="221" t="s">
        <v>81</v>
      </c>
      <c r="AL15" s="235" t="str">
        <f>Thur!E15</f>
        <v>RM</v>
      </c>
      <c r="AM15" s="80" t="str">
        <f>Thur!F15</f>
        <v>(LK)</v>
      </c>
      <c r="AN15" s="81" t="str">
        <f>Thur!G15</f>
        <v>PR</v>
      </c>
      <c r="AO15" s="80" t="str">
        <f>Thur!H15</f>
        <v>(SP)</v>
      </c>
      <c r="AP15" s="412" t="s">
        <v>143</v>
      </c>
      <c r="AQ15" s="413"/>
      <c r="AR15" s="81" t="str">
        <f>Thur!K15</f>
        <v>IT</v>
      </c>
      <c r="AS15" s="86" t="str">
        <f>Thur!L15</f>
        <v>(AD)</v>
      </c>
      <c r="AT15" s="83" t="str">
        <f>Thur!M15</f>
        <v>IB</v>
      </c>
      <c r="AU15" s="236" t="str">
        <f>Thur!N15</f>
        <v>(EC)</v>
      </c>
      <c r="AV15" s="221" t="s">
        <v>81</v>
      </c>
      <c r="AW15" s="235" t="str">
        <f>Fri!E15</f>
        <v>PR</v>
      </c>
      <c r="AX15" s="80" t="str">
        <f>Fri!F15</f>
        <v>(SP)</v>
      </c>
      <c r="AY15" s="81" t="str">
        <f>Fri!G15</f>
        <v>RM</v>
      </c>
      <c r="AZ15" s="80" t="str">
        <f>Fri!H15</f>
        <v>(LK)</v>
      </c>
      <c r="BA15" s="412" t="s">
        <v>143</v>
      </c>
      <c r="BB15" s="413"/>
      <c r="BC15" s="81" t="str">
        <f>Fri!K15</f>
        <v>MIP</v>
      </c>
      <c r="BD15" s="86" t="str">
        <f>Fri!L15</f>
        <v>(DT)</v>
      </c>
      <c r="BE15" s="83" t="str">
        <f>Fri!M15</f>
        <v>MA</v>
      </c>
      <c r="BF15" s="236" t="str">
        <f>Fri!N15</f>
        <v>(NG)</v>
      </c>
      <c r="BG15" s="259" t="s">
        <v>81</v>
      </c>
      <c r="BH15" s="235" t="str">
        <f>Sat!E15</f>
        <v>MIP</v>
      </c>
      <c r="BI15" s="80" t="str">
        <f>Sat!F15</f>
        <v>(DT)</v>
      </c>
      <c r="BJ15" s="81" t="str">
        <f>Sat!G15</f>
        <v>MA</v>
      </c>
      <c r="BK15" s="80" t="str">
        <f>Sat!H15</f>
        <v>(NG)</v>
      </c>
      <c r="BL15" s="412">
        <f>Sat!I15</f>
        <v>0</v>
      </c>
      <c r="BM15" s="413"/>
      <c r="BN15" s="81" t="str">
        <f>Sat!K15</f>
        <v>IB</v>
      </c>
      <c r="BO15" s="261" t="str">
        <f>Sat!L15</f>
        <v>(EC)</v>
      </c>
      <c r="BP15">
        <f>Sat!M15</f>
        <v>0</v>
      </c>
    </row>
    <row r="16" spans="1:68" ht="16.5" customHeight="1" x14ac:dyDescent="0.35">
      <c r="A16" s="416"/>
      <c r="B16" s="238" t="str">
        <f>Mon!B16</f>
        <v>HR+ED+PR+ECOM</v>
      </c>
      <c r="C16" s="420" t="str">
        <f>Mon!C16</f>
        <v>L</v>
      </c>
      <c r="D16" s="253">
        <f>Mon!D16</f>
        <v>0</v>
      </c>
      <c r="E16" s="83" t="str">
        <f>Mon!E16</f>
        <v>IB</v>
      </c>
      <c r="F16" s="84" t="str">
        <f>Mon!F16</f>
        <v>(AV)</v>
      </c>
      <c r="G16" s="83" t="str">
        <f>Mon!G16</f>
        <v>HRD</v>
      </c>
      <c r="H16" s="84" t="str">
        <f>Mon!H16</f>
        <v>(EC)</v>
      </c>
      <c r="I16" s="375"/>
      <c r="J16" s="375"/>
      <c r="K16" s="83" t="str">
        <f>Mon!K16</f>
        <v>MA</v>
      </c>
      <c r="L16" s="84" t="str">
        <f>Mon!L16</f>
        <v>(RG)</v>
      </c>
      <c r="M16" s="83" t="str">
        <f>Mon!M16</f>
        <v>ECOM</v>
      </c>
      <c r="N16" s="236" t="str">
        <f>Mon!N16</f>
        <v>(BB)</v>
      </c>
      <c r="O16" s="423" t="s">
        <v>84</v>
      </c>
      <c r="P16" s="83" t="str">
        <f>Tue!E16</f>
        <v>HRD</v>
      </c>
      <c r="Q16" s="84" t="str">
        <f>Tue!F16</f>
        <v>(EC)</v>
      </c>
      <c r="R16" s="83" t="str">
        <f>Tue!G16</f>
        <v>IT</v>
      </c>
      <c r="S16" s="84" t="str">
        <f>Tue!H16</f>
        <v>(AD)</v>
      </c>
      <c r="T16" s="375" t="s">
        <v>143</v>
      </c>
      <c r="U16" s="375"/>
      <c r="V16" s="83" t="str">
        <f>Tue!K16</f>
        <v>MA</v>
      </c>
      <c r="W16" s="84" t="str">
        <f>Tue!L16</f>
        <v>(RG)</v>
      </c>
      <c r="X16" s="83" t="str">
        <f>Tue!M16</f>
        <v>CHRM</v>
      </c>
      <c r="Y16" s="236" t="str">
        <f>Tue!N16</f>
        <v>(RT)</v>
      </c>
      <c r="Z16" s="423" t="s">
        <v>84</v>
      </c>
      <c r="AA16" s="83" t="str">
        <f>Wed!E16</f>
        <v>IHRM</v>
      </c>
      <c r="AB16" s="84" t="str">
        <f>Wed!F16</f>
        <v>(SR)</v>
      </c>
      <c r="AC16" s="83" t="str">
        <f>Wed!G16</f>
        <v>IB</v>
      </c>
      <c r="AD16" s="84" t="str">
        <f>Wed!H16</f>
        <v>(AV)</v>
      </c>
      <c r="AE16" s="375" t="s">
        <v>143</v>
      </c>
      <c r="AF16" s="375"/>
      <c r="AG16" s="83" t="str">
        <f>Wed!K16</f>
        <v>CHRM</v>
      </c>
      <c r="AH16" s="84" t="str">
        <f>Wed!L16</f>
        <v>(RT)</v>
      </c>
      <c r="AI16" s="83" t="str">
        <f>Wed!M16</f>
        <v>MA</v>
      </c>
      <c r="AJ16" s="236" t="str">
        <f>Wed!N16</f>
        <v>(RG)</v>
      </c>
      <c r="AK16" s="423" t="s">
        <v>84</v>
      </c>
      <c r="AL16" s="83" t="str">
        <f>Thur!E16</f>
        <v>IT</v>
      </c>
      <c r="AM16" s="84" t="str">
        <f>Thur!F16</f>
        <v>(AD)</v>
      </c>
      <c r="AN16" s="83" t="str">
        <f>Thur!G16</f>
        <v>MA</v>
      </c>
      <c r="AO16" s="84" t="str">
        <f>Thur!H16</f>
        <v>(RG)</v>
      </c>
      <c r="AP16" s="375" t="s">
        <v>143</v>
      </c>
      <c r="AQ16" s="375"/>
      <c r="AR16" s="83" t="str">
        <f>Thur!K16</f>
        <v>HRD</v>
      </c>
      <c r="AS16" s="84" t="str">
        <f>Thur!L16</f>
        <v>(EC)</v>
      </c>
      <c r="AT16" s="83" t="str">
        <f>Thur!M16</f>
        <v>ECOM</v>
      </c>
      <c r="AU16" s="236" t="str">
        <f>Thur!N16</f>
        <v>(BB)</v>
      </c>
      <c r="AV16" s="423" t="s">
        <v>84</v>
      </c>
      <c r="AW16" s="83" t="str">
        <f>Fri!E16</f>
        <v>IHRM</v>
      </c>
      <c r="AX16" s="84" t="str">
        <f>Fri!F16</f>
        <v>(SR)</v>
      </c>
      <c r="AY16" s="83" t="str">
        <f>Fri!G16</f>
        <v>ECOM</v>
      </c>
      <c r="AZ16" s="84" t="str">
        <f>Fri!H16</f>
        <v>(BB)</v>
      </c>
      <c r="BA16" s="375" t="s">
        <v>143</v>
      </c>
      <c r="BB16" s="375"/>
      <c r="BC16" s="83" t="str">
        <f>Fri!K16</f>
        <v>IT</v>
      </c>
      <c r="BD16" s="84" t="str">
        <f>Fri!L16</f>
        <v>(UK)</v>
      </c>
      <c r="BE16" s="83" t="str">
        <f>Fri!M16</f>
        <v>IB</v>
      </c>
      <c r="BF16" s="236" t="str">
        <f>Fri!N16</f>
        <v>(AV)</v>
      </c>
      <c r="BG16" s="425" t="s">
        <v>84</v>
      </c>
      <c r="BH16" s="262" t="str">
        <f>Sat!E16</f>
        <v>IT</v>
      </c>
      <c r="BI16" s="84" t="str">
        <f>Sat!F16</f>
        <v>(AD)</v>
      </c>
      <c r="BJ16" s="83" t="str">
        <f>Sat!G16</f>
        <v>CHRM</v>
      </c>
      <c r="BK16" s="84" t="str">
        <f>Sat!H16</f>
        <v>(RT)</v>
      </c>
      <c r="BL16" s="375">
        <f>Sat!I16</f>
        <v>0</v>
      </c>
      <c r="BM16" s="375"/>
      <c r="BN16" s="83" t="str">
        <f>Sat!K16</f>
        <v>IHRM</v>
      </c>
      <c r="BO16" s="236" t="str">
        <f>Sat!L16</f>
        <v>(SR)</v>
      </c>
      <c r="BP16">
        <f>Sat!M16</f>
        <v>0</v>
      </c>
    </row>
    <row r="17" spans="1:68" x14ac:dyDescent="0.35">
      <c r="A17" s="416"/>
      <c r="B17" s="239">
        <f>Mon!B17</f>
        <v>0</v>
      </c>
      <c r="C17" s="421"/>
      <c r="D17" s="254">
        <f>Mon!D17</f>
        <v>0</v>
      </c>
      <c r="E17" s="48" t="str">
        <f>Mon!E17</f>
        <v/>
      </c>
      <c r="F17" s="240" t="str">
        <f>Mon!F17</f>
        <v/>
      </c>
      <c r="G17" s="48" t="str">
        <f>Mon!G17</f>
        <v>EBO</v>
      </c>
      <c r="H17" s="240" t="str">
        <f>Mon!H17</f>
        <v>(DT)</v>
      </c>
      <c r="I17" s="375"/>
      <c r="J17" s="375"/>
      <c r="K17" s="48" t="str">
        <f>Mon!K17</f>
        <v/>
      </c>
      <c r="L17" s="240" t="str">
        <f>Mon!L17</f>
        <v/>
      </c>
      <c r="M17" s="48" t="str">
        <f>Mon!M17</f>
        <v>PR</v>
      </c>
      <c r="N17" s="223" t="str">
        <f>Mon!N17</f>
        <v>(SP)</v>
      </c>
      <c r="O17" s="424"/>
      <c r="P17" s="48" t="str">
        <f>Tue!E17</f>
        <v>EBO</v>
      </c>
      <c r="Q17" s="240" t="str">
        <f>Tue!F17</f>
        <v>(DT)</v>
      </c>
      <c r="R17" s="48" t="str">
        <f>Tue!G17</f>
        <v/>
      </c>
      <c r="S17" s="240" t="str">
        <f>Tue!H17</f>
        <v/>
      </c>
      <c r="T17" s="375" t="s">
        <v>143</v>
      </c>
      <c r="U17" s="375"/>
      <c r="V17" s="48" t="str">
        <f>Tue!K17</f>
        <v/>
      </c>
      <c r="W17" s="240" t="str">
        <f>Tue!L17</f>
        <v/>
      </c>
      <c r="X17" s="48" t="str">
        <f>Tue!M17</f>
        <v>LE</v>
      </c>
      <c r="Y17" s="223" t="str">
        <f>Tue!N17</f>
        <v>(LK)</v>
      </c>
      <c r="Z17" s="424"/>
      <c r="AA17" s="48" t="str">
        <f>Wed!E17</f>
        <v>ES</v>
      </c>
      <c r="AB17" s="240" t="str">
        <f>Wed!F17</f>
        <v>(ND)</v>
      </c>
      <c r="AC17" s="48" t="str">
        <f>Wed!G17</f>
        <v/>
      </c>
      <c r="AD17" s="240" t="str">
        <f>Wed!H17</f>
        <v/>
      </c>
      <c r="AE17" s="375" t="s">
        <v>143</v>
      </c>
      <c r="AF17" s="375"/>
      <c r="AG17" s="48" t="str">
        <f>Wed!K17</f>
        <v>LE</v>
      </c>
      <c r="AH17" s="240" t="str">
        <f>Wed!L17</f>
        <v>(LK)</v>
      </c>
      <c r="AI17" s="48" t="str">
        <f>Wed!M17</f>
        <v/>
      </c>
      <c r="AJ17" s="223" t="str">
        <f>Wed!N17</f>
        <v/>
      </c>
      <c r="AK17" s="424"/>
      <c r="AL17" s="48" t="str">
        <f>Thur!E17</f>
        <v/>
      </c>
      <c r="AM17" s="240" t="str">
        <f>Thur!F17</f>
        <v/>
      </c>
      <c r="AN17" s="48" t="str">
        <f>Thur!G17</f>
        <v/>
      </c>
      <c r="AO17" s="240" t="str">
        <f>Thur!H17</f>
        <v/>
      </c>
      <c r="AP17" s="375" t="s">
        <v>143</v>
      </c>
      <c r="AQ17" s="375"/>
      <c r="AR17" s="48" t="str">
        <f>Thur!K17</f>
        <v>EBO</v>
      </c>
      <c r="AS17" s="240" t="str">
        <f>Thur!L17</f>
        <v>(DT)</v>
      </c>
      <c r="AT17" s="48" t="str">
        <f>Thur!M17</f>
        <v>PR</v>
      </c>
      <c r="AU17" s="223" t="str">
        <f>Thur!N17</f>
        <v>(SP)</v>
      </c>
      <c r="AV17" s="424"/>
      <c r="AW17" s="48" t="str">
        <f>Fri!E17</f>
        <v>ES</v>
      </c>
      <c r="AX17" s="240" t="str">
        <f>Fri!F17</f>
        <v>(ND)</v>
      </c>
      <c r="AY17" s="48" t="str">
        <f>Fri!G17</f>
        <v>PR</v>
      </c>
      <c r="AZ17" s="240" t="str">
        <f>Fri!H17</f>
        <v>(SP)</v>
      </c>
      <c r="BA17" s="375" t="s">
        <v>143</v>
      </c>
      <c r="BB17" s="375"/>
      <c r="BC17" s="48" t="str">
        <f>Fri!K17</f>
        <v/>
      </c>
      <c r="BD17" s="240" t="str">
        <f>Fri!L17</f>
        <v/>
      </c>
      <c r="BE17" s="48" t="str">
        <f>Fri!M17</f>
        <v/>
      </c>
      <c r="BF17" s="223" t="str">
        <f>Fri!N17</f>
        <v/>
      </c>
      <c r="BG17" s="426"/>
      <c r="BH17" s="263" t="str">
        <f>Sat!E17</f>
        <v/>
      </c>
      <c r="BI17" s="240" t="str">
        <f>Sat!F17</f>
        <v/>
      </c>
      <c r="BJ17" s="48" t="str">
        <f>Sat!G17</f>
        <v>LE</v>
      </c>
      <c r="BK17" s="240" t="str">
        <f>Sat!H17</f>
        <v>(LK)</v>
      </c>
      <c r="BL17" s="375">
        <f>Sat!I17</f>
        <v>0</v>
      </c>
      <c r="BM17" s="375"/>
      <c r="BN17" s="48" t="str">
        <f>Sat!K17</f>
        <v>ES</v>
      </c>
      <c r="BO17" s="223" t="str">
        <f>Sat!L17</f>
        <v>(ND)</v>
      </c>
      <c r="BP17">
        <f>Sat!M18</f>
        <v>0</v>
      </c>
    </row>
    <row r="18" spans="1:68" ht="26" x14ac:dyDescent="0.35">
      <c r="A18" s="408"/>
      <c r="B18" s="230" t="str">
        <f>Mon!B18</f>
        <v>BAJ</v>
      </c>
      <c r="C18" s="231" t="str">
        <f>Mon!C18</f>
        <v>A</v>
      </c>
      <c r="D18" s="250">
        <f>Mon!D18</f>
        <v>0</v>
      </c>
      <c r="E18" s="42" t="str">
        <f>Mon!E18</f>
        <v>FS</v>
      </c>
      <c r="F18" s="92" t="str">
        <f>Mon!F18</f>
        <v>(AGK)</v>
      </c>
      <c r="G18" s="33" t="str">
        <f>Mon!G18</f>
        <v>AICS</v>
      </c>
      <c r="H18" s="92" t="str">
        <f>Mon!H18</f>
        <v>(BH)</v>
      </c>
      <c r="I18" s="412"/>
      <c r="J18" s="413"/>
      <c r="K18" s="33" t="str">
        <f>Mon!K18</f>
        <v>FMW</v>
      </c>
      <c r="L18" s="93" t="str">
        <f>Mon!L18</f>
        <v>(AGK)</v>
      </c>
      <c r="M18" s="222" t="str">
        <f>Mon!M18</f>
        <v>MGHR</v>
      </c>
      <c r="N18" s="223" t="str">
        <f>Mon!N18</f>
        <v>(SH)</v>
      </c>
      <c r="O18" s="221" t="s">
        <v>41</v>
      </c>
      <c r="P18" s="42" t="str">
        <f>Tue!E18</f>
        <v>FS</v>
      </c>
      <c r="Q18" s="92" t="str">
        <f>Tue!F18</f>
        <v>(AGK)</v>
      </c>
      <c r="R18" s="33" t="str">
        <f>Tue!G18</f>
        <v>CS</v>
      </c>
      <c r="S18" s="92">
        <f>Tue!H18</f>
        <v>0</v>
      </c>
      <c r="T18" s="412" t="s">
        <v>143</v>
      </c>
      <c r="U18" s="413"/>
      <c r="V18" s="33" t="str">
        <f>Tue!K18</f>
        <v>AICS</v>
      </c>
      <c r="W18" s="93" t="str">
        <f>Tue!L18</f>
        <v>(BH)</v>
      </c>
      <c r="X18" s="222" t="str">
        <f>Tue!M18</f>
        <v>FMW</v>
      </c>
      <c r="Y18" s="223" t="str">
        <f>Tue!N18</f>
        <v>(AMJ)</v>
      </c>
      <c r="Z18" s="221" t="s">
        <v>41</v>
      </c>
      <c r="AA18" s="42" t="str">
        <f>Wed!E18</f>
        <v>RM</v>
      </c>
      <c r="AB18" s="92" t="str">
        <f>Wed!F18</f>
        <v>(AMJ)</v>
      </c>
      <c r="AC18" s="33" t="str">
        <f>Wed!G18</f>
        <v>CS</v>
      </c>
      <c r="AD18" s="92">
        <f>Wed!H18</f>
        <v>0</v>
      </c>
      <c r="AE18" s="412" t="s">
        <v>143</v>
      </c>
      <c r="AF18" s="413"/>
      <c r="AG18" s="33" t="str">
        <f>Wed!K18</f>
        <v>MGHR</v>
      </c>
      <c r="AH18" s="93" t="str">
        <f>Wed!L18</f>
        <v>(SH)</v>
      </c>
      <c r="AI18" s="222" t="str">
        <f>Wed!M18</f>
        <v>FMW</v>
      </c>
      <c r="AJ18" s="223" t="str">
        <f>Wed!N18</f>
        <v>(AMJ)</v>
      </c>
      <c r="AK18" s="221" t="s">
        <v>41</v>
      </c>
      <c r="AL18" s="42" t="str">
        <f>Thur!E18</f>
        <v>FMW/DP</v>
      </c>
      <c r="AM18" s="92" t="str">
        <f>Thur!F18</f>
        <v>(AMJ)/(AGK)</v>
      </c>
      <c r="AN18" s="33" t="str">
        <f>Thur!G18</f>
        <v>CS</v>
      </c>
      <c r="AO18" s="92">
        <f>Thur!H18</f>
        <v>0</v>
      </c>
      <c r="AP18" s="412" t="s">
        <v>143</v>
      </c>
      <c r="AQ18" s="413"/>
      <c r="AR18" s="33" t="str">
        <f>Thur!K18</f>
        <v>RM</v>
      </c>
      <c r="AS18" s="93" t="str">
        <f>Thur!L18</f>
        <v>(AMJ)</v>
      </c>
      <c r="AT18" s="222" t="str">
        <f>Thur!M18</f>
        <v>AICS/PMR</v>
      </c>
      <c r="AU18" s="223" t="str">
        <f>Thur!N18</f>
        <v>(BH)/(NJ)</v>
      </c>
      <c r="AV18" s="221" t="s">
        <v>41</v>
      </c>
      <c r="AW18" s="42" t="str">
        <f>Fri!E18</f>
        <v>RM</v>
      </c>
      <c r="AX18" s="92" t="str">
        <f>Fri!F18</f>
        <v>(AMJ)</v>
      </c>
      <c r="AY18" s="33" t="str">
        <f>Fri!G18</f>
        <v>STCI/MGHR</v>
      </c>
      <c r="AZ18" s="92" t="str">
        <f>Fri!H18</f>
        <v>/(SH)</v>
      </c>
      <c r="BA18" s="412" t="s">
        <v>143</v>
      </c>
      <c r="BB18" s="413"/>
      <c r="BC18" s="33" t="str">
        <f>Fri!K18</f>
        <v>CS</v>
      </c>
      <c r="BD18" s="93">
        <f>Fri!L18</f>
        <v>0</v>
      </c>
      <c r="BE18" s="222" t="str">
        <f>Fri!M18</f>
        <v>FS</v>
      </c>
      <c r="BF18" s="223" t="str">
        <f>Fri!N18</f>
        <v>(AGK)</v>
      </c>
      <c r="BG18" s="259" t="s">
        <v>41</v>
      </c>
      <c r="BH18" s="42" t="str">
        <f>Sat!E18</f>
        <v>FS</v>
      </c>
      <c r="BI18" s="92" t="str">
        <f>Sat!F18</f>
        <v>(AGK)</v>
      </c>
      <c r="BJ18" s="33" t="str">
        <f>Sat!G18</f>
        <v>STCI/MGHR</v>
      </c>
      <c r="BK18" s="92" t="str">
        <f>Sat!H18</f>
        <v>/(SH)</v>
      </c>
      <c r="BL18" s="412">
        <f>Sat!I18</f>
        <v>0</v>
      </c>
      <c r="BM18" s="413"/>
      <c r="BN18" s="33" t="str">
        <f>Sat!K18</f>
        <v>RM</v>
      </c>
      <c r="BO18" s="44" t="str">
        <f>Sat!L18</f>
        <v>(AMJ)</v>
      </c>
      <c r="BP18">
        <f>Sat!M19</f>
        <v>0</v>
      </c>
    </row>
    <row r="19" spans="1:68" ht="15" customHeight="1" thickBot="1" x14ac:dyDescent="0.4">
      <c r="A19" s="417"/>
      <c r="B19" s="17" t="str">
        <f>Mon!B19</f>
        <v>BAJ</v>
      </c>
      <c r="C19" s="244" t="str">
        <f>Mon!C19</f>
        <v>B</v>
      </c>
      <c r="D19" s="251">
        <f>Mon!D19</f>
        <v>0</v>
      </c>
      <c r="E19" s="224" t="str">
        <f>Mon!E19</f>
        <v>CS</v>
      </c>
      <c r="F19" s="225">
        <f>Mon!F19</f>
        <v>0</v>
      </c>
      <c r="G19" s="226" t="str">
        <f>Mon!G19</f>
        <v>PMR</v>
      </c>
      <c r="H19" s="225" t="str">
        <f>Mon!H19</f>
        <v>(NJ)</v>
      </c>
      <c r="I19" s="414"/>
      <c r="J19" s="415"/>
      <c r="K19" s="226" t="str">
        <f>Mon!K19</f>
        <v>DP</v>
      </c>
      <c r="L19" s="227" t="str">
        <f>Mon!L19</f>
        <v>(AMJ)</v>
      </c>
      <c r="M19" s="228" t="str">
        <f>Mon!M19</f>
        <v>STCI</v>
      </c>
      <c r="N19" s="229">
        <f>Mon!N19</f>
        <v>0</v>
      </c>
      <c r="O19" s="221" t="s">
        <v>49</v>
      </c>
      <c r="P19" s="224" t="str">
        <f>Tue!E19</f>
        <v>RM</v>
      </c>
      <c r="Q19" s="225" t="str">
        <f>Tue!F19</f>
        <v>(AMJ)</v>
      </c>
      <c r="R19" s="226" t="str">
        <f>Tue!G19</f>
        <v>FS</v>
      </c>
      <c r="S19" s="225" t="str">
        <f>Tue!H19</f>
        <v>(AGK)</v>
      </c>
      <c r="T19" s="414" t="s">
        <v>143</v>
      </c>
      <c r="U19" s="415"/>
      <c r="V19" s="226" t="str">
        <f>Tue!K19</f>
        <v>PMR</v>
      </c>
      <c r="W19" s="227" t="str">
        <f>Tue!L19</f>
        <v>(NJ)</v>
      </c>
      <c r="X19" s="228" t="str">
        <f>Tue!M19</f>
        <v>DP</v>
      </c>
      <c r="Y19" s="229" t="str">
        <f>Tue!N19</f>
        <v>(AGK)</v>
      </c>
      <c r="Z19" s="221" t="s">
        <v>49</v>
      </c>
      <c r="AA19" s="224" t="str">
        <f>Wed!E19</f>
        <v>CS</v>
      </c>
      <c r="AB19" s="225">
        <f>Wed!F19</f>
        <v>0</v>
      </c>
      <c r="AC19" s="226" t="str">
        <f>Wed!G19</f>
        <v>FS</v>
      </c>
      <c r="AD19" s="225" t="str">
        <f>Wed!H19</f>
        <v>(AGK)</v>
      </c>
      <c r="AE19" s="414" t="s">
        <v>143</v>
      </c>
      <c r="AF19" s="415"/>
      <c r="AG19" s="226" t="str">
        <f>Wed!K19</f>
        <v>STCI</v>
      </c>
      <c r="AH19" s="227">
        <f>Wed!L19</f>
        <v>0</v>
      </c>
      <c r="AI19" s="228" t="str">
        <f>Wed!M19</f>
        <v>DP</v>
      </c>
      <c r="AJ19" s="229" t="str">
        <f>Wed!N19</f>
        <v>(AGK)</v>
      </c>
      <c r="AK19" s="221" t="s">
        <v>49</v>
      </c>
      <c r="AL19" s="224" t="str">
        <f>Thur!E19</f>
        <v>FMW/DP</v>
      </c>
      <c r="AM19" s="225" t="str">
        <f>Thur!F19</f>
        <v>(AMJ)/(AGK)</v>
      </c>
      <c r="AN19" s="226" t="str">
        <f>Thur!G19</f>
        <v>RM</v>
      </c>
      <c r="AO19" s="225" t="str">
        <f>Thur!H19</f>
        <v>(AMJ)</v>
      </c>
      <c r="AP19" s="414" t="s">
        <v>143</v>
      </c>
      <c r="AQ19" s="415"/>
      <c r="AR19" s="226" t="str">
        <f>Thur!K19</f>
        <v>FS</v>
      </c>
      <c r="AS19" s="227" t="str">
        <f>Thur!L19</f>
        <v>(AGK)</v>
      </c>
      <c r="AT19" s="228" t="str">
        <f>Thur!M19</f>
        <v>AICS/PMR</v>
      </c>
      <c r="AU19" s="229" t="str">
        <f>Thur!N19</f>
        <v>(BH)/(NJ)</v>
      </c>
      <c r="AV19" s="221" t="s">
        <v>49</v>
      </c>
      <c r="AW19" s="224" t="str">
        <f>Fri!E19</f>
        <v>FS</v>
      </c>
      <c r="AX19" s="225" t="str">
        <f>Fri!F19</f>
        <v>(AGK)</v>
      </c>
      <c r="AY19" s="226" t="str">
        <f>Fri!G19</f>
        <v>STCI/MGHR</v>
      </c>
      <c r="AZ19" s="225" t="str">
        <f>Fri!H19</f>
        <v>/(SH)</v>
      </c>
      <c r="BA19" s="414" t="s">
        <v>143</v>
      </c>
      <c r="BB19" s="415"/>
      <c r="BC19" s="226" t="str">
        <f>Fri!K19</f>
        <v>RM</v>
      </c>
      <c r="BD19" s="227" t="str">
        <f>Fri!L19</f>
        <v>(AMJ)</v>
      </c>
      <c r="BE19" s="228" t="str">
        <f>Fri!M19</f>
        <v>CS</v>
      </c>
      <c r="BF19" s="229">
        <f>Fri!N19</f>
        <v>0</v>
      </c>
      <c r="BG19" s="259" t="s">
        <v>49</v>
      </c>
      <c r="BH19" s="224" t="str">
        <f>Sat!E19</f>
        <v>RM</v>
      </c>
      <c r="BI19" s="225" t="str">
        <f>Sat!F19</f>
        <v>(AMJ)</v>
      </c>
      <c r="BJ19" s="226" t="str">
        <f>Sat!G19</f>
        <v>STCI/MGHR</v>
      </c>
      <c r="BK19" s="225" t="str">
        <f>Sat!H19</f>
        <v>/(SH)</v>
      </c>
      <c r="BL19" s="414">
        <f>Sat!I19</f>
        <v>0</v>
      </c>
      <c r="BM19" s="415"/>
      <c r="BN19" s="226" t="str">
        <f>Sat!K19</f>
        <v>CS</v>
      </c>
      <c r="BO19" s="264">
        <f>Sat!L19</f>
        <v>0</v>
      </c>
      <c r="BP19">
        <f>Sat!M20</f>
        <v>0</v>
      </c>
    </row>
    <row r="20" spans="1:68" ht="17.25" customHeight="1" thickBot="1" x14ac:dyDescent="0.4">
      <c r="A20" s="245" t="str">
        <f>Mon!A20</f>
        <v>Semester</v>
      </c>
      <c r="B20" s="17">
        <f>Mon!B20</f>
        <v>0</v>
      </c>
      <c r="C20" s="244" t="str">
        <f>Mon!C20</f>
        <v>Section</v>
      </c>
      <c r="D20" s="251">
        <f>Mon!D20</f>
        <v>0</v>
      </c>
      <c r="E20" s="418" t="str">
        <f>Mon!E20</f>
        <v>8:30-9:20</v>
      </c>
      <c r="F20" s="419">
        <f>Mon!F20</f>
        <v>0</v>
      </c>
      <c r="G20" s="419" t="str">
        <f>Mon!G20</f>
        <v>9:30-10:20</v>
      </c>
      <c r="H20" s="419">
        <f>Mon!H20</f>
        <v>0</v>
      </c>
      <c r="I20" s="354" t="s">
        <v>139</v>
      </c>
      <c r="J20" s="353"/>
      <c r="K20" s="419" t="str">
        <f>Mon!K20</f>
        <v>10:50-11:40</v>
      </c>
      <c r="L20" s="419">
        <f>Mon!L20</f>
        <v>0</v>
      </c>
      <c r="M20" s="419" t="str">
        <f>Mon!M20</f>
        <v>11:50-12:40</v>
      </c>
      <c r="N20" s="422">
        <f>Mon!N20</f>
        <v>0</v>
      </c>
      <c r="O20" s="221" t="s">
        <v>27</v>
      </c>
      <c r="P20" s="418" t="str">
        <f>Tue!E20</f>
        <v>8:30-9:20</v>
      </c>
      <c r="Q20" s="419">
        <f>Tue!F20</f>
        <v>0</v>
      </c>
      <c r="R20" s="419" t="str">
        <f>Tue!G20</f>
        <v>9:30-10:20</v>
      </c>
      <c r="S20" s="419">
        <f>Tue!H20</f>
        <v>0</v>
      </c>
      <c r="T20" s="354" t="s">
        <v>143</v>
      </c>
      <c r="U20" s="353"/>
      <c r="V20" s="419" t="str">
        <f>Tue!K20</f>
        <v>10:50-11:40</v>
      </c>
      <c r="W20" s="419">
        <f>Tue!L20</f>
        <v>0</v>
      </c>
      <c r="X20" s="419" t="str">
        <f>Tue!M20</f>
        <v>11:50-12:40</v>
      </c>
      <c r="Y20" s="422">
        <f>Tue!N20</f>
        <v>0</v>
      </c>
      <c r="Z20" s="221" t="s">
        <v>27</v>
      </c>
      <c r="AA20" s="418" t="str">
        <f>Wed!E20</f>
        <v>8:30-9:20</v>
      </c>
      <c r="AB20" s="419">
        <f>Wed!F20</f>
        <v>0</v>
      </c>
      <c r="AC20" s="419" t="str">
        <f>Wed!G20</f>
        <v>9:30-10:20</v>
      </c>
      <c r="AD20" s="419">
        <f>Wed!H20</f>
        <v>0</v>
      </c>
      <c r="AE20" s="354" t="s">
        <v>143</v>
      </c>
      <c r="AF20" s="353"/>
      <c r="AG20" s="419" t="str">
        <f>Wed!K20</f>
        <v>10:50-11:40</v>
      </c>
      <c r="AH20" s="419">
        <f>Wed!L20</f>
        <v>0</v>
      </c>
      <c r="AI20" s="419" t="str">
        <f>Wed!M20</f>
        <v>11:50-12:40</v>
      </c>
      <c r="AJ20" s="422">
        <f>Wed!N20</f>
        <v>0</v>
      </c>
      <c r="AK20" s="221" t="s">
        <v>27</v>
      </c>
      <c r="AL20" s="418" t="str">
        <f>Thur!E20</f>
        <v>8:30-9:20</v>
      </c>
      <c r="AM20" s="419">
        <f>Thur!F20</f>
        <v>0</v>
      </c>
      <c r="AN20" s="419" t="str">
        <f>Thur!G20</f>
        <v>9:30-10:20</v>
      </c>
      <c r="AO20" s="419">
        <f>Thur!H20</f>
        <v>0</v>
      </c>
      <c r="AP20" s="354" t="s">
        <v>143</v>
      </c>
      <c r="AQ20" s="353"/>
      <c r="AR20" s="419" t="str">
        <f>Thur!K20</f>
        <v>10:50-11:40</v>
      </c>
      <c r="AS20" s="419">
        <f>Thur!L20</f>
        <v>0</v>
      </c>
      <c r="AT20" s="419" t="str">
        <f>Thur!M20</f>
        <v>11:50-12:40</v>
      </c>
      <c r="AU20" s="422">
        <f>Thur!N20</f>
        <v>0</v>
      </c>
      <c r="AV20" s="221" t="s">
        <v>27</v>
      </c>
      <c r="AW20" s="418" t="str">
        <f>Fri!E20</f>
        <v>8:30-9:20</v>
      </c>
      <c r="AX20" s="419">
        <f>Fri!F20</f>
        <v>0</v>
      </c>
      <c r="AY20" s="419" t="str">
        <f>Fri!G20</f>
        <v>9:30-10:20</v>
      </c>
      <c r="AZ20" s="419">
        <f>Fri!H20</f>
        <v>0</v>
      </c>
      <c r="BA20" s="354" t="s">
        <v>143</v>
      </c>
      <c r="BB20" s="353"/>
      <c r="BC20" s="419" t="str">
        <f>Fri!K20</f>
        <v>10:50-11:40</v>
      </c>
      <c r="BD20" s="419">
        <f>Fri!L20</f>
        <v>0</v>
      </c>
      <c r="BE20" s="419" t="str">
        <f>Fri!M20</f>
        <v>11:50-12:40</v>
      </c>
      <c r="BF20" s="422">
        <f>Fri!N20</f>
        <v>0</v>
      </c>
      <c r="BG20" s="259" t="s">
        <v>27</v>
      </c>
      <c r="BH20" s="418" t="str">
        <f>Sat!E20</f>
        <v>8:30-9:20</v>
      </c>
      <c r="BI20" s="419">
        <f>Sat!F20</f>
        <v>0</v>
      </c>
      <c r="BJ20" s="419" t="str">
        <f>Sat!G20</f>
        <v>9:30-10:20</v>
      </c>
      <c r="BK20" s="419">
        <f>Sat!H20</f>
        <v>0</v>
      </c>
      <c r="BL20" s="354" t="str">
        <f>Sat!I20</f>
        <v>10:20-10:50</v>
      </c>
      <c r="BM20" s="353"/>
      <c r="BN20" s="419" t="str">
        <f>Sat!K20</f>
        <v>10:50-11:40</v>
      </c>
      <c r="BO20" s="422">
        <f>Sat!L20</f>
        <v>0</v>
      </c>
      <c r="BP20">
        <f>Sat!M21</f>
        <v>0</v>
      </c>
    </row>
    <row r="21" spans="1:68" ht="18" customHeight="1" x14ac:dyDescent="0.35">
      <c r="A21" s="407">
        <f>Mon!A21</f>
        <v>3</v>
      </c>
      <c r="B21" s="17" t="str">
        <f>Mon!B21</f>
        <v>CM+OP</v>
      </c>
      <c r="C21" s="244" t="str">
        <f>Mon!C21</f>
        <v>A</v>
      </c>
      <c r="D21" s="251">
        <f>Mon!D21</f>
        <v>0</v>
      </c>
      <c r="E21" s="40" t="str">
        <f>Mon!E21</f>
        <v>MM</v>
      </c>
      <c r="F21" s="7" t="str">
        <f>Mon!F21</f>
        <v>(KM)</v>
      </c>
      <c r="G21" s="6" t="str">
        <f>Mon!G21</f>
        <v>ED</v>
      </c>
      <c r="H21" s="7" t="str">
        <f>Mon!H21</f>
        <v>(YL)</v>
      </c>
      <c r="I21" s="410" t="s">
        <v>143</v>
      </c>
      <c r="J21" s="411"/>
      <c r="K21" s="6" t="str">
        <f>Mon!K21</f>
        <v>EVS</v>
      </c>
      <c r="L21" s="11" t="str">
        <f>Mon!L21</f>
        <v>(SUH)</v>
      </c>
      <c r="M21" s="39" t="str">
        <f>Mon!M21</f>
        <v>CA</v>
      </c>
      <c r="N21" s="43" t="str">
        <f>Mon!N21</f>
        <v>(RG)</v>
      </c>
      <c r="O21" s="221" t="s">
        <v>41</v>
      </c>
      <c r="P21" s="40" t="str">
        <f>Tue!E21</f>
        <v>CA</v>
      </c>
      <c r="Q21" s="7" t="str">
        <f>Tue!F21</f>
        <v>(RG)</v>
      </c>
      <c r="R21" s="6" t="str">
        <f>Tue!G21</f>
        <v>OP</v>
      </c>
      <c r="S21" s="7" t="str">
        <f>Tue!H21</f>
        <v>(ND)</v>
      </c>
      <c r="T21" s="410" t="s">
        <v>143</v>
      </c>
      <c r="U21" s="411"/>
      <c r="V21" s="6" t="str">
        <f>Tue!K21</f>
        <v>ED</v>
      </c>
      <c r="W21" s="11" t="str">
        <f>Tue!L21</f>
        <v>(YL)</v>
      </c>
      <c r="X21" s="39" t="str">
        <f>Tue!M21</f>
        <v>CM</v>
      </c>
      <c r="Y21" s="43" t="str">
        <f>Tue!N21</f>
        <v>(AV)</v>
      </c>
      <c r="Z21" s="221" t="s">
        <v>41</v>
      </c>
      <c r="AA21" s="40" t="str">
        <f>Wed!E21</f>
        <v>ED</v>
      </c>
      <c r="AB21" s="7" t="str">
        <f>Wed!F21</f>
        <v>(YL)</v>
      </c>
      <c r="AC21" s="6" t="str">
        <f>Wed!G21</f>
        <v>HR</v>
      </c>
      <c r="AD21" s="7" t="str">
        <f>Wed!H21</f>
        <v>(RT)</v>
      </c>
      <c r="AE21" s="410" t="s">
        <v>143</v>
      </c>
      <c r="AF21" s="411"/>
      <c r="AG21" s="6" t="str">
        <f>Wed!K21</f>
        <v>MM</v>
      </c>
      <c r="AH21" s="11" t="str">
        <f>Wed!L21</f>
        <v>(KM)</v>
      </c>
      <c r="AI21" s="39" t="str">
        <f>Wed!M21</f>
        <v>Dual Programme</v>
      </c>
      <c r="AJ21" s="43">
        <f>Wed!N21</f>
        <v>0</v>
      </c>
      <c r="AK21" s="221" t="s">
        <v>41</v>
      </c>
      <c r="AL21" s="40" t="str">
        <f>Thur!E21</f>
        <v>MM</v>
      </c>
      <c r="AM21" s="7" t="str">
        <f>Thur!F21</f>
        <v>(KM)</v>
      </c>
      <c r="AN21" s="6" t="str">
        <f>Thur!G21</f>
        <v>HR</v>
      </c>
      <c r="AO21" s="7" t="str">
        <f>Thur!H21</f>
        <v>(RT)</v>
      </c>
      <c r="AP21" s="410" t="s">
        <v>143</v>
      </c>
      <c r="AQ21" s="411"/>
      <c r="AR21" s="6" t="str">
        <f>Thur!K21</f>
        <v>OP</v>
      </c>
      <c r="AS21" s="11" t="str">
        <f>Thur!L21</f>
        <v>(ND)</v>
      </c>
      <c r="AT21" s="39" t="str">
        <f>Thur!M21</f>
        <v>CA</v>
      </c>
      <c r="AU21" s="43" t="str">
        <f>Thur!N21</f>
        <v>(RG)</v>
      </c>
      <c r="AV21" s="221" t="s">
        <v>41</v>
      </c>
      <c r="AW21" s="40" t="str">
        <f>Fri!E21</f>
        <v>EVS</v>
      </c>
      <c r="AX21" s="7" t="str">
        <f>Fri!F21</f>
        <v>(SUH)</v>
      </c>
      <c r="AY21" s="6" t="str">
        <f>Fri!G21</f>
        <v>CM</v>
      </c>
      <c r="AZ21" s="7" t="str">
        <f>Fri!H21</f>
        <v>(AV)</v>
      </c>
      <c r="BA21" s="410" t="s">
        <v>143</v>
      </c>
      <c r="BB21" s="411"/>
      <c r="BC21" s="6" t="str">
        <f>Fri!K21</f>
        <v>OP</v>
      </c>
      <c r="BD21" s="11" t="str">
        <f>Fri!L21</f>
        <v>(ND)</v>
      </c>
      <c r="BE21" s="39" t="str">
        <f>Fri!M21</f>
        <v>HR</v>
      </c>
      <c r="BF21" s="43" t="str">
        <f>Fri!N21</f>
        <v>(RT)</v>
      </c>
      <c r="BG21" s="259" t="s">
        <v>41</v>
      </c>
      <c r="BH21" s="40" t="str">
        <f>Sat!E21</f>
        <v>EVS</v>
      </c>
      <c r="BI21" s="7" t="str">
        <f>Sat!F21</f>
        <v>(SUH)</v>
      </c>
      <c r="BJ21" s="6" t="str">
        <f>Sat!G21</f>
        <v>CM</v>
      </c>
      <c r="BK21" s="7" t="str">
        <f>Sat!H21</f>
        <v>(AV)</v>
      </c>
      <c r="BL21" s="410" t="str">
        <f>Sat!I21</f>
        <v>Break</v>
      </c>
      <c r="BM21" s="411"/>
      <c r="BN21" s="6" t="str">
        <f>Sat!K21</f>
        <v>CA</v>
      </c>
      <c r="BO21" s="41" t="str">
        <f>Sat!L21</f>
        <v>(RG)</v>
      </c>
      <c r="BP21">
        <f>Sat!M22</f>
        <v>0</v>
      </c>
    </row>
    <row r="22" spans="1:68" x14ac:dyDescent="0.35">
      <c r="A22" s="408"/>
      <c r="B22" s="17" t="str">
        <f>Mon!B22</f>
        <v>CM+OP</v>
      </c>
      <c r="C22" s="244" t="str">
        <f>Mon!C22</f>
        <v>B</v>
      </c>
      <c r="D22" s="251">
        <f>Mon!D22</f>
        <v>0</v>
      </c>
      <c r="E22" s="40" t="str">
        <f>Mon!E22</f>
        <v>EVS</v>
      </c>
      <c r="F22" s="7" t="str">
        <f>Mon!F22</f>
        <v>(MB)</v>
      </c>
      <c r="G22" s="6" t="str">
        <f>Mon!G22</f>
        <v>CA</v>
      </c>
      <c r="H22" s="7" t="str">
        <f>Mon!H22</f>
        <v>(TK)</v>
      </c>
      <c r="I22" s="412"/>
      <c r="J22" s="413"/>
      <c r="K22" s="6" t="str">
        <f>Mon!K22</f>
        <v>CM</v>
      </c>
      <c r="L22" s="11" t="str">
        <f>Mon!L22</f>
        <v>(SAK)</v>
      </c>
      <c r="M22" s="39" t="str">
        <f>Mon!M22</f>
        <v>ED</v>
      </c>
      <c r="N22" s="43" t="str">
        <f>Mon!N22</f>
        <v>(LV)</v>
      </c>
      <c r="O22" s="221" t="s">
        <v>49</v>
      </c>
      <c r="P22" s="40" t="str">
        <f>Tue!E22</f>
        <v>OP</v>
      </c>
      <c r="Q22" s="7" t="str">
        <f>Tue!F22</f>
        <v>(SB)</v>
      </c>
      <c r="R22" s="6" t="str">
        <f>Tue!G22</f>
        <v>MM</v>
      </c>
      <c r="S22" s="7" t="str">
        <f>Tue!H22</f>
        <v>(SRS)</v>
      </c>
      <c r="T22" s="412" t="s">
        <v>143</v>
      </c>
      <c r="U22" s="413"/>
      <c r="V22" s="6" t="str">
        <f>Tue!K22</f>
        <v>EVS</v>
      </c>
      <c r="W22" s="11" t="str">
        <f>Tue!L22</f>
        <v>(MB)</v>
      </c>
      <c r="X22" s="39" t="str">
        <f>Tue!M22</f>
        <v>ED</v>
      </c>
      <c r="Y22" s="43" t="str">
        <f>Tue!N22</f>
        <v>(LV)</v>
      </c>
      <c r="Z22" s="221" t="s">
        <v>49</v>
      </c>
      <c r="AA22" s="40" t="str">
        <f>Wed!E22</f>
        <v>HR</v>
      </c>
      <c r="AB22" s="7" t="str">
        <f>Wed!F22</f>
        <v>(BD)</v>
      </c>
      <c r="AC22" s="6" t="str">
        <f>Wed!G22</f>
        <v>CA</v>
      </c>
      <c r="AD22" s="7" t="str">
        <f>Wed!H22</f>
        <v>(TK)</v>
      </c>
      <c r="AE22" s="412" t="s">
        <v>143</v>
      </c>
      <c r="AF22" s="413"/>
      <c r="AG22" s="6" t="str">
        <f>Wed!K22</f>
        <v>CM</v>
      </c>
      <c r="AH22" s="11" t="str">
        <f>Wed!L22</f>
        <v>(SAK)</v>
      </c>
      <c r="AI22" s="39">
        <f>Wed!M22</f>
        <v>0</v>
      </c>
      <c r="AJ22" s="43">
        <f>Wed!N22</f>
        <v>0</v>
      </c>
      <c r="AK22" s="221" t="s">
        <v>49</v>
      </c>
      <c r="AL22" s="40" t="str">
        <f>Thur!E22</f>
        <v>HR</v>
      </c>
      <c r="AM22" s="7" t="str">
        <f>Thur!F22</f>
        <v>(BD)</v>
      </c>
      <c r="AN22" s="6" t="str">
        <f>Thur!G22</f>
        <v>CA</v>
      </c>
      <c r="AO22" s="7" t="str">
        <f>Thur!H22</f>
        <v>(TK)</v>
      </c>
      <c r="AP22" s="412" t="s">
        <v>143</v>
      </c>
      <c r="AQ22" s="413"/>
      <c r="AR22" s="6" t="str">
        <f>Thur!K22</f>
        <v>ED</v>
      </c>
      <c r="AS22" s="11" t="str">
        <f>Thur!L22</f>
        <v>(LV)</v>
      </c>
      <c r="AT22" s="39" t="str">
        <f>Thur!M22</f>
        <v>OP</v>
      </c>
      <c r="AU22" s="43" t="str">
        <f>Thur!N22</f>
        <v>(SB)</v>
      </c>
      <c r="AV22" s="221" t="s">
        <v>49</v>
      </c>
      <c r="AW22" s="40" t="str">
        <f>Fri!E22</f>
        <v>HR</v>
      </c>
      <c r="AX22" s="7" t="str">
        <f>Fri!F22</f>
        <v>(BD)</v>
      </c>
      <c r="AY22" s="6" t="str">
        <f>Fri!G22</f>
        <v>CA</v>
      </c>
      <c r="AZ22" s="7" t="str">
        <f>Fri!H22</f>
        <v>(TK)</v>
      </c>
      <c r="BA22" s="412" t="s">
        <v>143</v>
      </c>
      <c r="BB22" s="413"/>
      <c r="BC22" s="6" t="str">
        <f>Fri!K22</f>
        <v>MM</v>
      </c>
      <c r="BD22" s="11" t="str">
        <f>Fri!L22</f>
        <v>(SRS)</v>
      </c>
      <c r="BE22" s="39" t="str">
        <f>Fri!M22</f>
        <v>EVS</v>
      </c>
      <c r="BF22" s="43" t="str">
        <f>Fri!N22</f>
        <v>(MB)</v>
      </c>
      <c r="BG22" s="259" t="s">
        <v>49</v>
      </c>
      <c r="BH22" s="40" t="str">
        <f>Sat!E22</f>
        <v>CM</v>
      </c>
      <c r="BI22" s="7" t="str">
        <f>Sat!F22</f>
        <v>(SAK)</v>
      </c>
      <c r="BJ22" s="6" t="str">
        <f>Sat!G22</f>
        <v>MM</v>
      </c>
      <c r="BK22" s="7" t="str">
        <f>Sat!H22</f>
        <v>(SRS)</v>
      </c>
      <c r="BL22" s="412">
        <f>Sat!I22</f>
        <v>0</v>
      </c>
      <c r="BM22" s="413"/>
      <c r="BN22" s="6" t="str">
        <f>Sat!K22</f>
        <v>OP</v>
      </c>
      <c r="BO22" s="41" t="str">
        <f>Sat!L22</f>
        <v>(SB)</v>
      </c>
      <c r="BP22">
        <f>Sat!M23</f>
        <v>0</v>
      </c>
    </row>
    <row r="23" spans="1:68" x14ac:dyDescent="0.35">
      <c r="A23" s="408"/>
      <c r="B23" s="17" t="str">
        <f>Mon!B23</f>
        <v>CM+OP</v>
      </c>
      <c r="C23" s="244" t="str">
        <f>Mon!C23</f>
        <v>C</v>
      </c>
      <c r="D23" s="251">
        <f>Mon!D23</f>
        <v>0</v>
      </c>
      <c r="E23" s="40" t="str">
        <f>Mon!E23</f>
        <v>CM</v>
      </c>
      <c r="F23" s="7" t="str">
        <f>Mon!F23</f>
        <v>(SUH)</v>
      </c>
      <c r="G23" s="6" t="str">
        <f>Mon!G23</f>
        <v>MM</v>
      </c>
      <c r="H23" s="7" t="str">
        <f>Mon!H23</f>
        <v>(SB)</v>
      </c>
      <c r="I23" s="412"/>
      <c r="J23" s="413"/>
      <c r="K23" s="6" t="str">
        <f>Mon!K23</f>
        <v>CA</v>
      </c>
      <c r="L23" s="11" t="str">
        <f>Mon!L23</f>
        <v>(VA)</v>
      </c>
      <c r="M23" s="39" t="str">
        <f>Mon!M23</f>
        <v>EVS</v>
      </c>
      <c r="N23" s="43" t="str">
        <f>Mon!N23</f>
        <v>(AG)</v>
      </c>
      <c r="O23" s="221" t="s">
        <v>55</v>
      </c>
      <c r="P23" s="40" t="str">
        <f>Tue!E23</f>
        <v>ED</v>
      </c>
      <c r="Q23" s="7" t="str">
        <f>Tue!F23</f>
        <v>(MS)</v>
      </c>
      <c r="R23" s="6" t="str">
        <f>Tue!G23</f>
        <v>CA</v>
      </c>
      <c r="S23" s="7" t="str">
        <f>Tue!H23</f>
        <v>(VA)</v>
      </c>
      <c r="T23" s="412" t="s">
        <v>143</v>
      </c>
      <c r="U23" s="413"/>
      <c r="V23" s="6" t="str">
        <f>Tue!K23</f>
        <v>OP</v>
      </c>
      <c r="W23" s="11" t="str">
        <f>Tue!L23</f>
        <v>(ND)</v>
      </c>
      <c r="X23" s="39" t="str">
        <f>Tue!M23</f>
        <v>HR</v>
      </c>
      <c r="Y23" s="43" t="str">
        <f>Tue!N23</f>
        <v>(AS)</v>
      </c>
      <c r="Z23" s="221" t="s">
        <v>55</v>
      </c>
      <c r="AA23" s="40" t="str">
        <f>Wed!E23</f>
        <v>CM</v>
      </c>
      <c r="AB23" s="7" t="str">
        <f>Wed!F23</f>
        <v>(SUH)</v>
      </c>
      <c r="AC23" s="6" t="str">
        <f>Wed!G23</f>
        <v>OP</v>
      </c>
      <c r="AD23" s="7" t="str">
        <f>Wed!H23</f>
        <v>(ND)</v>
      </c>
      <c r="AE23" s="412" t="s">
        <v>143</v>
      </c>
      <c r="AF23" s="413"/>
      <c r="AG23" s="6" t="str">
        <f>Wed!K23</f>
        <v>MM</v>
      </c>
      <c r="AH23" s="11" t="str">
        <f>Wed!L23</f>
        <v>(SB)</v>
      </c>
      <c r="AI23" s="39">
        <f>Wed!M23</f>
        <v>0</v>
      </c>
      <c r="AJ23" s="43">
        <f>Wed!N23</f>
        <v>0</v>
      </c>
      <c r="AK23" s="221" t="s">
        <v>55</v>
      </c>
      <c r="AL23" s="40" t="str">
        <f>Thur!E23</f>
        <v>HR</v>
      </c>
      <c r="AM23" s="7" t="str">
        <f>Thur!F23</f>
        <v>(AS)</v>
      </c>
      <c r="AN23" s="6" t="str">
        <f>Thur!G23</f>
        <v>CA</v>
      </c>
      <c r="AO23" s="7" t="str">
        <f>Thur!H23</f>
        <v>(VA)</v>
      </c>
      <c r="AP23" s="412" t="s">
        <v>143</v>
      </c>
      <c r="AQ23" s="413"/>
      <c r="AR23" s="6" t="str">
        <f>Thur!K23</f>
        <v>ED</v>
      </c>
      <c r="AS23" s="11" t="str">
        <f>Thur!L23</f>
        <v>(MS)</v>
      </c>
      <c r="AT23" s="39" t="str">
        <f>Thur!M23</f>
        <v>EVS</v>
      </c>
      <c r="AU23" s="43" t="str">
        <f>Thur!N23</f>
        <v>(AG)</v>
      </c>
      <c r="AV23" s="221" t="s">
        <v>55</v>
      </c>
      <c r="AW23" s="40" t="str">
        <f>Fri!E23</f>
        <v>EVS</v>
      </c>
      <c r="AX23" s="7" t="str">
        <f>Fri!F23</f>
        <v>(AG)</v>
      </c>
      <c r="AY23" s="6" t="str">
        <f>Fri!G23</f>
        <v>CA</v>
      </c>
      <c r="AZ23" s="7" t="str">
        <f>Fri!H23</f>
        <v>(VA)</v>
      </c>
      <c r="BA23" s="412" t="s">
        <v>143</v>
      </c>
      <c r="BB23" s="413"/>
      <c r="BC23" s="6" t="str">
        <f>Fri!K23</f>
        <v>CM</v>
      </c>
      <c r="BD23" s="11" t="str">
        <f>Fri!L23</f>
        <v>(SUH)</v>
      </c>
      <c r="BE23" s="39" t="str">
        <f>Fri!M23</f>
        <v>MM</v>
      </c>
      <c r="BF23" s="43" t="str">
        <f>Fri!N23</f>
        <v>(SB)</v>
      </c>
      <c r="BG23" s="259" t="s">
        <v>55</v>
      </c>
      <c r="BH23" s="40" t="str">
        <f>Sat!E23</f>
        <v>HR</v>
      </c>
      <c r="BI23" s="7" t="str">
        <f>Sat!F23</f>
        <v>(AS)</v>
      </c>
      <c r="BJ23" s="6" t="str">
        <f>Sat!G23</f>
        <v>OP</v>
      </c>
      <c r="BK23" s="7" t="str">
        <f>Sat!H23</f>
        <v>(ND)</v>
      </c>
      <c r="BL23" s="412">
        <f>Sat!I23</f>
        <v>0</v>
      </c>
      <c r="BM23" s="413"/>
      <c r="BN23" s="6" t="str">
        <f>Sat!K23</f>
        <v>ED</v>
      </c>
      <c r="BO23" s="41" t="str">
        <f>Sat!L23</f>
        <v>(MS)</v>
      </c>
      <c r="BP23">
        <f>Sat!M24</f>
        <v>0</v>
      </c>
    </row>
    <row r="24" spans="1:68" x14ac:dyDescent="0.35">
      <c r="A24" s="408"/>
      <c r="B24" s="17" t="str">
        <f>Mon!B24</f>
        <v>CM+OP</v>
      </c>
      <c r="C24" s="244" t="str">
        <f>Mon!C24</f>
        <v>D</v>
      </c>
      <c r="D24" s="251">
        <f>Mon!D24</f>
        <v>0</v>
      </c>
      <c r="E24" s="40" t="str">
        <f>Mon!E24</f>
        <v>ED</v>
      </c>
      <c r="F24" s="7" t="str">
        <f>Mon!F24</f>
        <v>(RR)</v>
      </c>
      <c r="G24" s="6" t="str">
        <f>Mon!G24</f>
        <v>HR</v>
      </c>
      <c r="H24" s="7" t="str">
        <f>Mon!H24</f>
        <v>(SUH)</v>
      </c>
      <c r="I24" s="412"/>
      <c r="J24" s="413"/>
      <c r="K24" s="6" t="str">
        <f>Mon!K24</f>
        <v>CM</v>
      </c>
      <c r="L24" s="11" t="str">
        <f>Mon!L24</f>
        <v>(SW)</v>
      </c>
      <c r="M24" s="39" t="str">
        <f>Mon!M24</f>
        <v>EVS</v>
      </c>
      <c r="N24" s="43" t="str">
        <f>Mon!N24</f>
        <v>(MH)</v>
      </c>
      <c r="O24" s="221" t="s">
        <v>37</v>
      </c>
      <c r="P24" s="40" t="str">
        <f>Tue!E24</f>
        <v>MM</v>
      </c>
      <c r="Q24" s="7" t="str">
        <f>Tue!F24</f>
        <v>(SAK)</v>
      </c>
      <c r="R24" s="6" t="str">
        <f>Tue!G24</f>
        <v>OP</v>
      </c>
      <c r="S24" s="7" t="str">
        <f>Tue!H24</f>
        <v>NEW</v>
      </c>
      <c r="T24" s="412" t="s">
        <v>143</v>
      </c>
      <c r="U24" s="413"/>
      <c r="V24" s="6" t="str">
        <f>Tue!K24</f>
        <v>CA</v>
      </c>
      <c r="W24" s="11" t="str">
        <f>Tue!L24</f>
        <v>(MEG)</v>
      </c>
      <c r="X24" s="39" t="str">
        <f>Tue!M24</f>
        <v>ED</v>
      </c>
      <c r="Y24" s="43" t="str">
        <f>Tue!N24</f>
        <v>(RR)</v>
      </c>
      <c r="Z24" s="221" t="s">
        <v>37</v>
      </c>
      <c r="AA24" s="40" t="str">
        <f>Wed!E24</f>
        <v>CM</v>
      </c>
      <c r="AB24" s="7" t="str">
        <f>Wed!F24</f>
        <v>(SW)</v>
      </c>
      <c r="AC24" s="6" t="str">
        <f>Wed!G24</f>
        <v>CA</v>
      </c>
      <c r="AD24" s="7" t="str">
        <f>Wed!H24</f>
        <v>(MEG)</v>
      </c>
      <c r="AE24" s="412" t="s">
        <v>143</v>
      </c>
      <c r="AF24" s="413"/>
      <c r="AG24" s="6" t="str">
        <f>Wed!K24</f>
        <v>HR</v>
      </c>
      <c r="AH24" s="11" t="str">
        <f>Wed!L24</f>
        <v>(SUH)</v>
      </c>
      <c r="AI24" s="39">
        <f>Wed!M24</f>
        <v>0</v>
      </c>
      <c r="AJ24" s="43">
        <f>Wed!N24</f>
        <v>0</v>
      </c>
      <c r="AK24" s="221" t="s">
        <v>37</v>
      </c>
      <c r="AL24" s="40" t="str">
        <f>Thur!E24</f>
        <v>ED</v>
      </c>
      <c r="AM24" s="7" t="str">
        <f>Thur!F24</f>
        <v>(RR)</v>
      </c>
      <c r="AN24" s="6" t="str">
        <f>Thur!G24</f>
        <v>HR</v>
      </c>
      <c r="AO24" s="7" t="str">
        <f>Thur!H24</f>
        <v>(SUH)</v>
      </c>
      <c r="AP24" s="412" t="s">
        <v>143</v>
      </c>
      <c r="AQ24" s="413"/>
      <c r="AR24" s="6" t="str">
        <f>Thur!K24</f>
        <v>MM</v>
      </c>
      <c r="AS24" s="11" t="str">
        <f>Thur!L24</f>
        <v>(SAK)</v>
      </c>
      <c r="AT24" s="39" t="str">
        <f>Thur!M24</f>
        <v>EVS</v>
      </c>
      <c r="AU24" s="43" t="str">
        <f>Thur!N24</f>
        <v>(MH)</v>
      </c>
      <c r="AV24" s="221" t="s">
        <v>37</v>
      </c>
      <c r="AW24" s="40" t="str">
        <f>Fri!E24</f>
        <v>CM</v>
      </c>
      <c r="AX24" s="7" t="str">
        <f>Fri!F24</f>
        <v>(SW)</v>
      </c>
      <c r="AY24" s="6" t="str">
        <f>Fri!G24</f>
        <v>OP</v>
      </c>
      <c r="AZ24" s="7" t="str">
        <f>Fri!H24</f>
        <v>NEW</v>
      </c>
      <c r="BA24" s="412" t="s">
        <v>143</v>
      </c>
      <c r="BB24" s="413"/>
      <c r="BC24" s="6" t="str">
        <f>Fri!K24</f>
        <v>CA</v>
      </c>
      <c r="BD24" s="11" t="str">
        <f>Fri!L24</f>
        <v>(MEG)</v>
      </c>
      <c r="BE24" s="39" t="str">
        <f>Fri!M24</f>
        <v>MM</v>
      </c>
      <c r="BF24" s="43" t="str">
        <f>Fri!N24</f>
        <v>(SAK)</v>
      </c>
      <c r="BG24" s="259" t="s">
        <v>37</v>
      </c>
      <c r="BH24" s="40" t="str">
        <f>Sat!E24</f>
        <v>CA</v>
      </c>
      <c r="BI24" s="7" t="str">
        <f>Sat!F24</f>
        <v>(MEG)</v>
      </c>
      <c r="BJ24" s="6" t="str">
        <f>Sat!G24</f>
        <v>EVS</v>
      </c>
      <c r="BK24" s="7" t="str">
        <f>Sat!H24</f>
        <v>(MB)</v>
      </c>
      <c r="BL24" s="412">
        <f>Sat!I24</f>
        <v>0</v>
      </c>
      <c r="BM24" s="413"/>
      <c r="BN24" s="6" t="str">
        <f>Sat!K24</f>
        <v>OP</v>
      </c>
      <c r="BO24" s="41" t="str">
        <f>Sat!L24</f>
        <v>NEW</v>
      </c>
      <c r="BP24">
        <f>Sat!M25</f>
        <v>0</v>
      </c>
    </row>
    <row r="25" spans="1:68" x14ac:dyDescent="0.35">
      <c r="A25" s="408"/>
      <c r="B25" s="17" t="str">
        <f>Mon!B25</f>
        <v>CM+OP</v>
      </c>
      <c r="C25" s="244" t="str">
        <f>Mon!C25</f>
        <v>E</v>
      </c>
      <c r="D25" s="251">
        <f>Mon!D25</f>
        <v>0</v>
      </c>
      <c r="E25" s="40" t="str">
        <f>Mon!E25</f>
        <v>EVS</v>
      </c>
      <c r="F25" s="7" t="str">
        <f>Mon!F25</f>
        <v>(RR)</v>
      </c>
      <c r="G25" s="6" t="str">
        <f>Mon!G25</f>
        <v>OP</v>
      </c>
      <c r="H25" s="7" t="str">
        <f>Mon!H25</f>
        <v>NEW</v>
      </c>
      <c r="I25" s="412"/>
      <c r="J25" s="413"/>
      <c r="K25" s="6" t="str">
        <f>Mon!K25</f>
        <v>ED</v>
      </c>
      <c r="L25" s="11" t="str">
        <f>Mon!L25</f>
        <v>(EC)</v>
      </c>
      <c r="M25" s="39" t="str">
        <f>Mon!M25</f>
        <v>EVS</v>
      </c>
      <c r="N25" s="43" t="str">
        <f>Mon!N25</f>
        <v>(RR)</v>
      </c>
      <c r="O25" s="221" t="s">
        <v>38</v>
      </c>
      <c r="P25" s="40" t="str">
        <f>Tue!E25</f>
        <v>EVS</v>
      </c>
      <c r="Q25" s="7" t="str">
        <f>Tue!F25</f>
        <v>(RR)</v>
      </c>
      <c r="R25" s="6" t="str">
        <f>Tue!G25</f>
        <v>MM</v>
      </c>
      <c r="S25" s="7" t="str">
        <f>Tue!H25</f>
        <v>(LV)</v>
      </c>
      <c r="T25" s="412" t="s">
        <v>143</v>
      </c>
      <c r="U25" s="413"/>
      <c r="V25" s="6" t="str">
        <f>Tue!K25</f>
        <v>HR</v>
      </c>
      <c r="W25" s="11" t="str">
        <f>Tue!L25</f>
        <v>(SUH)</v>
      </c>
      <c r="X25" s="39" t="str">
        <f>Tue!M25</f>
        <v>CM</v>
      </c>
      <c r="Y25" s="43" t="str">
        <f>Tue!N25</f>
        <v>(SAK)</v>
      </c>
      <c r="Z25" s="221" t="s">
        <v>38</v>
      </c>
      <c r="AA25" s="40" t="str">
        <f>Wed!E25</f>
        <v>CM</v>
      </c>
      <c r="AB25" s="7" t="str">
        <f>Wed!F25</f>
        <v>(SAK)</v>
      </c>
      <c r="AC25" s="6" t="str">
        <f>Wed!G25</f>
        <v>MM</v>
      </c>
      <c r="AD25" s="7" t="str">
        <f>Wed!H25</f>
        <v>(LV)</v>
      </c>
      <c r="AE25" s="412" t="s">
        <v>143</v>
      </c>
      <c r="AF25" s="413"/>
      <c r="AG25" s="6" t="str">
        <f>Wed!K25</f>
        <v>CA</v>
      </c>
      <c r="AH25" s="11" t="str">
        <f>Wed!L25</f>
        <v>(SW)</v>
      </c>
      <c r="AI25" s="39">
        <f>Wed!M25</f>
        <v>0</v>
      </c>
      <c r="AJ25" s="43">
        <f>Wed!N25</f>
        <v>0</v>
      </c>
      <c r="AK25" s="221" t="s">
        <v>38</v>
      </c>
      <c r="AL25" s="40" t="str">
        <f>Thur!E25</f>
        <v>HR</v>
      </c>
      <c r="AM25" s="7" t="str">
        <f>Thur!F25</f>
        <v>(SUH)</v>
      </c>
      <c r="AN25" s="6" t="str">
        <f>Thur!G25</f>
        <v>OP</v>
      </c>
      <c r="AO25" s="7" t="str">
        <f>Thur!H25</f>
        <v>NEW</v>
      </c>
      <c r="AP25" s="412" t="s">
        <v>143</v>
      </c>
      <c r="AQ25" s="413"/>
      <c r="AR25" s="6" t="str">
        <f>Thur!K25</f>
        <v>CA</v>
      </c>
      <c r="AS25" s="11" t="str">
        <f>Thur!L25</f>
        <v>(SW)</v>
      </c>
      <c r="AT25" s="39" t="str">
        <f>Thur!M25</f>
        <v>EVS</v>
      </c>
      <c r="AU25" s="43" t="str">
        <f>Thur!N25</f>
        <v>(RR)</v>
      </c>
      <c r="AV25" s="221" t="s">
        <v>38</v>
      </c>
      <c r="AW25" s="40" t="str">
        <f>Fri!E25</f>
        <v>OP</v>
      </c>
      <c r="AX25" s="7" t="str">
        <f>Fri!F25</f>
        <v>NEW</v>
      </c>
      <c r="AY25" s="6" t="str">
        <f>Fri!G25</f>
        <v>CM</v>
      </c>
      <c r="AZ25" s="7" t="str">
        <f>Fri!H25</f>
        <v>(SAK)</v>
      </c>
      <c r="BA25" s="412" t="s">
        <v>143</v>
      </c>
      <c r="BB25" s="413"/>
      <c r="BC25" s="6" t="str">
        <f>Fri!K25</f>
        <v>CA</v>
      </c>
      <c r="BD25" s="11" t="str">
        <f>Fri!L25</f>
        <v>(SW)</v>
      </c>
      <c r="BE25" s="39" t="str">
        <f>Fri!M25</f>
        <v>ED</v>
      </c>
      <c r="BF25" s="43" t="str">
        <f>Fri!N25</f>
        <v>(EC)</v>
      </c>
      <c r="BG25" s="259" t="s">
        <v>38</v>
      </c>
      <c r="BH25" s="40" t="str">
        <f>Sat!E25</f>
        <v>CA</v>
      </c>
      <c r="BI25" s="7" t="str">
        <f>Sat!F25</f>
        <v>(SW)</v>
      </c>
      <c r="BJ25" s="6" t="str">
        <f>Sat!G25</f>
        <v>ED</v>
      </c>
      <c r="BK25" s="7" t="str">
        <f>Sat!H25</f>
        <v>(EC)</v>
      </c>
      <c r="BL25" s="412">
        <f>Sat!I25</f>
        <v>0</v>
      </c>
      <c r="BM25" s="413"/>
      <c r="BN25" s="6" t="str">
        <f>Sat!K25</f>
        <v>HR</v>
      </c>
      <c r="BO25" s="41" t="str">
        <f>Sat!L25</f>
        <v>(SUH)</v>
      </c>
      <c r="BP25">
        <f>Sat!M26</f>
        <v>0</v>
      </c>
    </row>
    <row r="26" spans="1:68" x14ac:dyDescent="0.35">
      <c r="A26" s="408"/>
      <c r="B26" s="17" t="str">
        <f>Mon!B26</f>
        <v>CM+OP</v>
      </c>
      <c r="C26" s="244" t="str">
        <f>Mon!C26</f>
        <v>F</v>
      </c>
      <c r="D26" s="251">
        <f>Mon!D26</f>
        <v>0</v>
      </c>
      <c r="E26" s="40" t="str">
        <f>Mon!E26</f>
        <v>MM</v>
      </c>
      <c r="F26" s="7" t="str">
        <f>Mon!F26</f>
        <v>(SB)</v>
      </c>
      <c r="G26" s="6" t="str">
        <f>Mon!G26</f>
        <v>EVS</v>
      </c>
      <c r="H26" s="7" t="str">
        <f>Mon!H26</f>
        <v>(RR)</v>
      </c>
      <c r="I26" s="412"/>
      <c r="J26" s="413"/>
      <c r="K26" s="6" t="str">
        <f>Mon!K26</f>
        <v>ED</v>
      </c>
      <c r="L26" s="11" t="str">
        <f>Mon!L26</f>
        <v>(YL)</v>
      </c>
      <c r="M26" s="39" t="str">
        <f>Mon!M26</f>
        <v>CA</v>
      </c>
      <c r="N26" s="43" t="str">
        <f>Mon!N26</f>
        <v>(VA)</v>
      </c>
      <c r="O26" s="221" t="s">
        <v>65</v>
      </c>
      <c r="P26" s="40" t="str">
        <f>Tue!E26</f>
        <v>SP</v>
      </c>
      <c r="Q26" s="7" t="str">
        <f>Tue!F26</f>
        <v>(MH)</v>
      </c>
      <c r="R26" s="6" t="str">
        <f>Tue!G26</f>
        <v>HR</v>
      </c>
      <c r="S26" s="7" t="str">
        <f>Tue!H26</f>
        <v>(BD)</v>
      </c>
      <c r="T26" s="412" t="s">
        <v>143</v>
      </c>
      <c r="U26" s="413"/>
      <c r="V26" s="6" t="str">
        <f>Tue!K26</f>
        <v>CM</v>
      </c>
      <c r="W26" s="11" t="str">
        <f>Tue!L26</f>
        <v>(SAK)</v>
      </c>
      <c r="X26" s="39" t="str">
        <f>Tue!M26</f>
        <v>CA</v>
      </c>
      <c r="Y26" s="43" t="str">
        <f>Tue!N26</f>
        <v>(VA)</v>
      </c>
      <c r="Z26" s="221" t="s">
        <v>65</v>
      </c>
      <c r="AA26" s="40" t="str">
        <f>Wed!E26</f>
        <v>SP</v>
      </c>
      <c r="AB26" s="7" t="str">
        <f>Wed!F26</f>
        <v>(MH)</v>
      </c>
      <c r="AC26" s="6" t="str">
        <f>Wed!G26</f>
        <v>MM</v>
      </c>
      <c r="AD26" s="7" t="str">
        <f>Wed!H26</f>
        <v>(SB)</v>
      </c>
      <c r="AE26" s="412" t="s">
        <v>143</v>
      </c>
      <c r="AF26" s="413"/>
      <c r="AG26" s="6" t="str">
        <f>Wed!K26</f>
        <v>HR</v>
      </c>
      <c r="AH26" s="11" t="str">
        <f>Wed!L26</f>
        <v>(BD)</v>
      </c>
      <c r="AI26" s="39">
        <f>Wed!M26</f>
        <v>0</v>
      </c>
      <c r="AJ26" s="43">
        <f>Wed!N26</f>
        <v>0</v>
      </c>
      <c r="AK26" s="221" t="s">
        <v>65</v>
      </c>
      <c r="AL26" s="40" t="str">
        <f>Thur!E26</f>
        <v>SP</v>
      </c>
      <c r="AM26" s="7" t="str">
        <f>Thur!F26</f>
        <v>(MH)</v>
      </c>
      <c r="AN26" s="6" t="str">
        <f>Thur!G26</f>
        <v>CM</v>
      </c>
      <c r="AO26" s="7" t="str">
        <f>Thur!H26</f>
        <v>(SAK)</v>
      </c>
      <c r="AP26" s="412" t="s">
        <v>143</v>
      </c>
      <c r="AQ26" s="413"/>
      <c r="AR26" s="6" t="str">
        <f>Thur!K26</f>
        <v>CA</v>
      </c>
      <c r="AS26" s="11" t="str">
        <f>Thur!L26</f>
        <v>(VA)</v>
      </c>
      <c r="AT26" s="39" t="str">
        <f>Thur!M26</f>
        <v>ED</v>
      </c>
      <c r="AU26" s="43" t="str">
        <f>Thur!N26</f>
        <v>(YL)</v>
      </c>
      <c r="AV26" s="221" t="s">
        <v>65</v>
      </c>
      <c r="AW26" s="40" t="str">
        <f>Fri!E26</f>
        <v>MM</v>
      </c>
      <c r="AX26" s="7" t="str">
        <f>Fri!F26</f>
        <v>(SB)</v>
      </c>
      <c r="AY26" s="6" t="str">
        <f>Fri!G26</f>
        <v>ED</v>
      </c>
      <c r="AZ26" s="7" t="str">
        <f>Fri!H26</f>
        <v>(YL)</v>
      </c>
      <c r="BA26" s="412" t="s">
        <v>143</v>
      </c>
      <c r="BB26" s="413"/>
      <c r="BC26" s="6" t="str">
        <f>Fri!K26</f>
        <v>EVS</v>
      </c>
      <c r="BD26" s="11" t="str">
        <f>Fri!L26</f>
        <v>(RR)</v>
      </c>
      <c r="BE26" s="39" t="str">
        <f>Fri!M26</f>
        <v>HR</v>
      </c>
      <c r="BF26" s="43" t="str">
        <f>Fri!N26</f>
        <v>(BD)</v>
      </c>
      <c r="BG26" s="259" t="s">
        <v>65</v>
      </c>
      <c r="BH26" s="40" t="str">
        <f>Sat!E26</f>
        <v>EVS</v>
      </c>
      <c r="BI26" s="7" t="str">
        <f>Sat!F26</f>
        <v>(RR)</v>
      </c>
      <c r="BJ26" s="6" t="str">
        <f>Sat!G26</f>
        <v>CM</v>
      </c>
      <c r="BK26" s="7" t="str">
        <f>Sat!H26</f>
        <v>(SAK)</v>
      </c>
      <c r="BL26" s="412">
        <f>Sat!I26</f>
        <v>0</v>
      </c>
      <c r="BM26" s="413"/>
      <c r="BN26" s="6" t="str">
        <f>Sat!K26</f>
        <v>CA</v>
      </c>
      <c r="BO26" s="41" t="str">
        <f>Sat!L26</f>
        <v>(VA)</v>
      </c>
      <c r="BP26">
        <f>Sat!M27</f>
        <v>0</v>
      </c>
    </row>
    <row r="27" spans="1:68" x14ac:dyDescent="0.35">
      <c r="A27" s="408"/>
      <c r="B27" s="17" t="str">
        <f>Mon!B27</f>
        <v>OP/CM/CP</v>
      </c>
      <c r="C27" s="244" t="str">
        <f>Mon!C27</f>
        <v>G</v>
      </c>
      <c r="D27" s="251">
        <f>Mon!D27</f>
        <v>0</v>
      </c>
      <c r="E27" s="40" t="str">
        <f>Mon!E27</f>
        <v>MM</v>
      </c>
      <c r="F27" s="7" t="str">
        <f>Mon!F27</f>
        <v>(VAR)</v>
      </c>
      <c r="G27" s="6" t="str">
        <f>Mon!G27</f>
        <v>EVS</v>
      </c>
      <c r="H27" s="7" t="str">
        <f>Mon!H27</f>
        <v>(MB)</v>
      </c>
      <c r="I27" s="412"/>
      <c r="J27" s="413"/>
      <c r="K27" s="6" t="str">
        <f>Mon!K27</f>
        <v>HR</v>
      </c>
      <c r="L27" s="11" t="str">
        <f>Mon!L27</f>
        <v>(AS)</v>
      </c>
      <c r="M27" s="39" t="str">
        <f>Mon!M27</f>
        <v>CA</v>
      </c>
      <c r="N27" s="43" t="str">
        <f>Mon!N27</f>
        <v>(KR)</v>
      </c>
      <c r="O27" s="221" t="s">
        <v>69</v>
      </c>
      <c r="P27" s="40" t="str">
        <f>Tue!E27</f>
        <v>MM</v>
      </c>
      <c r="Q27" s="7" t="str">
        <f>Tue!F27</f>
        <v>(VAR)</v>
      </c>
      <c r="R27" s="6" t="str">
        <f>Tue!G27</f>
        <v>ED</v>
      </c>
      <c r="S27" s="7" t="str">
        <f>Tue!H27</f>
        <v>(RR)</v>
      </c>
      <c r="T27" s="412" t="s">
        <v>143</v>
      </c>
      <c r="U27" s="413"/>
      <c r="V27" s="6" t="str">
        <f>Tue!K27</f>
        <v>OP</v>
      </c>
      <c r="W27" s="11" t="str">
        <f>Tue!L27</f>
        <v>(SB)</v>
      </c>
      <c r="X27" s="39" t="str">
        <f>Tue!M27</f>
        <v>CP</v>
      </c>
      <c r="Y27" s="43" t="str">
        <f>Tue!N27</f>
        <v>(SP)</v>
      </c>
      <c r="Z27" s="221" t="s">
        <v>69</v>
      </c>
      <c r="AA27" s="40" t="str">
        <f>Wed!E27</f>
        <v>EVS</v>
      </c>
      <c r="AB27" s="7" t="str">
        <f>Wed!F27</f>
        <v>(MB)</v>
      </c>
      <c r="AC27" s="6" t="str">
        <f>Wed!G27</f>
        <v>CP</v>
      </c>
      <c r="AD27" s="7" t="str">
        <f>Wed!H27</f>
        <v>(SP)</v>
      </c>
      <c r="AE27" s="412" t="s">
        <v>143</v>
      </c>
      <c r="AF27" s="413"/>
      <c r="AG27" s="6" t="str">
        <f>Wed!K27</f>
        <v>CA</v>
      </c>
      <c r="AH27" s="11" t="str">
        <f>Wed!L27</f>
        <v>(KR)</v>
      </c>
      <c r="AI27" s="39">
        <f>Wed!M27</f>
        <v>0</v>
      </c>
      <c r="AJ27" s="43">
        <f>Wed!N27</f>
        <v>0</v>
      </c>
      <c r="AK27" s="221" t="s">
        <v>69</v>
      </c>
      <c r="AL27" s="40" t="str">
        <f>Thur!E27</f>
        <v>OP</v>
      </c>
      <c r="AM27" s="7" t="str">
        <f>Thur!F27</f>
        <v>(SB)</v>
      </c>
      <c r="AN27" s="6" t="str">
        <f>Thur!G27</f>
        <v>EVS</v>
      </c>
      <c r="AO27" s="7" t="str">
        <f>Thur!H27</f>
        <v>(MB)</v>
      </c>
      <c r="AP27" s="412" t="s">
        <v>143</v>
      </c>
      <c r="AQ27" s="413"/>
      <c r="AR27" s="6" t="str">
        <f>Thur!K27</f>
        <v>ED</v>
      </c>
      <c r="AS27" s="11" t="str">
        <f>Thur!L27</f>
        <v>(RR)</v>
      </c>
      <c r="AT27" s="39" t="str">
        <f>Thur!M27</f>
        <v>HR</v>
      </c>
      <c r="AU27" s="43" t="str">
        <f>Thur!N27</f>
        <v>(AS)</v>
      </c>
      <c r="AV27" s="221" t="s">
        <v>69</v>
      </c>
      <c r="AW27" s="40" t="str">
        <f>Fri!E27</f>
        <v>MM</v>
      </c>
      <c r="AX27" s="7" t="str">
        <f>Fri!F27</f>
        <v>(VAR)</v>
      </c>
      <c r="AY27" s="6" t="str">
        <f>Fri!G27</f>
        <v>ED</v>
      </c>
      <c r="AZ27" s="7" t="str">
        <f>Fri!H27</f>
        <v>(RR)</v>
      </c>
      <c r="BA27" s="412" t="s">
        <v>143</v>
      </c>
      <c r="BB27" s="413"/>
      <c r="BC27" s="6" t="str">
        <f>Fri!K27</f>
        <v>CP</v>
      </c>
      <c r="BD27" s="11" t="str">
        <f>Fri!L27</f>
        <v>(SP)</v>
      </c>
      <c r="BE27" s="39" t="str">
        <f>Fri!M27</f>
        <v>CA</v>
      </c>
      <c r="BF27" s="43" t="str">
        <f>Fri!N27</f>
        <v>(KR)</v>
      </c>
      <c r="BG27" s="259" t="s">
        <v>69</v>
      </c>
      <c r="BH27" s="40" t="str">
        <f>Sat!E27</f>
        <v>OP</v>
      </c>
      <c r="BI27" s="7" t="str">
        <f>Sat!F27</f>
        <v>(SB)</v>
      </c>
      <c r="BJ27" s="6" t="str">
        <f>Sat!G27</f>
        <v>HR</v>
      </c>
      <c r="BK27" s="7" t="str">
        <f>Sat!H27</f>
        <v>(AS)</v>
      </c>
      <c r="BL27" s="412">
        <f>Sat!I27</f>
        <v>0</v>
      </c>
      <c r="BM27" s="413"/>
      <c r="BN27" s="6" t="str">
        <f>Sat!K27</f>
        <v>CA</v>
      </c>
      <c r="BO27" s="41" t="str">
        <f>Sat!L27</f>
        <v>(KR)</v>
      </c>
      <c r="BP27">
        <f>Sat!M28</f>
        <v>0</v>
      </c>
    </row>
    <row r="28" spans="1:68" x14ac:dyDescent="0.35">
      <c r="A28" s="408"/>
      <c r="B28" s="17" t="str">
        <f>Mon!B28</f>
        <v>CP+OP</v>
      </c>
      <c r="C28" s="244" t="str">
        <f>Mon!C28</f>
        <v>H</v>
      </c>
      <c r="D28" s="251">
        <f>Mon!D28</f>
        <v>0</v>
      </c>
      <c r="E28" s="40" t="str">
        <f>Mon!E28</f>
        <v>CA</v>
      </c>
      <c r="F28" s="7" t="str">
        <f>Mon!F28</f>
        <v>(SW)</v>
      </c>
      <c r="G28" s="6" t="str">
        <f>Mon!G28</f>
        <v>HR</v>
      </c>
      <c r="H28" s="7" t="str">
        <f>Mon!H28</f>
        <v>(RT)</v>
      </c>
      <c r="I28" s="412"/>
      <c r="J28" s="413"/>
      <c r="K28" s="6" t="str">
        <f>Mon!K28</f>
        <v>SP</v>
      </c>
      <c r="L28" s="11" t="str">
        <f>Mon!L28</f>
        <v>(MH)</v>
      </c>
      <c r="M28" s="39" t="str">
        <f>Mon!M28</f>
        <v>CP</v>
      </c>
      <c r="N28" s="43" t="str">
        <f>Mon!N28</f>
        <v>(MB)</v>
      </c>
      <c r="O28" s="221" t="s">
        <v>72</v>
      </c>
      <c r="P28" s="40" t="str">
        <f>Tue!E28</f>
        <v>HR</v>
      </c>
      <c r="Q28" s="7" t="str">
        <f>Tue!F28</f>
        <v>(RT)</v>
      </c>
      <c r="R28" s="6" t="str">
        <f>Tue!G28</f>
        <v>CA</v>
      </c>
      <c r="S28" s="7" t="str">
        <f>Tue!H28</f>
        <v>(SW)</v>
      </c>
      <c r="T28" s="412" t="s">
        <v>143</v>
      </c>
      <c r="U28" s="413"/>
      <c r="V28" s="6" t="str">
        <f>Tue!K28</f>
        <v>ED</v>
      </c>
      <c r="W28" s="11" t="str">
        <f>Tue!L28</f>
        <v>(LV)</v>
      </c>
      <c r="X28" s="39" t="str">
        <f>Tue!M28</f>
        <v>SP</v>
      </c>
      <c r="Y28" s="43" t="str">
        <f>Tue!N28</f>
        <v>(MH)</v>
      </c>
      <c r="Z28" s="221" t="s">
        <v>72</v>
      </c>
      <c r="AA28" s="40" t="str">
        <f>Wed!E28</f>
        <v>MM</v>
      </c>
      <c r="AB28" s="7" t="str">
        <f>Wed!F28</f>
        <v>(SRS)</v>
      </c>
      <c r="AC28" s="6" t="str">
        <f>Wed!G28</f>
        <v>CA</v>
      </c>
      <c r="AD28" s="7" t="str">
        <f>Wed!H28</f>
        <v>(SW)</v>
      </c>
      <c r="AE28" s="412" t="s">
        <v>143</v>
      </c>
      <c r="AF28" s="413"/>
      <c r="AG28" s="6" t="str">
        <f>Wed!K28</f>
        <v>EVS</v>
      </c>
      <c r="AH28" s="11" t="str">
        <f>Wed!L28</f>
        <v>(NEW)</v>
      </c>
      <c r="AI28" s="39">
        <f>Wed!M28</f>
        <v>0</v>
      </c>
      <c r="AJ28" s="43">
        <f>Wed!N28</f>
        <v>0</v>
      </c>
      <c r="AK28" s="221" t="s">
        <v>72</v>
      </c>
      <c r="AL28" s="40" t="str">
        <f>Thur!E28</f>
        <v>EVS</v>
      </c>
      <c r="AM28" s="7" t="str">
        <f>Thur!F28</f>
        <v>(NEW)</v>
      </c>
      <c r="AN28" s="6" t="str">
        <f>Thur!G28</f>
        <v>SP</v>
      </c>
      <c r="AO28" s="7" t="str">
        <f>Thur!H28</f>
        <v>(MH)</v>
      </c>
      <c r="AP28" s="412" t="s">
        <v>143</v>
      </c>
      <c r="AQ28" s="413"/>
      <c r="AR28" s="6" t="str">
        <f>Thur!K28</f>
        <v>CP</v>
      </c>
      <c r="AS28" s="11" t="str">
        <f>Thur!L28</f>
        <v>(MB)</v>
      </c>
      <c r="AT28" s="39" t="str">
        <f>Thur!M28</f>
        <v>CA</v>
      </c>
      <c r="AU28" s="43" t="str">
        <f>Thur!N28</f>
        <v>(SW)</v>
      </c>
      <c r="AV28" s="221" t="s">
        <v>72</v>
      </c>
      <c r="AW28" s="40" t="str">
        <f>Fri!E28</f>
        <v>HR</v>
      </c>
      <c r="AX28" s="7" t="str">
        <f>Fri!F28</f>
        <v>(RT)</v>
      </c>
      <c r="AY28" s="6" t="str">
        <f>Fri!G28</f>
        <v>ED</v>
      </c>
      <c r="AZ28" s="7" t="str">
        <f>Fri!H28</f>
        <v>(LV)</v>
      </c>
      <c r="BA28" s="412" t="s">
        <v>143</v>
      </c>
      <c r="BB28" s="413"/>
      <c r="BC28" s="6" t="str">
        <f>Fri!K28</f>
        <v>EVS</v>
      </c>
      <c r="BD28" s="11" t="str">
        <f>Fri!L28</f>
        <v>(NEW)</v>
      </c>
      <c r="BE28" s="39" t="str">
        <f>Fri!M28</f>
        <v>MM</v>
      </c>
      <c r="BF28" s="43" t="str">
        <f>Fri!N28</f>
        <v>(SRS)</v>
      </c>
      <c r="BG28" s="259" t="s">
        <v>72</v>
      </c>
      <c r="BH28" s="40" t="str">
        <f>Sat!E28</f>
        <v>MM</v>
      </c>
      <c r="BI28" s="7" t="str">
        <f>Sat!F28</f>
        <v>(SRS)</v>
      </c>
      <c r="BJ28" s="6" t="str">
        <f>Sat!G28</f>
        <v>ED</v>
      </c>
      <c r="BK28" s="7" t="str">
        <f>Sat!H28</f>
        <v>(LV)</v>
      </c>
      <c r="BL28" s="412">
        <f>Sat!I28</f>
        <v>0</v>
      </c>
      <c r="BM28" s="413"/>
      <c r="BN28" s="6" t="str">
        <f>Sat!K28</f>
        <v>CP</v>
      </c>
      <c r="BO28" s="41" t="str">
        <f>Sat!L28</f>
        <v>(MB)</v>
      </c>
      <c r="BP28">
        <f>Sat!M29</f>
        <v>0</v>
      </c>
    </row>
    <row r="29" spans="1:68" ht="17.25" customHeight="1" x14ac:dyDescent="0.35">
      <c r="A29" s="408"/>
      <c r="B29" s="17" t="str">
        <f>Mon!B29</f>
        <v>CP+OP</v>
      </c>
      <c r="C29" s="244" t="str">
        <f>Mon!C29</f>
        <v>I</v>
      </c>
      <c r="D29" s="251">
        <f>Mon!D29</f>
        <v>0</v>
      </c>
      <c r="E29" s="40" t="str">
        <f>Mon!E29</f>
        <v>MM</v>
      </c>
      <c r="F29" s="7" t="str">
        <f>Mon!F29</f>
        <v>(SAK)</v>
      </c>
      <c r="G29" s="6" t="str">
        <f>Mon!G29</f>
        <v>ED</v>
      </c>
      <c r="H29" s="7" t="str">
        <f>Mon!H29</f>
        <v>(MS)</v>
      </c>
      <c r="I29" s="412"/>
      <c r="J29" s="413"/>
      <c r="K29" s="6" t="str">
        <f>Mon!K29</f>
        <v>CP</v>
      </c>
      <c r="L29" s="11" t="str">
        <f>Mon!L29</f>
        <v>(SP)</v>
      </c>
      <c r="M29" s="39" t="str">
        <f>Mon!M29</f>
        <v>HR</v>
      </c>
      <c r="N29" s="43" t="str">
        <f>Mon!N29</f>
        <v>(SUH)</v>
      </c>
      <c r="O29" s="221" t="s">
        <v>76</v>
      </c>
      <c r="P29" s="40" t="str">
        <f>Tue!E29</f>
        <v>CA</v>
      </c>
      <c r="Q29" s="7" t="str">
        <f>Tue!F29</f>
        <v>(VA)</v>
      </c>
      <c r="R29" s="6" t="str">
        <f>Tue!G29</f>
        <v>HR</v>
      </c>
      <c r="S29" s="7" t="str">
        <f>Tue!H29</f>
        <v>(SUH)</v>
      </c>
      <c r="T29" s="412" t="s">
        <v>143</v>
      </c>
      <c r="U29" s="413"/>
      <c r="V29" s="6" t="str">
        <f>Tue!K29</f>
        <v>EVS</v>
      </c>
      <c r="W29" s="11" t="str">
        <f>Tue!L29</f>
        <v>(NEW)</v>
      </c>
      <c r="X29" s="39" t="str">
        <f>Tue!M29</f>
        <v>OP</v>
      </c>
      <c r="Y29" s="43" t="str">
        <f>Tue!N29</f>
        <v>(SB)</v>
      </c>
      <c r="Z29" s="221" t="s">
        <v>76</v>
      </c>
      <c r="AA29" s="40" t="str">
        <f>Wed!E29</f>
        <v>CA</v>
      </c>
      <c r="AB29" s="7" t="str">
        <f>Wed!F29</f>
        <v>(VA)</v>
      </c>
      <c r="AC29" s="6" t="str">
        <f>Wed!G29</f>
        <v>HR</v>
      </c>
      <c r="AD29" s="7" t="str">
        <f>Wed!H29</f>
        <v>(SUH)</v>
      </c>
      <c r="AE29" s="412" t="s">
        <v>143</v>
      </c>
      <c r="AF29" s="413"/>
      <c r="AG29" s="6" t="str">
        <f>Wed!K29</f>
        <v>CP</v>
      </c>
      <c r="AH29" s="11" t="str">
        <f>Wed!L29</f>
        <v>(SP)</v>
      </c>
      <c r="AI29" s="39">
        <f>Wed!M29</f>
        <v>0</v>
      </c>
      <c r="AJ29" s="43">
        <f>Wed!N29</f>
        <v>0</v>
      </c>
      <c r="AK29" s="221" t="s">
        <v>76</v>
      </c>
      <c r="AL29" s="40" t="str">
        <f>Thur!E29</f>
        <v>MM</v>
      </c>
      <c r="AM29" s="7" t="str">
        <f>Thur!F29</f>
        <v>(SAK)</v>
      </c>
      <c r="AN29" s="6" t="str">
        <f>Thur!G29</f>
        <v>OP</v>
      </c>
      <c r="AO29" s="7" t="str">
        <f>Thur!H29</f>
        <v>(SB)</v>
      </c>
      <c r="AP29" s="412" t="s">
        <v>143</v>
      </c>
      <c r="AQ29" s="413"/>
      <c r="AR29" s="6" t="str">
        <f>Thur!K29</f>
        <v>EVS</v>
      </c>
      <c r="AS29" s="11" t="str">
        <f>Thur!L29</f>
        <v>(NEW)</v>
      </c>
      <c r="AT29" s="39" t="str">
        <f>Thur!M29</f>
        <v>ED</v>
      </c>
      <c r="AU29" s="43" t="str">
        <f>Thur!N29</f>
        <v>(MS)</v>
      </c>
      <c r="AV29" s="221" t="s">
        <v>76</v>
      </c>
      <c r="AW29" s="40" t="str">
        <f>Fri!E29</f>
        <v>EVS</v>
      </c>
      <c r="AX29" s="7" t="str">
        <f>Fri!F29</f>
        <v>(NEW)</v>
      </c>
      <c r="AY29" s="6" t="str">
        <f>Fri!G29</f>
        <v>ED</v>
      </c>
      <c r="AZ29" s="7" t="str">
        <f>Fri!H29</f>
        <v>(MS)</v>
      </c>
      <c r="BA29" s="412" t="s">
        <v>143</v>
      </c>
      <c r="BB29" s="413"/>
      <c r="BC29" s="6" t="str">
        <f>Fri!K29</f>
        <v>CA</v>
      </c>
      <c r="BD29" s="11" t="str">
        <f>Fri!L29</f>
        <v>(VA)</v>
      </c>
      <c r="BE29" s="39" t="str">
        <f>Fri!M29</f>
        <v>CP</v>
      </c>
      <c r="BF29" s="43" t="str">
        <f>Fri!N29</f>
        <v>(SP)</v>
      </c>
      <c r="BG29" s="259" t="s">
        <v>76</v>
      </c>
      <c r="BH29" s="40" t="str">
        <f>Sat!E29</f>
        <v>CA</v>
      </c>
      <c r="BI29" s="7" t="str">
        <f>Sat!F29</f>
        <v>(VA)</v>
      </c>
      <c r="BJ29" s="6" t="str">
        <f>Sat!G29</f>
        <v>OP</v>
      </c>
      <c r="BK29" s="7" t="str">
        <f>Sat!H29</f>
        <v>(SB)</v>
      </c>
      <c r="BL29" s="412">
        <f>Sat!I29</f>
        <v>0</v>
      </c>
      <c r="BM29" s="413"/>
      <c r="BN29" s="6" t="str">
        <f>Sat!K29</f>
        <v>MM</v>
      </c>
      <c r="BO29" s="41" t="str">
        <f>Sat!L29</f>
        <v>(SAK)</v>
      </c>
      <c r="BP29">
        <f>Sat!M30</f>
        <v>0</v>
      </c>
    </row>
    <row r="30" spans="1:68" x14ac:dyDescent="0.35">
      <c r="A30" s="408"/>
      <c r="B30" s="17" t="str">
        <f>Mon!B30</f>
        <v>CP+OP</v>
      </c>
      <c r="C30" s="244" t="str">
        <f>Mon!C30</f>
        <v>J</v>
      </c>
      <c r="D30" s="251">
        <f>Mon!D30</f>
        <v>0</v>
      </c>
      <c r="E30" s="40" t="str">
        <f>Mon!E30</f>
        <v>OP</v>
      </c>
      <c r="F30" s="7" t="str">
        <f>Mon!F30</f>
        <v>(ND)</v>
      </c>
      <c r="G30" s="6" t="str">
        <f>Mon!G30</f>
        <v>ED</v>
      </c>
      <c r="H30" s="7" t="str">
        <f>Mon!H30</f>
        <v>(LV)</v>
      </c>
      <c r="I30" s="412"/>
      <c r="J30" s="413"/>
      <c r="K30" s="6" t="str">
        <f>Mon!K30</f>
        <v>CP</v>
      </c>
      <c r="L30" s="11" t="str">
        <f>Mon!L30</f>
        <v>(MB)</v>
      </c>
      <c r="M30" s="39" t="str">
        <f>Mon!M30</f>
        <v>CA</v>
      </c>
      <c r="N30" s="43" t="str">
        <f>Mon!N30</f>
        <v>(SW)</v>
      </c>
      <c r="O30" s="221" t="s">
        <v>79</v>
      </c>
      <c r="P30" s="40" t="str">
        <f>Tue!E30</f>
        <v>CA</v>
      </c>
      <c r="Q30" s="7" t="str">
        <f>Tue!F30</f>
        <v>(SW)</v>
      </c>
      <c r="R30" s="6" t="str">
        <f>Tue!G30</f>
        <v>EVS</v>
      </c>
      <c r="S30" s="7" t="str">
        <f>Tue!H30</f>
        <v>(AG)</v>
      </c>
      <c r="T30" s="412" t="s">
        <v>143</v>
      </c>
      <c r="U30" s="413"/>
      <c r="V30" s="6" t="str">
        <f>Tue!K30</f>
        <v>HR</v>
      </c>
      <c r="W30" s="11" t="str">
        <f>Tue!L30</f>
        <v>(AS)</v>
      </c>
      <c r="X30" s="39" t="str">
        <f>Tue!M30</f>
        <v>MM</v>
      </c>
      <c r="Y30" s="43" t="str">
        <f>Tue!N30</f>
        <v>(SRS)</v>
      </c>
      <c r="Z30" s="221" t="s">
        <v>79</v>
      </c>
      <c r="AA30" s="40" t="str">
        <f>Wed!E30</f>
        <v>HR</v>
      </c>
      <c r="AB30" s="7" t="str">
        <f>Wed!F30</f>
        <v>(AS)</v>
      </c>
      <c r="AC30" s="6" t="str">
        <f>Wed!G30</f>
        <v>CP</v>
      </c>
      <c r="AD30" s="7" t="str">
        <f>Wed!H30</f>
        <v>(MB)</v>
      </c>
      <c r="AE30" s="412" t="s">
        <v>143</v>
      </c>
      <c r="AF30" s="413"/>
      <c r="AG30" s="6" t="str">
        <f>Wed!K30</f>
        <v>MM</v>
      </c>
      <c r="AH30" s="11" t="str">
        <f>Wed!L30</f>
        <v>(SRS)</v>
      </c>
      <c r="AI30" s="39">
        <f>Wed!M30</f>
        <v>0</v>
      </c>
      <c r="AJ30" s="43">
        <f>Wed!N30</f>
        <v>0</v>
      </c>
      <c r="AK30" s="221" t="s">
        <v>79</v>
      </c>
      <c r="AL30" s="40" t="str">
        <f>Thur!E30</f>
        <v>ED</v>
      </c>
      <c r="AM30" s="7" t="str">
        <f>Thur!F30</f>
        <v>(LV)</v>
      </c>
      <c r="AN30" s="6" t="str">
        <f>Thur!G30</f>
        <v>EVS</v>
      </c>
      <c r="AO30" s="7" t="str">
        <f>Thur!H30</f>
        <v>(AG)</v>
      </c>
      <c r="AP30" s="412" t="s">
        <v>143</v>
      </c>
      <c r="AQ30" s="413"/>
      <c r="AR30" s="6" t="str">
        <f>Thur!K30</f>
        <v>MM</v>
      </c>
      <c r="AS30" s="11" t="str">
        <f>Thur!L30</f>
        <v>(SRS)</v>
      </c>
      <c r="AT30" s="39" t="str">
        <f>Thur!M30</f>
        <v>OP</v>
      </c>
      <c r="AU30" s="43" t="str">
        <f>Thur!N30</f>
        <v>(ND)</v>
      </c>
      <c r="AV30" s="221" t="s">
        <v>79</v>
      </c>
      <c r="AW30" s="40" t="str">
        <f>Fri!E30</f>
        <v>CP</v>
      </c>
      <c r="AX30" s="7" t="str">
        <f>Fri!F30</f>
        <v>(MB)</v>
      </c>
      <c r="AY30" s="6" t="str">
        <f>Fri!G30</f>
        <v>CA</v>
      </c>
      <c r="AZ30" s="7" t="str">
        <f>Fri!H30</f>
        <v>(SW)</v>
      </c>
      <c r="BA30" s="412" t="s">
        <v>143</v>
      </c>
      <c r="BB30" s="413"/>
      <c r="BC30" s="6" t="str">
        <f>Fri!K30</f>
        <v>ED</v>
      </c>
      <c r="BD30" s="11" t="str">
        <f>Fri!L30</f>
        <v>(LV)</v>
      </c>
      <c r="BE30" s="39" t="str">
        <f>Fri!M30</f>
        <v>OP</v>
      </c>
      <c r="BF30" s="43" t="str">
        <f>Fri!N30</f>
        <v>(ND)</v>
      </c>
      <c r="BG30" s="259" t="s">
        <v>79</v>
      </c>
      <c r="BH30" s="40" t="str">
        <f>Sat!E30</f>
        <v>HR</v>
      </c>
      <c r="BI30" s="7" t="str">
        <f>Sat!F30</f>
        <v>(RT)</v>
      </c>
      <c r="BJ30" s="6" t="str">
        <f>Sat!G30</f>
        <v>CA</v>
      </c>
      <c r="BK30" s="7" t="str">
        <f>Sat!H30</f>
        <v>(SW)</v>
      </c>
      <c r="BL30" s="412">
        <f>Sat!I30</f>
        <v>0</v>
      </c>
      <c r="BM30" s="413"/>
      <c r="BN30" s="6" t="str">
        <f>Sat!K30</f>
        <v>EVS</v>
      </c>
      <c r="BO30" s="41" t="str">
        <f>Sat!L30</f>
        <v>(AG)</v>
      </c>
      <c r="BP30">
        <f>Sat!M31</f>
        <v>0</v>
      </c>
    </row>
    <row r="31" spans="1:68" x14ac:dyDescent="0.35">
      <c r="A31" s="408"/>
      <c r="B31" s="17" t="str">
        <f>Mon!B31</f>
        <v>CM+SP</v>
      </c>
      <c r="C31" s="244" t="str">
        <f>Mon!C31</f>
        <v>K</v>
      </c>
      <c r="D31" s="251">
        <f>Mon!D31</f>
        <v>0</v>
      </c>
      <c r="E31" s="40" t="str">
        <f>Mon!E31</f>
        <v>HR</v>
      </c>
      <c r="F31" s="7" t="str">
        <f>Mon!F31</f>
        <v>(AS)</v>
      </c>
      <c r="G31" s="6" t="str">
        <f>Mon!G31</f>
        <v>MM</v>
      </c>
      <c r="H31" s="7" t="str">
        <f>Mon!H31</f>
        <v>(SAK)</v>
      </c>
      <c r="I31" s="412"/>
      <c r="J31" s="413"/>
      <c r="K31" s="6" t="str">
        <f>Mon!K31</f>
        <v>OP</v>
      </c>
      <c r="L31" s="11" t="str">
        <f>Mon!L31</f>
        <v>(ND)</v>
      </c>
      <c r="M31" s="39" t="str">
        <f>Mon!M31</f>
        <v>EVS</v>
      </c>
      <c r="N31" s="43" t="str">
        <f>Mon!N31</f>
        <v>(New)</v>
      </c>
      <c r="O31" s="221" t="s">
        <v>81</v>
      </c>
      <c r="P31" s="40" t="str">
        <f>Tue!E31</f>
        <v>EVS</v>
      </c>
      <c r="Q31" s="7" t="str">
        <f>Tue!F31</f>
        <v>(New)</v>
      </c>
      <c r="R31" s="6" t="str">
        <f>Tue!G31</f>
        <v>HR</v>
      </c>
      <c r="S31" s="7" t="str">
        <f>Tue!H31</f>
        <v>(AS)</v>
      </c>
      <c r="T31" s="412" t="s">
        <v>143</v>
      </c>
      <c r="U31" s="413"/>
      <c r="V31" s="6" t="str">
        <f>Tue!K31</f>
        <v>CM</v>
      </c>
      <c r="W31" s="11" t="str">
        <f>Tue!L31</f>
        <v>(AV)</v>
      </c>
      <c r="X31" s="39" t="str">
        <f>Tue!M31</f>
        <v>CA</v>
      </c>
      <c r="Y31" s="43" t="str">
        <f>Tue!N31</f>
        <v>(TK)</v>
      </c>
      <c r="Z31" s="221" t="s">
        <v>81</v>
      </c>
      <c r="AA31" s="40" t="str">
        <f>Wed!E31</f>
        <v>ED</v>
      </c>
      <c r="AB31" s="7" t="str">
        <f>Wed!F31</f>
        <v>(RR)</v>
      </c>
      <c r="AC31" s="6" t="str">
        <f>Wed!G31</f>
        <v>MM</v>
      </c>
      <c r="AD31" s="7" t="str">
        <f>Wed!H31</f>
        <v>(SAK)</v>
      </c>
      <c r="AE31" s="412" t="s">
        <v>143</v>
      </c>
      <c r="AF31" s="413"/>
      <c r="AG31" s="6" t="str">
        <f>Wed!K31</f>
        <v>OP</v>
      </c>
      <c r="AH31" s="11" t="str">
        <f>Wed!L31</f>
        <v>(ND)</v>
      </c>
      <c r="AI31" s="39">
        <f>Wed!M31</f>
        <v>0</v>
      </c>
      <c r="AJ31" s="43">
        <f>Wed!N31</f>
        <v>0</v>
      </c>
      <c r="AK31" s="221" t="s">
        <v>81</v>
      </c>
      <c r="AL31" s="40" t="str">
        <f>Thur!E31</f>
        <v>CM</v>
      </c>
      <c r="AM31" s="7" t="str">
        <f>Thur!F31</f>
        <v>(AV)</v>
      </c>
      <c r="AN31" s="6" t="str">
        <f>Thur!G31</f>
        <v>OP</v>
      </c>
      <c r="AO31" s="7" t="str">
        <f>Thur!H31</f>
        <v>(ND)</v>
      </c>
      <c r="AP31" s="412" t="s">
        <v>143</v>
      </c>
      <c r="AQ31" s="413"/>
      <c r="AR31" s="6" t="str">
        <f>Thur!K31</f>
        <v>CA</v>
      </c>
      <c r="AS31" s="11" t="str">
        <f>Thur!L31</f>
        <v>(TK)</v>
      </c>
      <c r="AT31" s="39" t="str">
        <f>Thur!M31</f>
        <v>MM</v>
      </c>
      <c r="AU31" s="43" t="str">
        <f>Thur!N31</f>
        <v>(SAK)</v>
      </c>
      <c r="AV31" s="221" t="s">
        <v>81</v>
      </c>
      <c r="AW31" s="40" t="str">
        <f>Fri!E31</f>
        <v>ED</v>
      </c>
      <c r="AX31" s="7" t="str">
        <f>Fri!F31</f>
        <v>(RR)</v>
      </c>
      <c r="AY31" s="6" t="str">
        <f>Fri!G31</f>
        <v>EVS</v>
      </c>
      <c r="AZ31" s="7" t="str">
        <f>Fri!H31</f>
        <v>(New)</v>
      </c>
      <c r="BA31" s="412" t="s">
        <v>143</v>
      </c>
      <c r="BB31" s="413"/>
      <c r="BC31" s="6" t="str">
        <f>Fri!K31</f>
        <v>CA</v>
      </c>
      <c r="BD31" s="11" t="str">
        <f>Fri!L31</f>
        <v>(TK)</v>
      </c>
      <c r="BE31" s="39" t="str">
        <f>Fri!M31</f>
        <v>HR</v>
      </c>
      <c r="BF31" s="43" t="str">
        <f>Fri!N31</f>
        <v>(AS)</v>
      </c>
      <c r="BG31" s="259" t="s">
        <v>81</v>
      </c>
      <c r="BH31" s="40" t="str">
        <f>Sat!E31</f>
        <v>CA</v>
      </c>
      <c r="BI31" s="7" t="str">
        <f>Sat!F31</f>
        <v>(TK)</v>
      </c>
      <c r="BJ31" s="6" t="str">
        <f>Sat!G31</f>
        <v>ED</v>
      </c>
      <c r="BK31" s="7" t="str">
        <f>Sat!H31</f>
        <v>(RR)</v>
      </c>
      <c r="BL31" s="412">
        <f>Sat!I31</f>
        <v>0</v>
      </c>
      <c r="BM31" s="413"/>
      <c r="BN31" s="6" t="str">
        <f>Sat!K31</f>
        <v>CM</v>
      </c>
      <c r="BO31" s="41" t="str">
        <f>Sat!L31</f>
        <v>(AV)</v>
      </c>
      <c r="BP31">
        <f>Sat!M32</f>
        <v>0</v>
      </c>
    </row>
    <row r="32" spans="1:68" x14ac:dyDescent="0.35">
      <c r="A32" s="408"/>
      <c r="B32" s="17" t="str">
        <f>Mon!B32</f>
        <v>CM+SP+CP</v>
      </c>
      <c r="C32" s="244" t="str">
        <f>Mon!C32</f>
        <v>L</v>
      </c>
      <c r="D32" s="251">
        <f>Mon!D32</f>
        <v>0</v>
      </c>
      <c r="E32" s="40" t="str">
        <f>Mon!E32</f>
        <v>CA</v>
      </c>
      <c r="F32" s="7" t="str">
        <f>Mon!F32</f>
        <v>(MEG)</v>
      </c>
      <c r="G32" s="6" t="str">
        <f>Mon!G32</f>
        <v>MM</v>
      </c>
      <c r="H32" s="7" t="str">
        <f>Mon!H32</f>
        <v>(SRS)</v>
      </c>
      <c r="I32" s="412"/>
      <c r="J32" s="413"/>
      <c r="K32" s="6" t="str">
        <f>Mon!K32</f>
        <v>ED</v>
      </c>
      <c r="L32" s="11" t="str">
        <f>Mon!L32</f>
        <v>(LV)</v>
      </c>
      <c r="M32" s="39" t="str">
        <f>Mon!M32</f>
        <v>OP</v>
      </c>
      <c r="N32" s="43" t="str">
        <f>Mon!N32</f>
        <v>(ND)</v>
      </c>
      <c r="O32" s="221" t="s">
        <v>84</v>
      </c>
      <c r="P32" s="40" t="str">
        <f>Tue!E32</f>
        <v>HR</v>
      </c>
      <c r="Q32" s="7" t="str">
        <f>Tue!F32</f>
        <v>(AS)</v>
      </c>
      <c r="R32" s="6" t="str">
        <f>Tue!G32</f>
        <v>CA</v>
      </c>
      <c r="S32" s="7" t="str">
        <f>Tue!H32</f>
        <v>(MEG)</v>
      </c>
      <c r="T32" s="412" t="s">
        <v>143</v>
      </c>
      <c r="U32" s="413"/>
      <c r="V32" s="6" t="str">
        <f>Tue!K32</f>
        <v>CP</v>
      </c>
      <c r="W32" s="11" t="str">
        <f>Tue!L32</f>
        <v>(SP)</v>
      </c>
      <c r="X32" s="39" t="str">
        <f>Tue!M32</f>
        <v>OP</v>
      </c>
      <c r="Y32" s="43" t="str">
        <f>Tue!N32</f>
        <v>(ND)</v>
      </c>
      <c r="Z32" s="221" t="s">
        <v>84</v>
      </c>
      <c r="AA32" s="40" t="str">
        <f>Wed!E32</f>
        <v>ED</v>
      </c>
      <c r="AB32" s="7" t="str">
        <f>Wed!F32</f>
        <v>(LV)</v>
      </c>
      <c r="AC32" s="6" t="str">
        <f>Wed!G32</f>
        <v>EVS</v>
      </c>
      <c r="AD32" s="7" t="str">
        <f>Wed!H32</f>
        <v>(RR)</v>
      </c>
      <c r="AE32" s="412" t="s">
        <v>143</v>
      </c>
      <c r="AF32" s="413"/>
      <c r="AG32" s="6" t="str">
        <f>Wed!K32</f>
        <v>CP</v>
      </c>
      <c r="AH32" s="11" t="str">
        <f>Wed!L32</f>
        <v>(MB)</v>
      </c>
      <c r="AI32" s="39">
        <f>Wed!M32</f>
        <v>0</v>
      </c>
      <c r="AJ32" s="43">
        <f>Wed!N32</f>
        <v>0</v>
      </c>
      <c r="AK32" s="221" t="s">
        <v>84</v>
      </c>
      <c r="AL32" s="40" t="str">
        <f>Thur!E32</f>
        <v>MM</v>
      </c>
      <c r="AM32" s="7" t="str">
        <f>Thur!F32</f>
        <v>(SRS)</v>
      </c>
      <c r="AN32" s="6" t="str">
        <f>Thur!G32</f>
        <v>HR</v>
      </c>
      <c r="AO32" s="7" t="str">
        <f>Thur!H32</f>
        <v>(AS)</v>
      </c>
      <c r="AP32" s="412" t="s">
        <v>143</v>
      </c>
      <c r="AQ32" s="413"/>
      <c r="AR32" s="6" t="str">
        <f>Thur!K32</f>
        <v>CP</v>
      </c>
      <c r="AS32" s="11" t="str">
        <f>Thur!L32</f>
        <v>(SP)</v>
      </c>
      <c r="AT32" s="39" t="str">
        <f>Thur!M32</f>
        <v>CA</v>
      </c>
      <c r="AU32" s="43" t="str">
        <f>Thur!N32</f>
        <v>(MEG)</v>
      </c>
      <c r="AV32" s="221" t="s">
        <v>84</v>
      </c>
      <c r="AW32" s="40" t="str">
        <f>Fri!E32</f>
        <v>MM</v>
      </c>
      <c r="AX32" s="7" t="str">
        <f>Fri!F32</f>
        <v>(SRS)</v>
      </c>
      <c r="AY32" s="6" t="str">
        <f>Fri!G32</f>
        <v>OP</v>
      </c>
      <c r="AZ32" s="7" t="str">
        <f>Fri!H32</f>
        <v>(ND)</v>
      </c>
      <c r="BA32" s="412" t="s">
        <v>143</v>
      </c>
      <c r="BB32" s="413"/>
      <c r="BC32" s="6" t="str">
        <f>Fri!K32</f>
        <v>HR</v>
      </c>
      <c r="BD32" s="11" t="str">
        <f>Fri!L32</f>
        <v>(AS)</v>
      </c>
      <c r="BE32" s="39" t="str">
        <f>Fri!M32</f>
        <v>EVS</v>
      </c>
      <c r="BF32" s="43" t="str">
        <f>Fri!N32</f>
        <v>(RR)</v>
      </c>
      <c r="BG32" s="259" t="s">
        <v>84</v>
      </c>
      <c r="BH32" s="40" t="str">
        <f>Sat!E32</f>
        <v>ED</v>
      </c>
      <c r="BI32" s="7" t="str">
        <f>Sat!F32</f>
        <v>(LV)</v>
      </c>
      <c r="BJ32" s="6" t="str">
        <f>Sat!G32</f>
        <v>CA</v>
      </c>
      <c r="BK32" s="7" t="str">
        <f>Sat!H32</f>
        <v>(MEG)</v>
      </c>
      <c r="BL32" s="412">
        <f>Sat!I32</f>
        <v>0</v>
      </c>
      <c r="BM32" s="413"/>
      <c r="BN32" s="6" t="str">
        <f>Sat!K32</f>
        <v>EVS</v>
      </c>
      <c r="BO32" s="41" t="str">
        <f>Sat!L32</f>
        <v>(RR)</v>
      </c>
      <c r="BP32">
        <f>Sat!M33</f>
        <v>0</v>
      </c>
    </row>
    <row r="33" spans="1:68" x14ac:dyDescent="0.35">
      <c r="A33" s="408"/>
      <c r="B33" s="17" t="str">
        <f>Mon!B33</f>
        <v>CP+SP</v>
      </c>
      <c r="C33" s="244" t="str">
        <f>Mon!C33</f>
        <v>M</v>
      </c>
      <c r="D33" s="251">
        <f>Mon!D33</f>
        <v>0</v>
      </c>
      <c r="E33" s="40" t="str">
        <f>Mon!E33</f>
        <v>SP</v>
      </c>
      <c r="F33" s="7" t="str">
        <f>Mon!F33</f>
        <v>(MH)</v>
      </c>
      <c r="G33" s="6" t="str">
        <f>Mon!G33</f>
        <v>CA</v>
      </c>
      <c r="H33" s="7" t="str">
        <f>Mon!H33</f>
        <v>(SW)</v>
      </c>
      <c r="I33" s="412"/>
      <c r="J33" s="413"/>
      <c r="K33" s="6" t="str">
        <f>Mon!K33</f>
        <v>MM</v>
      </c>
      <c r="L33" s="11" t="str">
        <f>Mon!L33</f>
        <v>(SB)</v>
      </c>
      <c r="M33" s="39" t="str">
        <f>Mon!M33</f>
        <v>HR</v>
      </c>
      <c r="N33" s="43" t="str">
        <f>Mon!N33</f>
        <v>(RT)</v>
      </c>
      <c r="O33" s="221" t="s">
        <v>126</v>
      </c>
      <c r="P33" s="40" t="str">
        <f>Tue!E33</f>
        <v>CM</v>
      </c>
      <c r="Q33" s="7" t="str">
        <f>Tue!F33</f>
        <v>(SUH)</v>
      </c>
      <c r="R33" s="6" t="str">
        <f>Tue!G33</f>
        <v>HR</v>
      </c>
      <c r="S33" s="7" t="str">
        <f>Tue!H33</f>
        <v>(RT)</v>
      </c>
      <c r="T33" s="412" t="s">
        <v>143</v>
      </c>
      <c r="U33" s="413"/>
      <c r="V33" s="6" t="str">
        <f>Tue!K33</f>
        <v>SP</v>
      </c>
      <c r="W33" s="11" t="str">
        <f>Tue!L33</f>
        <v>(MH)</v>
      </c>
      <c r="X33" s="39" t="str">
        <f>Tue!M33</f>
        <v>CA</v>
      </c>
      <c r="Y33" s="43" t="str">
        <f>Tue!N33</f>
        <v>(SW)</v>
      </c>
      <c r="Z33" s="221" t="s">
        <v>126</v>
      </c>
      <c r="AA33" s="40" t="str">
        <f>Wed!E33</f>
        <v>MM</v>
      </c>
      <c r="AB33" s="7" t="str">
        <f>Wed!F33</f>
        <v>(SB)</v>
      </c>
      <c r="AC33" s="6" t="str">
        <f>Wed!G33</f>
        <v>EVS</v>
      </c>
      <c r="AD33" s="7" t="str">
        <f>Wed!H33</f>
        <v>(AG)</v>
      </c>
      <c r="AE33" s="412" t="s">
        <v>143</v>
      </c>
      <c r="AF33" s="413"/>
      <c r="AG33" s="6" t="str">
        <f>Wed!K33</f>
        <v>ED</v>
      </c>
      <c r="AH33" s="11" t="str">
        <f>Wed!L33</f>
        <v>(LV)</v>
      </c>
      <c r="AI33" s="39">
        <f>Wed!M33</f>
        <v>0</v>
      </c>
      <c r="AJ33" s="43">
        <f>Wed!N33</f>
        <v>0</v>
      </c>
      <c r="AK33" s="221" t="s">
        <v>126</v>
      </c>
      <c r="AL33" s="40" t="str">
        <f>Thur!E33</f>
        <v>EVS</v>
      </c>
      <c r="AM33" s="7" t="str">
        <f>Thur!F33</f>
        <v>(AG)</v>
      </c>
      <c r="AN33" s="6" t="str">
        <f>Thur!G33</f>
        <v>CA</v>
      </c>
      <c r="AO33" s="7" t="str">
        <f>Thur!H33</f>
        <v>(SW)</v>
      </c>
      <c r="AP33" s="412" t="s">
        <v>143</v>
      </c>
      <c r="AQ33" s="413"/>
      <c r="AR33" s="6" t="str">
        <f>Thur!K33</f>
        <v>HR</v>
      </c>
      <c r="AS33" s="11" t="str">
        <f>Thur!L33</f>
        <v>(RT)</v>
      </c>
      <c r="AT33" s="39" t="str">
        <f>Thur!M33</f>
        <v>ED</v>
      </c>
      <c r="AU33" s="43" t="str">
        <f>Thur!N33</f>
        <v>(LV)</v>
      </c>
      <c r="AV33" s="221" t="s">
        <v>126</v>
      </c>
      <c r="AW33" s="40" t="str">
        <f>Fri!E33</f>
        <v>ED</v>
      </c>
      <c r="AX33" s="7" t="str">
        <f>Fri!F33</f>
        <v>(LV)</v>
      </c>
      <c r="AY33" s="6" t="str">
        <f>Fri!G33</f>
        <v>SP</v>
      </c>
      <c r="AZ33" s="7" t="str">
        <f>Fri!H33</f>
        <v>(MH)</v>
      </c>
      <c r="BA33" s="412" t="s">
        <v>143</v>
      </c>
      <c r="BB33" s="413"/>
      <c r="BC33" s="6" t="str">
        <f>Fri!K33</f>
        <v>MM</v>
      </c>
      <c r="BD33" s="11" t="str">
        <f>Fri!L33</f>
        <v>(SB)</v>
      </c>
      <c r="BE33" s="39" t="str">
        <f>Fri!M33</f>
        <v>CM</v>
      </c>
      <c r="BF33" s="43" t="str">
        <f>Fri!N33</f>
        <v>(SUH)</v>
      </c>
      <c r="BG33" s="259" t="s">
        <v>126</v>
      </c>
      <c r="BH33" s="40" t="str">
        <f>Sat!E33</f>
        <v>EVS</v>
      </c>
      <c r="BI33" s="7" t="str">
        <f>Sat!F33</f>
        <v>(AG)</v>
      </c>
      <c r="BJ33" s="6" t="str">
        <f>Sat!G33</f>
        <v>CM</v>
      </c>
      <c r="BK33" s="7" t="str">
        <f>Sat!H33</f>
        <v>(SUH)</v>
      </c>
      <c r="BL33" s="412">
        <f>Sat!I33</f>
        <v>0</v>
      </c>
      <c r="BM33" s="413"/>
      <c r="BN33" s="6" t="str">
        <f>Sat!K33</f>
        <v>CA</v>
      </c>
      <c r="BO33" s="41" t="str">
        <f>Sat!L33</f>
        <v>(SW)</v>
      </c>
      <c r="BP33">
        <f>Sat!M34</f>
        <v>0</v>
      </c>
    </row>
    <row r="34" spans="1:68" x14ac:dyDescent="0.35">
      <c r="A34" s="408"/>
      <c r="B34" s="17" t="str">
        <f>Mon!B34</f>
        <v>CP+SP</v>
      </c>
      <c r="C34" s="244" t="str">
        <f>Mon!C34</f>
        <v>N</v>
      </c>
      <c r="D34" s="251">
        <f>Mon!D34</f>
        <v>0</v>
      </c>
      <c r="E34" s="40" t="str">
        <f>Mon!E34</f>
        <v>CA</v>
      </c>
      <c r="F34" s="7" t="str">
        <f>Mon!F34</f>
        <v>(TK)</v>
      </c>
      <c r="G34" s="6" t="str">
        <f>Mon!G34</f>
        <v>CP</v>
      </c>
      <c r="H34" s="7" t="str">
        <f>Mon!H34</f>
        <v>(SP)</v>
      </c>
      <c r="I34" s="412"/>
      <c r="J34" s="413"/>
      <c r="K34" s="6" t="str">
        <f>Mon!K34</f>
        <v>MM</v>
      </c>
      <c r="L34" s="11" t="str">
        <f>Mon!L34</f>
        <v>(KM)</v>
      </c>
      <c r="M34" s="39" t="str">
        <f>Mon!M34</f>
        <v>HR</v>
      </c>
      <c r="N34" s="43" t="str">
        <f>Mon!N34</f>
        <v>(BD)</v>
      </c>
      <c r="O34" s="221" t="s">
        <v>128</v>
      </c>
      <c r="P34" s="40" t="str">
        <f>Tue!E34</f>
        <v>HR</v>
      </c>
      <c r="Q34" s="7" t="str">
        <f>Tue!F34</f>
        <v>(BD)</v>
      </c>
      <c r="R34" s="6" t="str">
        <f>Tue!G34</f>
        <v>EVS</v>
      </c>
      <c r="S34" s="7" t="str">
        <f>Tue!H34</f>
        <v>(MB)</v>
      </c>
      <c r="T34" s="412" t="s">
        <v>143</v>
      </c>
      <c r="U34" s="413"/>
      <c r="V34" s="6" t="str">
        <f>Tue!K34</f>
        <v>CA</v>
      </c>
      <c r="W34" s="11" t="str">
        <f>Tue!L34</f>
        <v>(TK)</v>
      </c>
      <c r="X34" s="39" t="str">
        <f>Tue!M34</f>
        <v>ED</v>
      </c>
      <c r="Y34" s="43" t="str">
        <f>Tue!N34</f>
        <v>(YL)</v>
      </c>
      <c r="Z34" s="221" t="s">
        <v>128</v>
      </c>
      <c r="AA34" s="40" t="str">
        <f>Wed!E34</f>
        <v>MM</v>
      </c>
      <c r="AB34" s="7" t="str">
        <f>Wed!F34</f>
        <v>(KM)</v>
      </c>
      <c r="AC34" s="6" t="str">
        <f>Wed!G34</f>
        <v>SP</v>
      </c>
      <c r="AD34" s="7" t="str">
        <f>Wed!H34</f>
        <v>(MH)</v>
      </c>
      <c r="AE34" s="412" t="s">
        <v>143</v>
      </c>
      <c r="AF34" s="413"/>
      <c r="AG34" s="6" t="str">
        <f>Wed!K34</f>
        <v>CA</v>
      </c>
      <c r="AH34" s="11" t="str">
        <f>Wed!L34</f>
        <v>(TK)</v>
      </c>
      <c r="AI34" s="39">
        <f>Wed!M34</f>
        <v>0</v>
      </c>
      <c r="AJ34" s="43">
        <f>Wed!N34</f>
        <v>0</v>
      </c>
      <c r="AK34" s="221" t="s">
        <v>128</v>
      </c>
      <c r="AL34" s="40" t="str">
        <f>Thur!E34</f>
        <v>CP</v>
      </c>
      <c r="AM34" s="7" t="str">
        <f>Thur!F34</f>
        <v>(SP)</v>
      </c>
      <c r="AN34" s="6" t="str">
        <f>Thur!G34</f>
        <v>MM</v>
      </c>
      <c r="AO34" s="7" t="str">
        <f>Thur!H34</f>
        <v>(KM)</v>
      </c>
      <c r="AP34" s="412" t="s">
        <v>143</v>
      </c>
      <c r="AQ34" s="413"/>
      <c r="AR34" s="6" t="str">
        <f>Thur!K34</f>
        <v>SP</v>
      </c>
      <c r="AS34" s="11" t="str">
        <f>Thur!L34</f>
        <v>(MH)</v>
      </c>
      <c r="AT34" s="39" t="str">
        <f>Thur!M34</f>
        <v>EVS</v>
      </c>
      <c r="AU34" s="43" t="str">
        <f>Thur!N34</f>
        <v>(MB)</v>
      </c>
      <c r="AV34" s="221" t="s">
        <v>128</v>
      </c>
      <c r="AW34" s="40" t="str">
        <f>Fri!E34</f>
        <v>CA</v>
      </c>
      <c r="AX34" s="7" t="str">
        <f>Fri!F34</f>
        <v>(TK)</v>
      </c>
      <c r="AY34" s="6" t="str">
        <f>Fri!G34</f>
        <v>HR</v>
      </c>
      <c r="AZ34" s="7" t="str">
        <f>Fri!H34</f>
        <v>(BD)</v>
      </c>
      <c r="BA34" s="412" t="s">
        <v>143</v>
      </c>
      <c r="BB34" s="413"/>
      <c r="BC34" s="6" t="str">
        <f>Fri!K34</f>
        <v>EVS</v>
      </c>
      <c r="BD34" s="11" t="str">
        <f>Fri!L34</f>
        <v>(MB)</v>
      </c>
      <c r="BE34" s="39" t="str">
        <f>Fri!M34</f>
        <v>ED</v>
      </c>
      <c r="BF34" s="43" t="str">
        <f>Fri!N34</f>
        <v>(YL)</v>
      </c>
      <c r="BG34" s="259" t="s">
        <v>128</v>
      </c>
      <c r="BH34" s="40" t="str">
        <f>Sat!E34</f>
        <v>SP</v>
      </c>
      <c r="BI34" s="7" t="str">
        <f>Sat!F34</f>
        <v>(MH)</v>
      </c>
      <c r="BJ34" s="6" t="str">
        <f>Sat!G34</f>
        <v>CP</v>
      </c>
      <c r="BK34" s="7" t="str">
        <f>Sat!H34</f>
        <v>(SP)</v>
      </c>
      <c r="BL34" s="412">
        <f>Sat!I34</f>
        <v>0</v>
      </c>
      <c r="BM34" s="413"/>
      <c r="BN34" s="6" t="str">
        <f>Sat!K34</f>
        <v>ED</v>
      </c>
      <c r="BO34" s="41" t="str">
        <f>Sat!L34</f>
        <v>(YL)</v>
      </c>
      <c r="BP34">
        <f>Sat!M35</f>
        <v>0</v>
      </c>
    </row>
    <row r="35" spans="1:68" ht="15" customHeight="1" x14ac:dyDescent="0.35">
      <c r="A35" s="408"/>
      <c r="B35" s="17" t="str">
        <f>Mon!B35</f>
        <v>BAJ</v>
      </c>
      <c r="C35" s="244" t="str">
        <f>Mon!C35</f>
        <v>A</v>
      </c>
      <c r="D35" s="251">
        <f>Mon!D35</f>
        <v>0</v>
      </c>
      <c r="E35" s="40" t="str">
        <f>Mon!E35</f>
        <v>AD</v>
      </c>
      <c r="F35" s="7" t="str">
        <f>Mon!F35</f>
        <v>(AMJ)</v>
      </c>
      <c r="G35" s="6" t="str">
        <f>Mon!G35</f>
        <v>PR</v>
      </c>
      <c r="H35" s="7" t="str">
        <f>Mon!H35</f>
        <v>(AA)</v>
      </c>
      <c r="I35" s="412"/>
      <c r="J35" s="413"/>
      <c r="K35" s="6" t="str">
        <f>Mon!K35</f>
        <v>CE</v>
      </c>
      <c r="L35" s="11" t="str">
        <f>Mon!L35</f>
        <v>(SA)</v>
      </c>
      <c r="M35" s="39" t="str">
        <f>Mon!M35</f>
        <v>PJ PRAC</v>
      </c>
      <c r="N35" s="43" t="str">
        <f>Mon!N35</f>
        <v>(NJ)</v>
      </c>
      <c r="O35" s="221" t="s">
        <v>41</v>
      </c>
      <c r="P35" s="40" t="str">
        <f>Tue!E35</f>
        <v>CE</v>
      </c>
      <c r="Q35" s="7" t="str">
        <f>Tue!F35</f>
        <v>(SA)</v>
      </c>
      <c r="R35" s="6" t="str">
        <f>Tue!G35</f>
        <v>AD</v>
      </c>
      <c r="S35" s="7" t="str">
        <f>Tue!H35</f>
        <v>(AMJ)</v>
      </c>
      <c r="T35" s="412" t="s">
        <v>143</v>
      </c>
      <c r="U35" s="413"/>
      <c r="V35" s="6" t="str">
        <f>Tue!K35</f>
        <v>PR</v>
      </c>
      <c r="W35" s="11" t="str">
        <f>Tue!L35</f>
        <v>(AA)</v>
      </c>
      <c r="X35" s="39" t="str">
        <f>Tue!M35</f>
        <v>PJ PRAC</v>
      </c>
      <c r="Y35" s="43" t="str">
        <f>Tue!N35</f>
        <v>(NJ)</v>
      </c>
      <c r="Z35" s="221" t="s">
        <v>41</v>
      </c>
      <c r="AA35" s="40" t="str">
        <f>Wed!E35</f>
        <v>PJ</v>
      </c>
      <c r="AB35" s="7" t="str">
        <f>Wed!F35</f>
        <v>(NJ)</v>
      </c>
      <c r="AC35" s="6" t="str">
        <f>Wed!G35</f>
        <v>AD</v>
      </c>
      <c r="AD35" s="7" t="str">
        <f>Wed!H35</f>
        <v>(AMJ)</v>
      </c>
      <c r="AE35" s="412" t="s">
        <v>143</v>
      </c>
      <c r="AF35" s="413"/>
      <c r="AG35" s="6" t="str">
        <f>Wed!K35</f>
        <v>PR</v>
      </c>
      <c r="AH35" s="11" t="str">
        <f>Wed!L35</f>
        <v>(AA)</v>
      </c>
      <c r="AI35" s="39" t="str">
        <f>Wed!M35</f>
        <v>SP</v>
      </c>
      <c r="AJ35" s="43" t="str">
        <f>Wed!N35</f>
        <v>(MH)</v>
      </c>
      <c r="AK35" s="221" t="s">
        <v>41</v>
      </c>
      <c r="AL35" s="40" t="str">
        <f>Thur!E35</f>
        <v>CE</v>
      </c>
      <c r="AM35" s="7" t="str">
        <f>Thur!F35</f>
        <v>SA</v>
      </c>
      <c r="AN35" s="6" t="str">
        <f>Thur!G35</f>
        <v>GS</v>
      </c>
      <c r="AO35" s="7" t="str">
        <f>Thur!H35</f>
        <v>(BH)</v>
      </c>
      <c r="AP35" s="412" t="s">
        <v>143</v>
      </c>
      <c r="AQ35" s="413"/>
      <c r="AR35" s="6" t="str">
        <f>Thur!K35</f>
        <v>PJ</v>
      </c>
      <c r="AS35" s="11" t="str">
        <f>Thur!L35</f>
        <v>(NJ)</v>
      </c>
      <c r="AT35" s="39" t="str">
        <f>Thur!M35</f>
        <v>PR</v>
      </c>
      <c r="AU35" s="43" t="str">
        <f>Thur!N35</f>
        <v>(AA)</v>
      </c>
      <c r="AV35" s="221" t="s">
        <v>41</v>
      </c>
      <c r="AW35" s="40" t="str">
        <f>Fri!E35</f>
        <v>PJ</v>
      </c>
      <c r="AX35" s="7" t="str">
        <f>Fri!F35</f>
        <v>(NJ)</v>
      </c>
      <c r="AY35" s="6" t="str">
        <f>Fri!G35</f>
        <v>AD</v>
      </c>
      <c r="AZ35" s="7" t="str">
        <f>Fri!H35</f>
        <v>(AMJ)</v>
      </c>
      <c r="BA35" s="412" t="s">
        <v>143</v>
      </c>
      <c r="BB35" s="413"/>
      <c r="BC35" s="6" t="str">
        <f>Fri!K35</f>
        <v>GS/CW</v>
      </c>
      <c r="BD35" s="11" t="str">
        <f>Fri!L35</f>
        <v>(BH)/(SN)</v>
      </c>
      <c r="BE35" s="39" t="str">
        <f>Fri!M35</f>
        <v>SP/TH</v>
      </c>
      <c r="BF35" s="43" t="str">
        <f>Fri!N35</f>
        <v>(SS)/(MH)</v>
      </c>
      <c r="BG35" s="259" t="s">
        <v>41</v>
      </c>
      <c r="BH35" s="40" t="str">
        <f>Sat!E35</f>
        <v>GS/CW</v>
      </c>
      <c r="BI35" s="7" t="str">
        <f>Sat!F35</f>
        <v>(BH)/(SN)</v>
      </c>
      <c r="BJ35" s="6" t="str">
        <f>Sat!G35</f>
        <v>PJ</v>
      </c>
      <c r="BK35" s="7" t="str">
        <f>Sat!H35</f>
        <v>(NJ)</v>
      </c>
      <c r="BL35" s="412">
        <f>Sat!I35</f>
        <v>0</v>
      </c>
      <c r="BM35" s="413"/>
      <c r="BN35" s="6" t="str">
        <f>Sat!K35</f>
        <v>SP/TH</v>
      </c>
      <c r="BO35" s="41" t="str">
        <f>Sat!L35</f>
        <v>(SS)/(MH)</v>
      </c>
      <c r="BP35">
        <f>Sat!M36</f>
        <v>0</v>
      </c>
    </row>
    <row r="36" spans="1:68" ht="26.5" thickBot="1" x14ac:dyDescent="0.4">
      <c r="A36" s="408"/>
      <c r="B36" s="17" t="str">
        <f>Mon!B36</f>
        <v>BAJ</v>
      </c>
      <c r="C36" s="234" t="str">
        <f>Mon!C36</f>
        <v>B</v>
      </c>
      <c r="D36" s="252">
        <f>Mon!D36</f>
        <v>0</v>
      </c>
      <c r="E36" s="235" t="str">
        <f>Mon!E36</f>
        <v>AD</v>
      </c>
      <c r="F36" s="80" t="str">
        <f>Mon!F36</f>
        <v>(SH)</v>
      </c>
      <c r="G36" s="81" t="str">
        <f>Mon!G36</f>
        <v>PJ</v>
      </c>
      <c r="H36" s="80" t="str">
        <f>Mon!H36</f>
        <v>(AGK)</v>
      </c>
      <c r="I36" s="412"/>
      <c r="J36" s="413"/>
      <c r="K36" s="81" t="str">
        <f>Mon!K36</f>
        <v>CE</v>
      </c>
      <c r="L36" s="86" t="str">
        <f>Mon!L36</f>
        <v>(PR)</v>
      </c>
      <c r="M36" s="83" t="str">
        <f>Mon!M36</f>
        <v>PR</v>
      </c>
      <c r="N36" s="236" t="str">
        <f>Mon!N36</f>
        <v>(AA)</v>
      </c>
      <c r="O36" s="243" t="s">
        <v>49</v>
      </c>
      <c r="P36" s="235" t="str">
        <f>Tue!E36</f>
        <v>CE</v>
      </c>
      <c r="Q36" s="80" t="str">
        <f>Tue!F36</f>
        <v>(PR)</v>
      </c>
      <c r="R36" s="81" t="str">
        <f>Tue!G36</f>
        <v>PR</v>
      </c>
      <c r="S36" s="80" t="str">
        <f>Tue!H36</f>
        <v>(AA)</v>
      </c>
      <c r="T36" s="412" t="s">
        <v>143</v>
      </c>
      <c r="U36" s="413"/>
      <c r="V36" s="81" t="str">
        <f>Tue!K36</f>
        <v>PJ</v>
      </c>
      <c r="W36" s="86" t="str">
        <f>Tue!L36</f>
        <v>(AGK)</v>
      </c>
      <c r="X36" s="83" t="str">
        <f>Tue!M36</f>
        <v>AD</v>
      </c>
      <c r="Y36" s="236" t="str">
        <f>Tue!N36</f>
        <v>(SH)</v>
      </c>
      <c r="Z36" s="243" t="s">
        <v>49</v>
      </c>
      <c r="AA36" s="235" t="str">
        <f>Wed!E36</f>
        <v>AD</v>
      </c>
      <c r="AB36" s="80" t="str">
        <f>Wed!F36</f>
        <v>(SH)</v>
      </c>
      <c r="AC36" s="81" t="str">
        <f>Wed!G36</f>
        <v>PR</v>
      </c>
      <c r="AD36" s="80" t="str">
        <f>Wed!H36</f>
        <v>(AA)</v>
      </c>
      <c r="AE36" s="412" t="s">
        <v>143</v>
      </c>
      <c r="AF36" s="413"/>
      <c r="AG36" s="81" t="str">
        <f>Wed!K36</f>
        <v>PJ</v>
      </c>
      <c r="AH36" s="86" t="str">
        <f>Wed!L36</f>
        <v>(AGK)</v>
      </c>
      <c r="AI36" s="83" t="str">
        <f>Wed!M36</f>
        <v>TH</v>
      </c>
      <c r="AJ36" s="236" t="str">
        <f>Wed!N36</f>
        <v>(SS)</v>
      </c>
      <c r="AK36" s="243" t="s">
        <v>49</v>
      </c>
      <c r="AL36" s="235" t="str">
        <f>Thur!E36</f>
        <v>CE</v>
      </c>
      <c r="AM36" s="80" t="str">
        <f>Thur!F36</f>
        <v>PR</v>
      </c>
      <c r="AN36" s="81" t="str">
        <f>Thur!G36</f>
        <v>CW</v>
      </c>
      <c r="AO36" s="80" t="str">
        <f>Thur!H36</f>
        <v>(BH)/(SN)</v>
      </c>
      <c r="AP36" s="412" t="s">
        <v>143</v>
      </c>
      <c r="AQ36" s="413"/>
      <c r="AR36" s="81" t="str">
        <f>Thur!K36</f>
        <v>AD</v>
      </c>
      <c r="AS36" s="86" t="str">
        <f>Thur!L36</f>
        <v>(SH)</v>
      </c>
      <c r="AT36" s="83" t="str">
        <f>Thur!M36</f>
        <v>PJ PRAC</v>
      </c>
      <c r="AU36" s="236" t="str">
        <f>Thur!N36</f>
        <v>(AGK)</v>
      </c>
      <c r="AV36" s="243" t="s">
        <v>49</v>
      </c>
      <c r="AW36" s="235" t="str">
        <f>Fri!E36</f>
        <v>PR</v>
      </c>
      <c r="AX36" s="80" t="str">
        <f>Fri!F36</f>
        <v>(AA)</v>
      </c>
      <c r="AY36" s="81" t="str">
        <f>Fri!G36</f>
        <v>PJ</v>
      </c>
      <c r="AZ36" s="80" t="str">
        <f>Fri!H36</f>
        <v>(AGK)</v>
      </c>
      <c r="BA36" s="412" t="s">
        <v>143</v>
      </c>
      <c r="BB36" s="413"/>
      <c r="BC36" s="81" t="str">
        <f>Fri!K36</f>
        <v>GS/CW</v>
      </c>
      <c r="BD36" s="86" t="str">
        <f>Fri!L36</f>
        <v>(BH)/(SN)</v>
      </c>
      <c r="BE36" s="83" t="str">
        <f>Fri!M36</f>
        <v>SP/TH</v>
      </c>
      <c r="BF36" s="236" t="str">
        <f>Fri!N36</f>
        <v>(SS)/(MH)</v>
      </c>
      <c r="BG36" s="260" t="s">
        <v>49</v>
      </c>
      <c r="BH36" s="235" t="str">
        <f>Sat!E36</f>
        <v>GS/CW</v>
      </c>
      <c r="BI36" s="80" t="str">
        <f>Sat!F36</f>
        <v>(BH)/(SN)</v>
      </c>
      <c r="BJ36" s="81" t="str">
        <f>Sat!G36</f>
        <v>PJ</v>
      </c>
      <c r="BK36" s="80" t="str">
        <f>Sat!H36</f>
        <v>(AGK)</v>
      </c>
      <c r="BL36" s="412">
        <f>Sat!I36</f>
        <v>0</v>
      </c>
      <c r="BM36" s="413"/>
      <c r="BN36" s="6" t="str">
        <f>Sat!K36</f>
        <v>SP/TH</v>
      </c>
      <c r="BO36" s="41" t="str">
        <f>Sat!L36</f>
        <v>(SS)/(MH)</v>
      </c>
      <c r="BP36">
        <f>Sat!M37</f>
        <v>0</v>
      </c>
    </row>
    <row r="37" spans="1:68" ht="19.5" customHeight="1" thickBot="1" x14ac:dyDescent="0.4">
      <c r="A37" s="232" t="str">
        <f>Mon!A37</f>
        <v>Semester</v>
      </c>
      <c r="B37" s="237">
        <f>Mon!B37</f>
        <v>0</v>
      </c>
      <c r="C37" s="233" t="str">
        <f>Mon!C37</f>
        <v>Section</v>
      </c>
      <c r="D37" s="255" t="str">
        <f>Mon!D37</f>
        <v>Room</v>
      </c>
      <c r="E37" s="418" t="str">
        <f>Mon!E37</f>
        <v>11:45-12:35</v>
      </c>
      <c r="F37" s="419">
        <f>Mon!F37</f>
        <v>0</v>
      </c>
      <c r="G37" s="419" t="str">
        <f>Mon!G37</f>
        <v>12:35-1:25</v>
      </c>
      <c r="H37" s="419">
        <f>Mon!H37</f>
        <v>0</v>
      </c>
      <c r="I37" s="354" t="s">
        <v>139</v>
      </c>
      <c r="J37" s="353"/>
      <c r="K37" s="419" t="str">
        <f>Mon!K37</f>
        <v>2:05-2:55</v>
      </c>
      <c r="L37" s="419">
        <f>Mon!L37</f>
        <v>0</v>
      </c>
      <c r="M37" s="419" t="str">
        <f>Mon!M37</f>
        <v>2:55-3:45</v>
      </c>
      <c r="N37" s="422">
        <f>Mon!N37</f>
        <v>0</v>
      </c>
      <c r="O37" s="241" t="s">
        <v>27</v>
      </c>
      <c r="P37" s="418" t="str">
        <f>Tue!E37</f>
        <v>11:45-12:35</v>
      </c>
      <c r="Q37" s="419">
        <f>Tue!F37</f>
        <v>0</v>
      </c>
      <c r="R37" s="419" t="str">
        <f>Tue!G37</f>
        <v>12:35-1:25</v>
      </c>
      <c r="S37" s="419">
        <f>Tue!H37</f>
        <v>0</v>
      </c>
      <c r="T37" s="354" t="s">
        <v>143</v>
      </c>
      <c r="U37" s="353"/>
      <c r="V37" s="419" t="str">
        <f>Tue!K37</f>
        <v>2:05-2:55</v>
      </c>
      <c r="W37" s="419">
        <f>Tue!L37</f>
        <v>0</v>
      </c>
      <c r="X37" s="419" t="str">
        <f>Tue!M37</f>
        <v>2:55-3:45</v>
      </c>
      <c r="Y37" s="422">
        <f>Tue!N37</f>
        <v>0</v>
      </c>
      <c r="Z37" s="241" t="s">
        <v>27</v>
      </c>
      <c r="AA37" s="418" t="str">
        <f>Wed!E37</f>
        <v>11:45-12:35</v>
      </c>
      <c r="AB37" s="419">
        <f>Wed!F37</f>
        <v>0</v>
      </c>
      <c r="AC37" s="419" t="str">
        <f>Wed!G37</f>
        <v>12:35-1:25</v>
      </c>
      <c r="AD37" s="419">
        <f>Wed!H37</f>
        <v>0</v>
      </c>
      <c r="AE37" s="354" t="s">
        <v>143</v>
      </c>
      <c r="AF37" s="353"/>
      <c r="AG37" s="419" t="str">
        <f>Wed!K37</f>
        <v>2:05-2:55</v>
      </c>
      <c r="AH37" s="419">
        <f>Wed!L37</f>
        <v>0</v>
      </c>
      <c r="AI37" s="419" t="str">
        <f>Wed!M37</f>
        <v>2:55-3:45</v>
      </c>
      <c r="AJ37" s="422">
        <f>Wed!N37</f>
        <v>0</v>
      </c>
      <c r="AK37" s="241" t="s">
        <v>27</v>
      </c>
      <c r="AL37" s="418" t="str">
        <f>Thur!E37</f>
        <v>11:45-12:35</v>
      </c>
      <c r="AM37" s="419">
        <f>Thur!F37</f>
        <v>0</v>
      </c>
      <c r="AN37" s="419" t="str">
        <f>Thur!G37</f>
        <v>12:35-1:25</v>
      </c>
      <c r="AO37" s="419">
        <f>Thur!H37</f>
        <v>0</v>
      </c>
      <c r="AP37" s="354" t="s">
        <v>143</v>
      </c>
      <c r="AQ37" s="353"/>
      <c r="AR37" s="419" t="str">
        <f>Thur!K37</f>
        <v>2:05-2:55</v>
      </c>
      <c r="AS37" s="419">
        <f>Thur!L37</f>
        <v>0</v>
      </c>
      <c r="AT37" s="419" t="str">
        <f>Thur!M37</f>
        <v>2:55-3:45</v>
      </c>
      <c r="AU37" s="422">
        <f>Thur!N37</f>
        <v>0</v>
      </c>
      <c r="AV37" s="241" t="s">
        <v>27</v>
      </c>
      <c r="AW37" s="418" t="str">
        <f>Fri!E37</f>
        <v>11:45-12:35</v>
      </c>
      <c r="AX37" s="419">
        <f>Fri!F37</f>
        <v>0</v>
      </c>
      <c r="AY37" s="419" t="str">
        <f>Fri!G37</f>
        <v>12:35-1:25</v>
      </c>
      <c r="AZ37" s="419">
        <f>Fri!H37</f>
        <v>0</v>
      </c>
      <c r="BA37" s="354" t="s">
        <v>143</v>
      </c>
      <c r="BB37" s="353"/>
      <c r="BC37" s="419" t="str">
        <f>Fri!K37</f>
        <v>2:05-2:55</v>
      </c>
      <c r="BD37" s="419">
        <f>Fri!L37</f>
        <v>0</v>
      </c>
      <c r="BE37" s="419" t="str">
        <f>Fri!M37</f>
        <v>2:55-3:45</v>
      </c>
      <c r="BF37" s="422">
        <f>Fri!N37</f>
        <v>0</v>
      </c>
      <c r="BG37" s="257" t="s">
        <v>27</v>
      </c>
      <c r="BH37" s="418" t="str">
        <f>Sat!E37</f>
        <v>10:30-11:45 (Dual)</v>
      </c>
      <c r="BI37" s="419">
        <f>Sat!F37</f>
        <v>0</v>
      </c>
      <c r="BJ37" s="419" t="str">
        <f>Sat!G37</f>
        <v>11:50-12:40</v>
      </c>
      <c r="BK37" s="419">
        <f>Sat!H37</f>
        <v>0</v>
      </c>
      <c r="BL37" s="419" t="str">
        <f>Sat!I37</f>
        <v>12:40-1:30</v>
      </c>
      <c r="BM37" s="422"/>
      <c r="BN37">
        <f>Sat!K38</f>
        <v>0</v>
      </c>
      <c r="BO37">
        <f>Sat!L38</f>
        <v>0</v>
      </c>
      <c r="BP37">
        <f>Sat!M38</f>
        <v>0</v>
      </c>
    </row>
    <row r="38" spans="1:68" ht="15" customHeight="1" x14ac:dyDescent="0.35">
      <c r="A38" s="408">
        <f>Mon!A38</f>
        <v>1</v>
      </c>
      <c r="B38" s="230" t="str">
        <f>Mon!B38</f>
        <v>AE</v>
      </c>
      <c r="C38" s="231" t="str">
        <f>Mon!C38</f>
        <v>A</v>
      </c>
      <c r="D38" s="250">
        <f>Mon!D38</f>
        <v>0</v>
      </c>
      <c r="E38" s="42" t="str">
        <f>Mon!E38</f>
        <v>GE</v>
      </c>
      <c r="F38" s="92" t="str">
        <f>Mon!F38</f>
        <v>(SA)</v>
      </c>
      <c r="G38" s="33" t="str">
        <f>Mon!G38</f>
        <v>BM</v>
      </c>
      <c r="H38" s="92" t="str">
        <f>Mon!H38</f>
        <v>(AS)</v>
      </c>
      <c r="I38" s="410" t="s">
        <v>143</v>
      </c>
      <c r="J38" s="411"/>
      <c r="K38" s="33" t="str">
        <f>Mon!K38</f>
        <v>BT</v>
      </c>
      <c r="L38" s="93" t="str">
        <f>Mon!L38</f>
        <v>(AW)</v>
      </c>
      <c r="M38" s="222" t="str">
        <f>Mon!M38</f>
        <v>FA</v>
      </c>
      <c r="N38" s="223" t="str">
        <f>Mon!N38</f>
        <v>(MK)</v>
      </c>
      <c r="O38" s="242" t="s">
        <v>41</v>
      </c>
      <c r="P38" s="42" t="str">
        <f>Tue!E38</f>
        <v>FA</v>
      </c>
      <c r="Q38" s="92" t="str">
        <f>Tue!F38</f>
        <v>(MK)</v>
      </c>
      <c r="R38" s="33" t="str">
        <f>Tue!G38</f>
        <v>QT</v>
      </c>
      <c r="S38" s="92" t="str">
        <f>Tue!H38</f>
        <v>(VRL)</v>
      </c>
      <c r="T38" s="410" t="s">
        <v>143</v>
      </c>
      <c r="U38" s="411"/>
      <c r="V38" s="33" t="str">
        <f>Tue!K38</f>
        <v>AE</v>
      </c>
      <c r="W38" s="93" t="str">
        <f>Tue!L38</f>
        <v>(SC)</v>
      </c>
      <c r="X38" s="222" t="str">
        <f>Tue!M38</f>
        <v>BT</v>
      </c>
      <c r="Y38" s="223" t="str">
        <f>Tue!N38</f>
        <v>(AW)</v>
      </c>
      <c r="Z38" s="242" t="s">
        <v>41</v>
      </c>
      <c r="AA38" s="42" t="str">
        <f>Wed!E38</f>
        <v>QT</v>
      </c>
      <c r="AB38" s="92" t="str">
        <f>Wed!F38</f>
        <v>(VRL)</v>
      </c>
      <c r="AC38" s="33" t="str">
        <f>Wed!G38</f>
        <v>GE</v>
      </c>
      <c r="AD38" s="92" t="str">
        <f>Wed!H38</f>
        <v>(SA)</v>
      </c>
      <c r="AE38" s="410" t="s">
        <v>143</v>
      </c>
      <c r="AF38" s="411"/>
      <c r="AG38" s="33" t="str">
        <f>Wed!K38</f>
        <v>BM</v>
      </c>
      <c r="AH38" s="93" t="str">
        <f>Wed!L38</f>
        <v>(AS)</v>
      </c>
      <c r="AI38" s="222" t="str">
        <f>Wed!M38</f>
        <v>AE</v>
      </c>
      <c r="AJ38" s="223" t="str">
        <f>Wed!N38</f>
        <v>(SC)</v>
      </c>
      <c r="AK38" s="242" t="s">
        <v>41</v>
      </c>
      <c r="AL38" s="42">
        <f>Thur!E38</f>
        <v>0</v>
      </c>
      <c r="AM38" s="92">
        <f>Thur!F38</f>
        <v>0</v>
      </c>
      <c r="AN38" s="33">
        <f>Thur!G38</f>
        <v>0</v>
      </c>
      <c r="AO38" s="92">
        <f>Thur!H38</f>
        <v>0</v>
      </c>
      <c r="AP38" s="410" t="s">
        <v>143</v>
      </c>
      <c r="AQ38" s="411"/>
      <c r="AR38" s="33" t="str">
        <f>Thur!K38</f>
        <v>BT</v>
      </c>
      <c r="AS38" s="93" t="str">
        <f>Thur!L38</f>
        <v>(AW)</v>
      </c>
      <c r="AT38" s="222" t="str">
        <f>Thur!M38</f>
        <v>QT</v>
      </c>
      <c r="AU38" s="223" t="str">
        <f>Thur!N38</f>
        <v>(VRL)</v>
      </c>
      <c r="AV38" s="242" t="s">
        <v>41</v>
      </c>
      <c r="AW38" s="42" t="str">
        <f>Fri!E38</f>
        <v>QT</v>
      </c>
      <c r="AX38" s="92" t="str">
        <f>Fri!F38</f>
        <v>(VRL)</v>
      </c>
      <c r="AY38" s="33" t="str">
        <f>Fri!G38</f>
        <v>GE</v>
      </c>
      <c r="AZ38" s="92" t="str">
        <f>Fri!H38</f>
        <v>(SA)</v>
      </c>
      <c r="BA38" s="410" t="s">
        <v>143</v>
      </c>
      <c r="BB38" s="411"/>
      <c r="BC38" s="33" t="str">
        <f>Fri!K38</f>
        <v>AE</v>
      </c>
      <c r="BD38" s="93" t="str">
        <f>Fri!L38</f>
        <v>(SC)</v>
      </c>
      <c r="BE38" s="222" t="str">
        <f>Fri!M38</f>
        <v>FA</v>
      </c>
      <c r="BF38" s="223" t="str">
        <f>Fri!N38</f>
        <v>(MK)</v>
      </c>
      <c r="BG38" s="258" t="s">
        <v>41</v>
      </c>
      <c r="BH38" s="427" t="s">
        <v>525</v>
      </c>
      <c r="BI38" s="347"/>
      <c r="BJ38" s="33" t="str">
        <f>Sat!G38</f>
        <v>BM</v>
      </c>
      <c r="BK38" s="92" t="str">
        <f>Sat!H38</f>
        <v>(AS)</v>
      </c>
      <c r="BL38" s="33" t="str">
        <f>Sat!I38</f>
        <v>FA</v>
      </c>
      <c r="BM38" s="92" t="str">
        <f>Sat!J38</f>
        <v>(MK)</v>
      </c>
      <c r="BN38">
        <f>Sat!K39</f>
        <v>0</v>
      </c>
      <c r="BO38">
        <f>Sat!L39</f>
        <v>0</v>
      </c>
      <c r="BP38">
        <f>Sat!M39</f>
        <v>0</v>
      </c>
    </row>
    <row r="39" spans="1:68" ht="15.75" customHeight="1" x14ac:dyDescent="0.35">
      <c r="A39" s="408"/>
      <c r="B39" s="17" t="str">
        <f>Mon!B39</f>
        <v>AE</v>
      </c>
      <c r="C39" s="244" t="str">
        <f>Mon!C39</f>
        <v>B</v>
      </c>
      <c r="D39" s="251">
        <f>Mon!D39</f>
        <v>0</v>
      </c>
      <c r="E39" s="40" t="str">
        <f>Mon!E39</f>
        <v>BT</v>
      </c>
      <c r="F39" s="7" t="str">
        <f>Mon!F39</f>
        <v>(YL)</v>
      </c>
      <c r="G39" s="6" t="str">
        <f>Mon!G39</f>
        <v>FA</v>
      </c>
      <c r="H39" s="7" t="str">
        <f>Mon!H39</f>
        <v>(VIN)</v>
      </c>
      <c r="I39" s="412"/>
      <c r="J39" s="413"/>
      <c r="K39" s="6" t="str">
        <f>Mon!K39</f>
        <v>AE</v>
      </c>
      <c r="L39" s="11" t="str">
        <f>Mon!L39</f>
        <v>(SA)</v>
      </c>
      <c r="M39" s="39" t="str">
        <f>Mon!M39</f>
        <v>GE</v>
      </c>
      <c r="N39" s="43" t="str">
        <f>Mon!N39</f>
        <v>(PR)</v>
      </c>
      <c r="O39" s="221" t="s">
        <v>49</v>
      </c>
      <c r="P39" s="40" t="str">
        <f>Tue!E39</f>
        <v>AE</v>
      </c>
      <c r="Q39" s="7" t="str">
        <f>Tue!F39</f>
        <v>(SA)</v>
      </c>
      <c r="R39" s="6" t="str">
        <f>Tue!G39</f>
        <v>QT</v>
      </c>
      <c r="S39" s="7" t="str">
        <f>Tue!H39</f>
        <v>(BB)</v>
      </c>
      <c r="T39" s="412" t="s">
        <v>143</v>
      </c>
      <c r="U39" s="413"/>
      <c r="V39" s="6" t="str">
        <f>Tue!K39</f>
        <v>BM</v>
      </c>
      <c r="W39" s="11" t="str">
        <f>Tue!L39</f>
        <v>(SE)</v>
      </c>
      <c r="X39" s="39" t="str">
        <f>Tue!M39</f>
        <v>FA</v>
      </c>
      <c r="Y39" s="43" t="str">
        <f>Tue!N39</f>
        <v>(VIN)</v>
      </c>
      <c r="Z39" s="221" t="s">
        <v>49</v>
      </c>
      <c r="AA39" s="40" t="str">
        <f>Wed!E39</f>
        <v>FA</v>
      </c>
      <c r="AB39" s="7" t="str">
        <f>Wed!F39</f>
        <v>(VIN)</v>
      </c>
      <c r="AC39" s="6" t="str">
        <f>Wed!G39</f>
        <v>BT</v>
      </c>
      <c r="AD39" s="7" t="str">
        <f>Wed!H39</f>
        <v>(YL)</v>
      </c>
      <c r="AE39" s="412" t="s">
        <v>143</v>
      </c>
      <c r="AF39" s="413"/>
      <c r="AG39" s="6" t="str">
        <f>Wed!K39</f>
        <v>BM</v>
      </c>
      <c r="AH39" s="11" t="str">
        <f>Wed!L39</f>
        <v>(SE)</v>
      </c>
      <c r="AI39" s="39" t="str">
        <f>Wed!M39</f>
        <v>QT</v>
      </c>
      <c r="AJ39" s="43" t="str">
        <f>Wed!N39</f>
        <v>(BB)</v>
      </c>
      <c r="AK39" s="221" t="s">
        <v>49</v>
      </c>
      <c r="AL39" s="40">
        <f>Thur!E39</f>
        <v>0</v>
      </c>
      <c r="AM39" s="7">
        <f>Thur!F39</f>
        <v>0</v>
      </c>
      <c r="AN39" s="6">
        <f>Thur!G39</f>
        <v>0</v>
      </c>
      <c r="AO39" s="7">
        <f>Thur!H39</f>
        <v>0</v>
      </c>
      <c r="AP39" s="412" t="s">
        <v>143</v>
      </c>
      <c r="AQ39" s="413"/>
      <c r="AR39" s="6" t="str">
        <f>Thur!K39</f>
        <v>BT</v>
      </c>
      <c r="AS39" s="11" t="str">
        <f>Thur!L39</f>
        <v>(YL)</v>
      </c>
      <c r="AT39" s="39" t="str">
        <f>Thur!M39</f>
        <v>AE</v>
      </c>
      <c r="AU39" s="43" t="str">
        <f>Thur!N39</f>
        <v>(SA)</v>
      </c>
      <c r="AV39" s="221" t="s">
        <v>49</v>
      </c>
      <c r="AW39" s="40" t="str">
        <f>Fri!E39</f>
        <v>QT</v>
      </c>
      <c r="AX39" s="7" t="str">
        <f>Fri!F39</f>
        <v>(BB)</v>
      </c>
      <c r="AY39" s="6" t="str">
        <f>Fri!G39</f>
        <v>BM</v>
      </c>
      <c r="AZ39" s="7" t="str">
        <f>Fri!H39</f>
        <v>(SE)</v>
      </c>
      <c r="BA39" s="412" t="s">
        <v>143</v>
      </c>
      <c r="BB39" s="413"/>
      <c r="BC39" s="6" t="str">
        <f>Fri!K39</f>
        <v>GE</v>
      </c>
      <c r="BD39" s="11" t="str">
        <f>Fri!L39</f>
        <v>(PR)</v>
      </c>
      <c r="BE39" s="39" t="str">
        <f>Fri!M39</f>
        <v>FA</v>
      </c>
      <c r="BF39" s="43" t="str">
        <f>Fri!N39</f>
        <v>(VIN)</v>
      </c>
      <c r="BG39" s="259" t="s">
        <v>49</v>
      </c>
      <c r="BH39" s="428"/>
      <c r="BI39" s="349"/>
      <c r="BJ39" s="6" t="str">
        <f>Sat!G39</f>
        <v>QT</v>
      </c>
      <c r="BK39" s="7" t="str">
        <f>Sat!H39</f>
        <v>(BB)</v>
      </c>
      <c r="BL39" s="6" t="str">
        <f>Sat!I39</f>
        <v>GE</v>
      </c>
      <c r="BM39" s="7" t="str">
        <f>Sat!J39</f>
        <v>(PR)</v>
      </c>
      <c r="BN39">
        <f>Sat!K40</f>
        <v>0</v>
      </c>
      <c r="BO39">
        <f>Sat!L40</f>
        <v>0</v>
      </c>
      <c r="BP39">
        <f>Sat!M40</f>
        <v>0</v>
      </c>
    </row>
    <row r="40" spans="1:68" ht="15.75" customHeight="1" x14ac:dyDescent="0.35">
      <c r="A40" s="408"/>
      <c r="B40" s="17" t="str">
        <f>Mon!B40</f>
        <v>AE</v>
      </c>
      <c r="C40" s="244" t="str">
        <f>Mon!C40</f>
        <v>C</v>
      </c>
      <c r="D40" s="251">
        <f>Mon!D40</f>
        <v>0</v>
      </c>
      <c r="E40" s="40" t="str">
        <f>Mon!E40</f>
        <v>GE</v>
      </c>
      <c r="F40" s="7" t="str">
        <f>Mon!F40</f>
        <v>(SN)</v>
      </c>
      <c r="G40" s="6" t="str">
        <f>Mon!G40</f>
        <v>AE</v>
      </c>
      <c r="H40" s="7" t="str">
        <f>Mon!H40</f>
        <v>(PR)</v>
      </c>
      <c r="I40" s="412"/>
      <c r="J40" s="413"/>
      <c r="K40" s="6" t="str">
        <f>Mon!K40</f>
        <v>FA</v>
      </c>
      <c r="L40" s="11" t="str">
        <f>Mon!L40</f>
        <v>(MK)</v>
      </c>
      <c r="M40" s="39" t="str">
        <f>Mon!M40</f>
        <v>QT</v>
      </c>
      <c r="N40" s="43" t="str">
        <f>Mon!N40</f>
        <v>(BB)</v>
      </c>
      <c r="O40" s="221" t="s">
        <v>55</v>
      </c>
      <c r="P40" s="40" t="str">
        <f>Tue!E40</f>
        <v>QT</v>
      </c>
      <c r="Q40" s="7" t="str">
        <f>Tue!F40</f>
        <v>(BB)</v>
      </c>
      <c r="R40" s="6" t="str">
        <f>Tue!G40</f>
        <v>AE</v>
      </c>
      <c r="S40" s="7" t="str">
        <f>Tue!H40</f>
        <v>(PR)</v>
      </c>
      <c r="T40" s="412" t="s">
        <v>143</v>
      </c>
      <c r="U40" s="413"/>
      <c r="V40" s="6" t="str">
        <f>Tue!K40</f>
        <v>BT</v>
      </c>
      <c r="W40" s="11" t="str">
        <f>Tue!L40</f>
        <v>(AW)</v>
      </c>
      <c r="X40" s="39" t="str">
        <f>Tue!M40</f>
        <v>FA</v>
      </c>
      <c r="Y40" s="43" t="str">
        <f>Tue!N40</f>
        <v>(MK)</v>
      </c>
      <c r="Z40" s="221" t="s">
        <v>55</v>
      </c>
      <c r="AA40" s="40" t="str">
        <f>Wed!E40</f>
        <v>FA</v>
      </c>
      <c r="AB40" s="7" t="str">
        <f>Wed!F40</f>
        <v>(MK)</v>
      </c>
      <c r="AC40" s="6" t="str">
        <f>Wed!G40</f>
        <v>QT</v>
      </c>
      <c r="AD40" s="7" t="str">
        <f>Wed!H40</f>
        <v>(BB)</v>
      </c>
      <c r="AE40" s="412" t="s">
        <v>143</v>
      </c>
      <c r="AF40" s="413"/>
      <c r="AG40" s="6" t="str">
        <f>Wed!K40</f>
        <v>GE</v>
      </c>
      <c r="AH40" s="11" t="str">
        <f>Wed!L40</f>
        <v>(SN)</v>
      </c>
      <c r="AI40" s="39" t="str">
        <f>Wed!M40</f>
        <v>BM</v>
      </c>
      <c r="AJ40" s="43" t="str">
        <f>Wed!N40</f>
        <v>(JAY)</v>
      </c>
      <c r="AK40" s="221" t="s">
        <v>55</v>
      </c>
      <c r="AL40" s="40">
        <f>Thur!E40</f>
        <v>0</v>
      </c>
      <c r="AM40" s="7">
        <f>Thur!F40</f>
        <v>0</v>
      </c>
      <c r="AN40" s="6">
        <f>Thur!G40</f>
        <v>0</v>
      </c>
      <c r="AO40" s="7">
        <f>Thur!H40</f>
        <v>0</v>
      </c>
      <c r="AP40" s="412" t="s">
        <v>143</v>
      </c>
      <c r="AQ40" s="413"/>
      <c r="AR40" s="6" t="str">
        <f>Thur!K40</f>
        <v>BM</v>
      </c>
      <c r="AS40" s="11" t="str">
        <f>Thur!L40</f>
        <v>(JAY)</v>
      </c>
      <c r="AT40" s="39" t="str">
        <f>Thur!M40</f>
        <v>BT</v>
      </c>
      <c r="AU40" s="43" t="str">
        <f>Thur!N40</f>
        <v>(AW)</v>
      </c>
      <c r="AV40" s="221" t="s">
        <v>55</v>
      </c>
      <c r="AW40" s="40" t="str">
        <f>Fri!E40</f>
        <v>GE</v>
      </c>
      <c r="AX40" s="7" t="str">
        <f>Fri!F40</f>
        <v>(SN)</v>
      </c>
      <c r="AY40" s="6" t="str">
        <f>Fri!G40</f>
        <v>BM</v>
      </c>
      <c r="AZ40" s="7" t="str">
        <f>Fri!H40</f>
        <v>(JAY)</v>
      </c>
      <c r="BA40" s="412" t="s">
        <v>143</v>
      </c>
      <c r="BB40" s="413"/>
      <c r="BC40" s="6" t="str">
        <f>Fri!K40</f>
        <v>QT</v>
      </c>
      <c r="BD40" s="11" t="str">
        <f>Fri!L40</f>
        <v>(BB)</v>
      </c>
      <c r="BE40" s="39" t="str">
        <f>Fri!M40</f>
        <v>AE</v>
      </c>
      <c r="BF40" s="43" t="str">
        <f>Fri!N40</f>
        <v>(PR)</v>
      </c>
      <c r="BG40" s="259" t="s">
        <v>55</v>
      </c>
      <c r="BH40" s="428"/>
      <c r="BI40" s="349"/>
      <c r="BJ40" s="6" t="str">
        <f>Sat!G40</f>
        <v>FA</v>
      </c>
      <c r="BK40" s="7" t="str">
        <f>Sat!H40</f>
        <v>(MK)</v>
      </c>
      <c r="BL40" s="6" t="str">
        <f>Sat!I40</f>
        <v>BT</v>
      </c>
      <c r="BM40" s="7" t="str">
        <f>Sat!J40</f>
        <v>(AW)</v>
      </c>
      <c r="BN40">
        <f>Sat!K41</f>
        <v>0</v>
      </c>
      <c r="BO40">
        <f>Sat!L41</f>
        <v>0</v>
      </c>
      <c r="BP40">
        <f>Sat!M41</f>
        <v>0</v>
      </c>
    </row>
    <row r="41" spans="1:68" ht="15.75" customHeight="1" x14ac:dyDescent="0.35">
      <c r="A41" s="408"/>
      <c r="B41" s="17" t="str">
        <f>Mon!B41</f>
        <v>AE</v>
      </c>
      <c r="C41" s="244" t="str">
        <f>Mon!C41</f>
        <v>D</v>
      </c>
      <c r="D41" s="251">
        <f>Mon!D41</f>
        <v>0</v>
      </c>
      <c r="E41" s="40" t="str">
        <f>Mon!E41</f>
        <v>QT</v>
      </c>
      <c r="F41" s="7" t="str">
        <f>Mon!F41</f>
        <v>(VRL)</v>
      </c>
      <c r="G41" s="6" t="str">
        <f>Mon!G41</f>
        <v>BM</v>
      </c>
      <c r="H41" s="7" t="str">
        <f>Mon!H41</f>
        <v>(DRP)</v>
      </c>
      <c r="I41" s="412"/>
      <c r="J41" s="413"/>
      <c r="K41" s="6" t="str">
        <f>Mon!K41</f>
        <v>FA</v>
      </c>
      <c r="L41" s="11" t="str">
        <f>Mon!L41</f>
        <v>Y</v>
      </c>
      <c r="M41" s="39" t="str">
        <f>Mon!M41</f>
        <v>GE</v>
      </c>
      <c r="N41" s="43" t="str">
        <f>Mon!N41</f>
        <v>(SC)</v>
      </c>
      <c r="O41" s="221" t="s">
        <v>37</v>
      </c>
      <c r="P41" s="40" t="str">
        <f>Tue!E41</f>
        <v>AE</v>
      </c>
      <c r="Q41" s="7" t="str">
        <f>Tue!F41</f>
        <v>(PR)</v>
      </c>
      <c r="R41" s="6" t="str">
        <f>Tue!G41</f>
        <v>BT</v>
      </c>
      <c r="S41" s="7" t="str">
        <f>Tue!H41</f>
        <v>(JAY)</v>
      </c>
      <c r="T41" s="412" t="s">
        <v>143</v>
      </c>
      <c r="U41" s="413"/>
      <c r="V41" s="6" t="str">
        <f>Tue!K41</f>
        <v>FA</v>
      </c>
      <c r="W41" s="11" t="str">
        <f>Tue!L41</f>
        <v>Y</v>
      </c>
      <c r="X41" s="39" t="str">
        <f>Tue!M41</f>
        <v>GE</v>
      </c>
      <c r="Y41" s="43" t="str">
        <f>Tue!N41</f>
        <v>(SC)</v>
      </c>
      <c r="Z41" s="221" t="s">
        <v>37</v>
      </c>
      <c r="AA41" s="40" t="str">
        <f>Wed!E41</f>
        <v>BT</v>
      </c>
      <c r="AB41" s="7" t="str">
        <f>Wed!F41</f>
        <v>(JAY)</v>
      </c>
      <c r="AC41" s="6" t="str">
        <f>Wed!G41</f>
        <v>FA</v>
      </c>
      <c r="AD41" s="7" t="str">
        <f>Wed!H41</f>
        <v>Y</v>
      </c>
      <c r="AE41" s="412" t="s">
        <v>143</v>
      </c>
      <c r="AF41" s="413"/>
      <c r="AG41" s="6" t="str">
        <f>Wed!K41</f>
        <v>BM</v>
      </c>
      <c r="AH41" s="11" t="str">
        <f>Wed!L41</f>
        <v>(DRP)</v>
      </c>
      <c r="AI41" s="39" t="str">
        <f>Wed!M41</f>
        <v>QT</v>
      </c>
      <c r="AJ41" s="43" t="str">
        <f>Wed!N41</f>
        <v>(VRL)</v>
      </c>
      <c r="AK41" s="221" t="s">
        <v>37</v>
      </c>
      <c r="AL41" s="40">
        <f>Thur!E41</f>
        <v>0</v>
      </c>
      <c r="AM41" s="7">
        <f>Thur!F41</f>
        <v>0</v>
      </c>
      <c r="AN41" s="6">
        <f>Thur!G41</f>
        <v>0</v>
      </c>
      <c r="AO41" s="7">
        <f>Thur!H41</f>
        <v>0</v>
      </c>
      <c r="AP41" s="412" t="s">
        <v>143</v>
      </c>
      <c r="AQ41" s="413"/>
      <c r="AR41" s="6" t="str">
        <f>Thur!K41</f>
        <v>QT</v>
      </c>
      <c r="AS41" s="11" t="str">
        <f>Thur!L41</f>
        <v>(VRL)</v>
      </c>
      <c r="AT41" s="39" t="str">
        <f>Thur!M41</f>
        <v>GE</v>
      </c>
      <c r="AU41" s="43" t="str">
        <f>Thur!N41</f>
        <v>(SC)</v>
      </c>
      <c r="AV41" s="221" t="s">
        <v>37</v>
      </c>
      <c r="AW41" s="40" t="str">
        <f>Fri!E41</f>
        <v>BM</v>
      </c>
      <c r="AX41" s="7" t="str">
        <f>Fri!F41</f>
        <v>(DRP)</v>
      </c>
      <c r="AY41" s="6" t="str">
        <f>Fri!G41</f>
        <v>AE</v>
      </c>
      <c r="AZ41" s="7" t="str">
        <f>Fri!H41</f>
        <v>(PR)</v>
      </c>
      <c r="BA41" s="412" t="s">
        <v>143</v>
      </c>
      <c r="BB41" s="413"/>
      <c r="BC41" s="6" t="str">
        <f>Fri!K41</f>
        <v>FA</v>
      </c>
      <c r="BD41" s="11" t="str">
        <f>Fri!L41</f>
        <v>Y</v>
      </c>
      <c r="BE41" s="39" t="str">
        <f>Fri!M41</f>
        <v>BT</v>
      </c>
      <c r="BF41" s="43" t="str">
        <f>Fri!N41</f>
        <v>(JAY)</v>
      </c>
      <c r="BG41" s="259" t="s">
        <v>37</v>
      </c>
      <c r="BH41" s="428"/>
      <c r="BI41" s="349"/>
      <c r="BJ41" s="6" t="str">
        <f>Sat!G41</f>
        <v>AE</v>
      </c>
      <c r="BK41" s="7" t="str">
        <f>Sat!H41</f>
        <v>(PR)</v>
      </c>
      <c r="BL41" s="6" t="str">
        <f>Sat!I41</f>
        <v>QT</v>
      </c>
      <c r="BM41" s="7" t="str">
        <f>Sat!J41</f>
        <v>(VRL)</v>
      </c>
      <c r="BN41">
        <f>Sat!K42</f>
        <v>0</v>
      </c>
      <c r="BO41">
        <f>Sat!L42</f>
        <v>0</v>
      </c>
      <c r="BP41">
        <f>Sat!M42</f>
        <v>0</v>
      </c>
    </row>
    <row r="42" spans="1:68" ht="15.75" customHeight="1" x14ac:dyDescent="0.35">
      <c r="A42" s="408"/>
      <c r="B42" s="17" t="str">
        <f>Mon!B42</f>
        <v>AE</v>
      </c>
      <c r="C42" s="244" t="str">
        <f>Mon!C42</f>
        <v>E</v>
      </c>
      <c r="D42" s="251">
        <f>Mon!D42</f>
        <v>0</v>
      </c>
      <c r="E42" s="40" t="str">
        <f>Mon!E42</f>
        <v>AE</v>
      </c>
      <c r="F42" s="7" t="str">
        <f>Mon!F42</f>
        <v>(SC)</v>
      </c>
      <c r="G42" s="6" t="str">
        <f>Mon!G42</f>
        <v>BM</v>
      </c>
      <c r="H42" s="7" t="str">
        <f>Mon!H42</f>
        <v>(SE)</v>
      </c>
      <c r="I42" s="412"/>
      <c r="J42" s="413"/>
      <c r="K42" s="6" t="str">
        <f>Mon!K42</f>
        <v>BT</v>
      </c>
      <c r="L42" s="11" t="str">
        <f>Mon!L42</f>
        <v>(JAY)</v>
      </c>
      <c r="M42" s="39" t="str">
        <f>Mon!M42</f>
        <v>GE</v>
      </c>
      <c r="N42" s="43" t="str">
        <f>Mon!N42</f>
        <v>(CG)</v>
      </c>
      <c r="O42" s="221" t="s">
        <v>38</v>
      </c>
      <c r="P42" s="40" t="str">
        <f>Tue!E42</f>
        <v>BT</v>
      </c>
      <c r="Q42" s="7" t="str">
        <f>Tue!F42</f>
        <v>(JAY)</v>
      </c>
      <c r="R42" s="6" t="str">
        <f>Tue!G42</f>
        <v>FA</v>
      </c>
      <c r="S42" s="7" t="str">
        <f>Tue!H42</f>
        <v>x</v>
      </c>
      <c r="T42" s="412" t="s">
        <v>143</v>
      </c>
      <c r="U42" s="413"/>
      <c r="V42" s="6" t="str">
        <f>Tue!K42</f>
        <v>GE</v>
      </c>
      <c r="W42" s="11" t="str">
        <f>Tue!L42</f>
        <v>(CG)</v>
      </c>
      <c r="X42" s="39" t="str">
        <f>Tue!M42</f>
        <v>QT</v>
      </c>
      <c r="Y42" s="43" t="str">
        <f>Tue!N42</f>
        <v>(PM)</v>
      </c>
      <c r="Z42" s="221" t="s">
        <v>38</v>
      </c>
      <c r="AA42" s="40" t="str">
        <f>Wed!E42</f>
        <v>AE</v>
      </c>
      <c r="AB42" s="7" t="str">
        <f>Wed!F42</f>
        <v>(SC)</v>
      </c>
      <c r="AC42" s="6" t="str">
        <f>Wed!G42</f>
        <v>BM</v>
      </c>
      <c r="AD42" s="7" t="str">
        <f>Wed!H42</f>
        <v>(SE)</v>
      </c>
      <c r="AE42" s="412" t="s">
        <v>143</v>
      </c>
      <c r="AF42" s="413"/>
      <c r="AG42" s="6" t="str">
        <f>Wed!K42</f>
        <v>QT</v>
      </c>
      <c r="AH42" s="11" t="str">
        <f>Wed!L42</f>
        <v>(PM)</v>
      </c>
      <c r="AI42" s="39" t="str">
        <f>Wed!M42</f>
        <v>FA</v>
      </c>
      <c r="AJ42" s="43" t="str">
        <f>Wed!N42</f>
        <v>x</v>
      </c>
      <c r="AK42" s="221" t="s">
        <v>38</v>
      </c>
      <c r="AL42" s="40">
        <f>Thur!E42</f>
        <v>0</v>
      </c>
      <c r="AM42" s="7">
        <f>Thur!F42</f>
        <v>0</v>
      </c>
      <c r="AN42" s="6">
        <f>Thur!G42</f>
        <v>0</v>
      </c>
      <c r="AO42" s="7">
        <f>Thur!H42</f>
        <v>0</v>
      </c>
      <c r="AP42" s="412" t="s">
        <v>143</v>
      </c>
      <c r="AQ42" s="413"/>
      <c r="AR42" s="6" t="str">
        <f>Thur!K42</f>
        <v>BM</v>
      </c>
      <c r="AS42" s="11" t="str">
        <f>Thur!L42</f>
        <v>(SE)</v>
      </c>
      <c r="AT42" s="39" t="str">
        <f>Thur!M42</f>
        <v>QT</v>
      </c>
      <c r="AU42" s="43" t="str">
        <f>Thur!N42</f>
        <v>(PM)</v>
      </c>
      <c r="AV42" s="221" t="s">
        <v>38</v>
      </c>
      <c r="AW42" s="40" t="str">
        <f>Fri!E42</f>
        <v>QT</v>
      </c>
      <c r="AX42" s="7" t="str">
        <f>Fri!F42</f>
        <v>(PM)</v>
      </c>
      <c r="AY42" s="6" t="str">
        <f>Fri!G42</f>
        <v>FA</v>
      </c>
      <c r="AZ42" s="7" t="str">
        <f>Fri!H42</f>
        <v>x</v>
      </c>
      <c r="BA42" s="412" t="s">
        <v>143</v>
      </c>
      <c r="BB42" s="413"/>
      <c r="BC42" s="6" t="str">
        <f>Fri!K42</f>
        <v>BT</v>
      </c>
      <c r="BD42" s="11" t="str">
        <f>Fri!L42</f>
        <v>(JAY)</v>
      </c>
      <c r="BE42" s="39" t="str">
        <f>Fri!M42</f>
        <v>AE</v>
      </c>
      <c r="BF42" s="43" t="str">
        <f>Fri!N42</f>
        <v>(SC)</v>
      </c>
      <c r="BG42" s="259" t="s">
        <v>38</v>
      </c>
      <c r="BH42" s="428"/>
      <c r="BI42" s="349"/>
      <c r="BJ42" s="6" t="str">
        <f>Sat!G42</f>
        <v>FA</v>
      </c>
      <c r="BK42" s="7" t="str">
        <f>Sat!H42</f>
        <v>x</v>
      </c>
      <c r="BL42" s="6" t="str">
        <f>Sat!I42</f>
        <v>GE</v>
      </c>
      <c r="BM42" s="7" t="str">
        <f>Sat!J42</f>
        <v>(CG)</v>
      </c>
      <c r="BN42">
        <f>Sat!K43</f>
        <v>0</v>
      </c>
      <c r="BO42">
        <f>Sat!L43</f>
        <v>0</v>
      </c>
      <c r="BP42">
        <f>Sat!M43</f>
        <v>0</v>
      </c>
    </row>
    <row r="43" spans="1:68" ht="15.75" customHeight="1" x14ac:dyDescent="0.35">
      <c r="A43" s="408"/>
      <c r="B43" s="17" t="str">
        <f>Mon!B43</f>
        <v>AE</v>
      </c>
      <c r="C43" s="244" t="str">
        <f>Mon!C43</f>
        <v>F</v>
      </c>
      <c r="D43" s="251">
        <f>Mon!D43</f>
        <v>0</v>
      </c>
      <c r="E43" s="40" t="str">
        <f>Mon!E43</f>
        <v>QT</v>
      </c>
      <c r="F43" s="7" t="str">
        <f>Mon!F43</f>
        <v>(PM)</v>
      </c>
      <c r="G43" s="6" t="str">
        <f>Mon!G43</f>
        <v>AE</v>
      </c>
      <c r="H43" s="7" t="str">
        <f>Mon!H43</f>
        <v>(SC)</v>
      </c>
      <c r="I43" s="412"/>
      <c r="J43" s="413"/>
      <c r="K43" s="6" t="str">
        <f>Mon!K43</f>
        <v>BM</v>
      </c>
      <c r="L43" s="11" t="str">
        <f>Mon!L43</f>
        <v>(SE)</v>
      </c>
      <c r="M43" s="39" t="str">
        <f>Mon!M43</f>
        <v>FA</v>
      </c>
      <c r="N43" s="43" t="str">
        <f>Mon!N43</f>
        <v>X</v>
      </c>
      <c r="O43" s="221" t="s">
        <v>65</v>
      </c>
      <c r="P43" s="40" t="str">
        <f>Tue!E43</f>
        <v>QT</v>
      </c>
      <c r="Q43" s="7" t="str">
        <f>Tue!F43</f>
        <v>(PM)</v>
      </c>
      <c r="R43" s="6" t="str">
        <f>Tue!G43</f>
        <v>BM</v>
      </c>
      <c r="S43" s="7" t="str">
        <f>Tue!H43</f>
        <v>(SE)</v>
      </c>
      <c r="T43" s="412" t="s">
        <v>143</v>
      </c>
      <c r="U43" s="413"/>
      <c r="V43" s="6" t="str">
        <f>Tue!K43</f>
        <v>GE</v>
      </c>
      <c r="W43" s="11" t="str">
        <f>Tue!L43</f>
        <v>(PR)</v>
      </c>
      <c r="X43" s="39" t="str">
        <f>Tue!M43</f>
        <v>FA</v>
      </c>
      <c r="Y43" s="43" t="str">
        <f>Tue!N43</f>
        <v>X</v>
      </c>
      <c r="Z43" s="221" t="s">
        <v>65</v>
      </c>
      <c r="AA43" s="40" t="str">
        <f>Wed!E43</f>
        <v>FA</v>
      </c>
      <c r="AB43" s="7" t="str">
        <f>Wed!F43</f>
        <v>X</v>
      </c>
      <c r="AC43" s="6" t="str">
        <f>Wed!G43</f>
        <v>BT</v>
      </c>
      <c r="AD43" s="7" t="str">
        <f>Wed!H43</f>
        <v>(JAY)</v>
      </c>
      <c r="AE43" s="412" t="s">
        <v>143</v>
      </c>
      <c r="AF43" s="413"/>
      <c r="AG43" s="6" t="str">
        <f>Wed!K43</f>
        <v>GE</v>
      </c>
      <c r="AH43" s="11" t="str">
        <f>Wed!L43</f>
        <v>(PR)</v>
      </c>
      <c r="AI43" s="39" t="str">
        <f>Wed!M43</f>
        <v>QT</v>
      </c>
      <c r="AJ43" s="43" t="str">
        <f>Wed!N43</f>
        <v>(PM)</v>
      </c>
      <c r="AK43" s="221" t="s">
        <v>65</v>
      </c>
      <c r="AL43" s="40">
        <f>Thur!E43</f>
        <v>0</v>
      </c>
      <c r="AM43" s="7">
        <f>Thur!F43</f>
        <v>0</v>
      </c>
      <c r="AN43" s="6">
        <f>Thur!G43</f>
        <v>0</v>
      </c>
      <c r="AO43" s="7">
        <f>Thur!H43</f>
        <v>0</v>
      </c>
      <c r="AP43" s="412" t="s">
        <v>143</v>
      </c>
      <c r="AQ43" s="413"/>
      <c r="AR43" s="6" t="str">
        <f>Thur!K43</f>
        <v>AE</v>
      </c>
      <c r="AS43" s="11" t="str">
        <f>Thur!L43</f>
        <v>(SC)</v>
      </c>
      <c r="AT43" s="39" t="str">
        <f>Thur!M43</f>
        <v>BT</v>
      </c>
      <c r="AU43" s="43" t="str">
        <f>Thur!N43</f>
        <v>(JAY)</v>
      </c>
      <c r="AV43" s="221" t="s">
        <v>65</v>
      </c>
      <c r="AW43" s="40" t="str">
        <f>Fri!E43</f>
        <v>GE</v>
      </c>
      <c r="AX43" s="7" t="str">
        <f>Fri!F43</f>
        <v>(PR)</v>
      </c>
      <c r="AY43" s="6" t="str">
        <f>Fri!G43</f>
        <v>AE</v>
      </c>
      <c r="AZ43" s="7" t="str">
        <f>Fri!H43</f>
        <v>(SC)</v>
      </c>
      <c r="BA43" s="412" t="s">
        <v>143</v>
      </c>
      <c r="BB43" s="413"/>
      <c r="BC43" s="6" t="str">
        <f>Fri!K43</f>
        <v>BM</v>
      </c>
      <c r="BD43" s="11" t="str">
        <f>Fri!L43</f>
        <v>(SE)</v>
      </c>
      <c r="BE43" s="39" t="str">
        <f>Fri!M43</f>
        <v>FA</v>
      </c>
      <c r="BF43" s="43" t="str">
        <f>Fri!N43</f>
        <v>X</v>
      </c>
      <c r="BG43" s="259" t="s">
        <v>65</v>
      </c>
      <c r="BH43" s="428"/>
      <c r="BI43" s="349"/>
      <c r="BJ43" s="6" t="str">
        <f>Sat!G43</f>
        <v>QT</v>
      </c>
      <c r="BK43" s="7" t="str">
        <f>Sat!H43</f>
        <v>(PM)</v>
      </c>
      <c r="BL43" s="6" t="str">
        <f>Sat!I43</f>
        <v>BT</v>
      </c>
      <c r="BM43" s="7" t="str">
        <f>Sat!J43</f>
        <v>(JAY)</v>
      </c>
      <c r="BN43">
        <f>Sat!K44</f>
        <v>0</v>
      </c>
      <c r="BO43">
        <f>Sat!L44</f>
        <v>0</v>
      </c>
      <c r="BP43">
        <f>Sat!M44</f>
        <v>0</v>
      </c>
    </row>
    <row r="44" spans="1:68" s="47" customFormat="1" ht="15.75" customHeight="1" x14ac:dyDescent="0.35">
      <c r="A44" s="408"/>
      <c r="B44" s="17" t="str">
        <f>Mon!B44</f>
        <v>AE</v>
      </c>
      <c r="C44" s="244" t="str">
        <f>Mon!C44</f>
        <v>G</v>
      </c>
      <c r="D44" s="251">
        <f>Mon!D44</f>
        <v>0</v>
      </c>
      <c r="E44" s="40" t="str">
        <f>Mon!E44</f>
        <v>QT</v>
      </c>
      <c r="F44" s="7" t="str">
        <f>Mon!F44</f>
        <v>(BB)</v>
      </c>
      <c r="G44" s="6" t="str">
        <f>Mon!G44</f>
        <v>BM</v>
      </c>
      <c r="H44" s="7" t="str">
        <f>Mon!H44</f>
        <v>(AG)</v>
      </c>
      <c r="I44" s="412"/>
      <c r="J44" s="413"/>
      <c r="K44" s="6" t="str">
        <f>Mon!K44</f>
        <v>AE</v>
      </c>
      <c r="L44" s="11" t="str">
        <f>Mon!L44</f>
        <v>(SN)</v>
      </c>
      <c r="M44" s="39" t="str">
        <f>Mon!M44</f>
        <v>BT</v>
      </c>
      <c r="N44" s="43" t="str">
        <f>Mon!N44</f>
        <v>(AB)</v>
      </c>
      <c r="O44" s="221" t="s">
        <v>69</v>
      </c>
      <c r="P44" s="40" t="str">
        <f>Tue!E44</f>
        <v>FA</v>
      </c>
      <c r="Q44" s="7" t="str">
        <f>Tue!F44</f>
        <v>(VIN)</v>
      </c>
      <c r="R44" s="6" t="str">
        <f>Tue!G44</f>
        <v>GE</v>
      </c>
      <c r="S44" s="7" t="str">
        <f>Tue!H44</f>
        <v>(SC)</v>
      </c>
      <c r="T44" s="412" t="s">
        <v>143</v>
      </c>
      <c r="U44" s="413"/>
      <c r="V44" s="6" t="str">
        <f>Tue!K44</f>
        <v>BT</v>
      </c>
      <c r="W44" s="11" t="str">
        <f>Tue!L44</f>
        <v>(AB)</v>
      </c>
      <c r="X44" s="39" t="str">
        <f>Tue!M44</f>
        <v>QT</v>
      </c>
      <c r="Y44" s="43" t="str">
        <f>Tue!N44</f>
        <v>(BB)</v>
      </c>
      <c r="Z44" s="221" t="s">
        <v>69</v>
      </c>
      <c r="AA44" s="40" t="str">
        <f>Wed!E44</f>
        <v>QT</v>
      </c>
      <c r="AB44" s="7" t="str">
        <f>Wed!F44</f>
        <v>(BB)</v>
      </c>
      <c r="AC44" s="6" t="str">
        <f>Wed!G44</f>
        <v>AE</v>
      </c>
      <c r="AD44" s="7" t="str">
        <f>Wed!H44</f>
        <v>(SN)</v>
      </c>
      <c r="AE44" s="412" t="s">
        <v>143</v>
      </c>
      <c r="AF44" s="413"/>
      <c r="AG44" s="6" t="str">
        <f>Wed!K44</f>
        <v>FA</v>
      </c>
      <c r="AH44" s="11" t="str">
        <f>Wed!L44</f>
        <v>(VIN)</v>
      </c>
      <c r="AI44" s="39" t="str">
        <f>Wed!M44</f>
        <v>BM</v>
      </c>
      <c r="AJ44" s="43" t="str">
        <f>Wed!N44</f>
        <v>(AG)</v>
      </c>
      <c r="AK44" s="221" t="s">
        <v>69</v>
      </c>
      <c r="AL44" s="40">
        <f>Thur!E44</f>
        <v>0</v>
      </c>
      <c r="AM44" s="7">
        <f>Thur!F44</f>
        <v>0</v>
      </c>
      <c r="AN44" s="6">
        <f>Thur!G44</f>
        <v>0</v>
      </c>
      <c r="AO44" s="7">
        <f>Thur!H44</f>
        <v>0</v>
      </c>
      <c r="AP44" s="412" t="s">
        <v>143</v>
      </c>
      <c r="AQ44" s="413"/>
      <c r="AR44" s="6" t="str">
        <f>Thur!K44</f>
        <v>QT</v>
      </c>
      <c r="AS44" s="11" t="str">
        <f>Thur!L44</f>
        <v>(BB)</v>
      </c>
      <c r="AT44" s="39" t="str">
        <f>Thur!M44</f>
        <v>BT</v>
      </c>
      <c r="AU44" s="43" t="str">
        <f>Thur!N44</f>
        <v>(AB)</v>
      </c>
      <c r="AV44" s="221" t="s">
        <v>69</v>
      </c>
      <c r="AW44" s="40" t="str">
        <f>Fri!E44</f>
        <v>GE</v>
      </c>
      <c r="AX44" s="7" t="str">
        <f>Fri!F44</f>
        <v>(SC)</v>
      </c>
      <c r="AY44" s="6" t="str">
        <f>Fri!G44</f>
        <v>AE</v>
      </c>
      <c r="AZ44" s="7" t="str">
        <f>Fri!H44</f>
        <v>(SN)</v>
      </c>
      <c r="BA44" s="412" t="s">
        <v>143</v>
      </c>
      <c r="BB44" s="413"/>
      <c r="BC44" s="6" t="str">
        <f>Fri!K44</f>
        <v>FA</v>
      </c>
      <c r="BD44" s="11" t="str">
        <f>Fri!L44</f>
        <v>(VIN)</v>
      </c>
      <c r="BE44" s="39" t="str">
        <f>Fri!M44</f>
        <v>BM</v>
      </c>
      <c r="BF44" s="43" t="str">
        <f>Fri!N44</f>
        <v>(AG)</v>
      </c>
      <c r="BG44" s="259" t="s">
        <v>69</v>
      </c>
      <c r="BH44" s="428"/>
      <c r="BI44" s="349"/>
      <c r="BJ44" s="6" t="str">
        <f>Sat!G44</f>
        <v>GE</v>
      </c>
      <c r="BK44" s="7" t="str">
        <f>Sat!H44</f>
        <v>(SC)</v>
      </c>
      <c r="BL44" s="6" t="str">
        <f>Sat!I44</f>
        <v>FA</v>
      </c>
      <c r="BM44" s="7" t="str">
        <f>Sat!J44</f>
        <v>(VIN)</v>
      </c>
      <c r="BN44">
        <f>Sat!K45</f>
        <v>0</v>
      </c>
      <c r="BO44">
        <f>Sat!L45</f>
        <v>0</v>
      </c>
      <c r="BP44" s="47">
        <f>Sat!M45</f>
        <v>0</v>
      </c>
    </row>
    <row r="45" spans="1:68" s="47" customFormat="1" ht="15.75" customHeight="1" x14ac:dyDescent="0.35">
      <c r="A45" s="408"/>
      <c r="B45" s="17" t="str">
        <f>Mon!B45</f>
        <v>AE</v>
      </c>
      <c r="C45" s="244" t="str">
        <f>Mon!C45</f>
        <v>H</v>
      </c>
      <c r="D45" s="251">
        <f>Mon!D45</f>
        <v>0</v>
      </c>
      <c r="E45" s="40" t="str">
        <f>Mon!E45</f>
        <v>FA</v>
      </c>
      <c r="F45" s="7" t="str">
        <f>Mon!F45</f>
        <v>(MK)</v>
      </c>
      <c r="G45" s="6" t="str">
        <f>Mon!G45</f>
        <v>GE</v>
      </c>
      <c r="H45" s="7" t="str">
        <f>Mon!H45</f>
        <v>(SA)</v>
      </c>
      <c r="I45" s="412"/>
      <c r="J45" s="413"/>
      <c r="K45" s="6" t="str">
        <f>Mon!K45</f>
        <v>QT</v>
      </c>
      <c r="L45" s="11" t="str">
        <f>Mon!L45</f>
        <v>(VRL)</v>
      </c>
      <c r="M45" s="39" t="str">
        <f>Mon!M45</f>
        <v>BM</v>
      </c>
      <c r="N45" s="43" t="str">
        <f>Mon!N45</f>
        <v>(DRP)</v>
      </c>
      <c r="O45" s="221" t="s">
        <v>72</v>
      </c>
      <c r="P45" s="40" t="str">
        <f>Tue!E45</f>
        <v>AE</v>
      </c>
      <c r="Q45" s="7" t="str">
        <f>Tue!F45</f>
        <v>(SN)</v>
      </c>
      <c r="R45" s="6" t="str">
        <f>Tue!G45</f>
        <v>FA</v>
      </c>
      <c r="S45" s="7" t="str">
        <f>Tue!H45</f>
        <v>(MK)</v>
      </c>
      <c r="T45" s="412" t="s">
        <v>143</v>
      </c>
      <c r="U45" s="413"/>
      <c r="V45" s="6" t="str">
        <f>Tue!K45</f>
        <v>BM</v>
      </c>
      <c r="W45" s="11" t="str">
        <f>Tue!L45</f>
        <v>(DRP)</v>
      </c>
      <c r="X45" s="39" t="str">
        <f>Tue!M45</f>
        <v>QT</v>
      </c>
      <c r="Y45" s="43" t="str">
        <f>Tue!N45</f>
        <v>(VRL)</v>
      </c>
      <c r="Z45" s="221" t="s">
        <v>72</v>
      </c>
      <c r="AA45" s="40" t="str">
        <f>Wed!E45</f>
        <v>BT</v>
      </c>
      <c r="AB45" s="7" t="str">
        <f>Wed!F45</f>
        <v>(AW)</v>
      </c>
      <c r="AC45" s="6" t="str">
        <f>Wed!G45</f>
        <v>QT</v>
      </c>
      <c r="AD45" s="7" t="str">
        <f>Wed!H45</f>
        <v>(VRL)</v>
      </c>
      <c r="AE45" s="412" t="s">
        <v>143</v>
      </c>
      <c r="AF45" s="413"/>
      <c r="AG45" s="6" t="str">
        <f>Wed!K45</f>
        <v>GE</v>
      </c>
      <c r="AH45" s="11" t="str">
        <f>Wed!L45</f>
        <v>(SA)</v>
      </c>
      <c r="AI45" s="39" t="str">
        <f>Wed!M45</f>
        <v>FA</v>
      </c>
      <c r="AJ45" s="43" t="str">
        <f>Wed!N45</f>
        <v>(MK)</v>
      </c>
      <c r="AK45" s="221" t="s">
        <v>72</v>
      </c>
      <c r="AL45" s="40">
        <f>Thur!E45</f>
        <v>0</v>
      </c>
      <c r="AM45" s="7">
        <f>Thur!F45</f>
        <v>0</v>
      </c>
      <c r="AN45" s="6">
        <f>Thur!G45</f>
        <v>0</v>
      </c>
      <c r="AO45" s="7">
        <f>Thur!H45</f>
        <v>0</v>
      </c>
      <c r="AP45" s="412" t="s">
        <v>143</v>
      </c>
      <c r="AQ45" s="413"/>
      <c r="AR45" s="6" t="str">
        <f>Thur!K45</f>
        <v>AE</v>
      </c>
      <c r="AS45" s="11" t="str">
        <f>Thur!L45</f>
        <v>(SN)</v>
      </c>
      <c r="AT45" s="39" t="str">
        <f>Thur!M45</f>
        <v>BM</v>
      </c>
      <c r="AU45" s="43" t="str">
        <f>Thur!N45</f>
        <v>(DRP)</v>
      </c>
      <c r="AV45" s="221" t="s">
        <v>72</v>
      </c>
      <c r="AW45" s="40" t="str">
        <f>Fri!E45</f>
        <v>FA</v>
      </c>
      <c r="AX45" s="7" t="str">
        <f>Fri!F45</f>
        <v>(MK)</v>
      </c>
      <c r="AY45" s="6" t="str">
        <f>Fri!G45</f>
        <v>BT</v>
      </c>
      <c r="AZ45" s="7" t="str">
        <f>Fri!H45</f>
        <v>(AW)</v>
      </c>
      <c r="BA45" s="412" t="s">
        <v>143</v>
      </c>
      <c r="BB45" s="413"/>
      <c r="BC45" s="6" t="str">
        <f>Fri!K45</f>
        <v>GE</v>
      </c>
      <c r="BD45" s="11" t="str">
        <f>Fri!L45</f>
        <v>(SA)</v>
      </c>
      <c r="BE45" s="39" t="str">
        <f>Fri!M45</f>
        <v>QT</v>
      </c>
      <c r="BF45" s="43" t="str">
        <f>Fri!N45</f>
        <v>(VRL)</v>
      </c>
      <c r="BG45" s="259" t="s">
        <v>72</v>
      </c>
      <c r="BH45" s="428"/>
      <c r="BI45" s="349"/>
      <c r="BJ45" s="6" t="str">
        <f>Sat!G45</f>
        <v>BT</v>
      </c>
      <c r="BK45" s="7" t="str">
        <f>Sat!H45</f>
        <v>(AW)</v>
      </c>
      <c r="BL45" s="6" t="str">
        <f>Sat!I45</f>
        <v>AE</v>
      </c>
      <c r="BM45" s="7" t="str">
        <f>Sat!J45</f>
        <v>(SN)</v>
      </c>
      <c r="BN45">
        <f>Sat!K46</f>
        <v>0</v>
      </c>
      <c r="BO45">
        <f>Sat!L46</f>
        <v>0</v>
      </c>
      <c r="BP45" s="47">
        <f>Sat!M46</f>
        <v>0</v>
      </c>
    </row>
    <row r="46" spans="1:68" s="47" customFormat="1" ht="15.75" customHeight="1" x14ac:dyDescent="0.35">
      <c r="A46" s="408"/>
      <c r="B46" s="17" t="str">
        <f>Mon!B46</f>
        <v>HIN</v>
      </c>
      <c r="C46" s="244" t="str">
        <f>Mon!C46</f>
        <v>I</v>
      </c>
      <c r="D46" s="251">
        <f>Mon!D46</f>
        <v>0</v>
      </c>
      <c r="E46" s="40" t="str">
        <f>Mon!E46</f>
        <v>BT</v>
      </c>
      <c r="F46" s="7" t="str">
        <f>Mon!F46</f>
        <v>(JAY)</v>
      </c>
      <c r="G46" s="6" t="str">
        <f>Mon!G46</f>
        <v>GE</v>
      </c>
      <c r="H46" s="7" t="str">
        <f>Mon!H46</f>
        <v>(CG)</v>
      </c>
      <c r="I46" s="412"/>
      <c r="J46" s="413"/>
      <c r="K46" s="6" t="str">
        <f>Mon!K46</f>
        <v>BM</v>
      </c>
      <c r="L46" s="11" t="str">
        <f>Mon!L46</f>
        <v>(DRP)</v>
      </c>
      <c r="M46" s="39" t="str">
        <f>Mon!M46</f>
        <v>FA</v>
      </c>
      <c r="N46" s="43" t="str">
        <f>Mon!N46</f>
        <v>(VIN)</v>
      </c>
      <c r="O46" s="221" t="s">
        <v>76</v>
      </c>
      <c r="P46" s="40" t="str">
        <f>Tue!E46</f>
        <v>GE</v>
      </c>
      <c r="Q46" s="7" t="str">
        <f>Tue!F46</f>
        <v>(CG)</v>
      </c>
      <c r="R46" s="6" t="str">
        <f>Tue!G46</f>
        <v>QT</v>
      </c>
      <c r="S46" s="7" t="str">
        <f>Tue!H46</f>
        <v>(PM)</v>
      </c>
      <c r="T46" s="412" t="s">
        <v>143</v>
      </c>
      <c r="U46" s="413"/>
      <c r="V46" s="6" t="str">
        <f>Tue!K46</f>
        <v>BT</v>
      </c>
      <c r="W46" s="11" t="str">
        <f>Tue!L46</f>
        <v>(JAY)</v>
      </c>
      <c r="X46" s="39" t="str">
        <f>Tue!M46</f>
        <v>HIN</v>
      </c>
      <c r="Y46" s="43" t="str">
        <f>Tue!N46</f>
        <v>(SV)</v>
      </c>
      <c r="Z46" s="221" t="s">
        <v>76</v>
      </c>
      <c r="AA46" s="40" t="str">
        <f>Wed!E46</f>
        <v>BM</v>
      </c>
      <c r="AB46" s="7" t="str">
        <f>Wed!F46</f>
        <v>(DRP)</v>
      </c>
      <c r="AC46" s="6" t="str">
        <f>Wed!G46</f>
        <v>QT</v>
      </c>
      <c r="AD46" s="7" t="str">
        <f>Wed!H46</f>
        <v>(PM)</v>
      </c>
      <c r="AE46" s="412" t="s">
        <v>143</v>
      </c>
      <c r="AF46" s="413"/>
      <c r="AG46" s="6" t="str">
        <f>Wed!K46</f>
        <v>HIN</v>
      </c>
      <c r="AH46" s="11" t="str">
        <f>Wed!L46</f>
        <v>(SV)</v>
      </c>
      <c r="AI46" s="39" t="str">
        <f>Wed!M46</f>
        <v>FA</v>
      </c>
      <c r="AJ46" s="43" t="str">
        <f>Wed!N46</f>
        <v>(VIN)</v>
      </c>
      <c r="AK46" s="221" t="s">
        <v>76</v>
      </c>
      <c r="AL46" s="40">
        <f>Thur!E46</f>
        <v>0</v>
      </c>
      <c r="AM46" s="7">
        <f>Thur!F46</f>
        <v>0</v>
      </c>
      <c r="AN46" s="6">
        <f>Thur!G46</f>
        <v>0</v>
      </c>
      <c r="AO46" s="7">
        <f>Thur!H46</f>
        <v>0</v>
      </c>
      <c r="AP46" s="412" t="s">
        <v>143</v>
      </c>
      <c r="AQ46" s="413"/>
      <c r="AR46" s="6" t="str">
        <f>Thur!K46</f>
        <v>FA</v>
      </c>
      <c r="AS46" s="11" t="str">
        <f>Thur!L46</f>
        <v>(VIN)</v>
      </c>
      <c r="AT46" s="39" t="str">
        <f>Thur!M46</f>
        <v>HIN</v>
      </c>
      <c r="AU46" s="43" t="str">
        <f>Thur!N46</f>
        <v>(SV)</v>
      </c>
      <c r="AV46" s="221" t="s">
        <v>76</v>
      </c>
      <c r="AW46" s="40" t="str">
        <f>Fri!E46</f>
        <v>FA</v>
      </c>
      <c r="AX46" s="7" t="str">
        <f>Fri!F46</f>
        <v>(VIN)</v>
      </c>
      <c r="AY46" s="6" t="str">
        <f>Fri!G46</f>
        <v>QT</v>
      </c>
      <c r="AZ46" s="7" t="str">
        <f>Fri!H46</f>
        <v>(PM)</v>
      </c>
      <c r="BA46" s="412" t="s">
        <v>143</v>
      </c>
      <c r="BB46" s="413"/>
      <c r="BC46" s="6" t="str">
        <f>Fri!K46</f>
        <v>GE</v>
      </c>
      <c r="BD46" s="11" t="str">
        <f>Fri!L46</f>
        <v>(CG)</v>
      </c>
      <c r="BE46" s="39" t="str">
        <f>Fri!M46</f>
        <v>BM</v>
      </c>
      <c r="BF46" s="43" t="str">
        <f>Fri!N46</f>
        <v>(DRP)</v>
      </c>
      <c r="BG46" s="259" t="s">
        <v>76</v>
      </c>
      <c r="BH46" s="428"/>
      <c r="BI46" s="349"/>
      <c r="BJ46" s="6" t="str">
        <f>Sat!G46</f>
        <v>BT</v>
      </c>
      <c r="BK46" s="7" t="str">
        <f>Sat!H46</f>
        <v>(JAY)</v>
      </c>
      <c r="BL46" s="6" t="str">
        <f>Sat!I46</f>
        <v>QT</v>
      </c>
      <c r="BM46" s="7" t="str">
        <f>Sat!J46</f>
        <v>(PM)</v>
      </c>
      <c r="BN46">
        <f>Sat!K47</f>
        <v>0</v>
      </c>
      <c r="BO46">
        <f>Sat!L47</f>
        <v>0</v>
      </c>
      <c r="BP46" s="47">
        <f>Sat!M47</f>
        <v>0</v>
      </c>
    </row>
    <row r="47" spans="1:68" s="47" customFormat="1" ht="15.75" customHeight="1" x14ac:dyDescent="0.35">
      <c r="A47" s="408"/>
      <c r="B47" s="17" t="str">
        <f>Mon!B47</f>
        <v>HIN</v>
      </c>
      <c r="C47" s="244" t="str">
        <f>Mon!C47</f>
        <v>J</v>
      </c>
      <c r="D47" s="251">
        <f>Mon!D47</f>
        <v>0</v>
      </c>
      <c r="E47" s="40" t="str">
        <f>Mon!E47</f>
        <v>QT</v>
      </c>
      <c r="F47" s="7" t="str">
        <f>Mon!F47</f>
        <v>(BD)</v>
      </c>
      <c r="G47" s="6" t="str">
        <f>Mon!G47</f>
        <v>GE</v>
      </c>
      <c r="H47" s="7" t="str">
        <f>Mon!H47</f>
        <v>(SN)</v>
      </c>
      <c r="I47" s="412"/>
      <c r="J47" s="413"/>
      <c r="K47" s="6" t="str">
        <f>Mon!K47</f>
        <v>BT</v>
      </c>
      <c r="L47" s="11" t="str">
        <f>Mon!L47</f>
        <v>(AB)</v>
      </c>
      <c r="M47" s="39" t="str">
        <f>Mon!M47</f>
        <v>HIN</v>
      </c>
      <c r="N47" s="43" t="str">
        <f>Mon!N47</f>
        <v>(SV)</v>
      </c>
      <c r="O47" s="221" t="s">
        <v>79</v>
      </c>
      <c r="P47" s="40" t="str">
        <f>Tue!E47</f>
        <v>BM</v>
      </c>
      <c r="Q47" s="7" t="str">
        <f>Tue!F47</f>
        <v>(SE)</v>
      </c>
      <c r="R47" s="6" t="str">
        <f>Tue!G47</f>
        <v>FA</v>
      </c>
      <c r="S47" s="7" t="str">
        <f>Tue!H47</f>
        <v>(VA)</v>
      </c>
      <c r="T47" s="412" t="s">
        <v>143</v>
      </c>
      <c r="U47" s="413"/>
      <c r="V47" s="6" t="str">
        <f>Tue!K47</f>
        <v>GE</v>
      </c>
      <c r="W47" s="11" t="str">
        <f>Tue!L47</f>
        <v>(SN)</v>
      </c>
      <c r="X47" s="39" t="str">
        <f>Tue!M47</f>
        <v>QT</v>
      </c>
      <c r="Y47" s="43" t="str">
        <f>Tue!N47</f>
        <v>(BD)</v>
      </c>
      <c r="Z47" s="221" t="s">
        <v>79</v>
      </c>
      <c r="AA47" s="40" t="str">
        <f>Wed!E47</f>
        <v>QT</v>
      </c>
      <c r="AB47" s="7" t="str">
        <f>Wed!F47</f>
        <v>(BD)</v>
      </c>
      <c r="AC47" s="6" t="str">
        <f>Wed!G47</f>
        <v>HIN</v>
      </c>
      <c r="AD47" s="7" t="str">
        <f>Wed!H47</f>
        <v>(SV)</v>
      </c>
      <c r="AE47" s="412" t="s">
        <v>143</v>
      </c>
      <c r="AF47" s="413"/>
      <c r="AG47" s="6" t="str">
        <f>Wed!K47</f>
        <v>FA</v>
      </c>
      <c r="AH47" s="11" t="str">
        <f>Wed!L47</f>
        <v>(VA)</v>
      </c>
      <c r="AI47" s="39" t="str">
        <f>Wed!M47</f>
        <v>BT</v>
      </c>
      <c r="AJ47" s="43" t="str">
        <f>Wed!N47</f>
        <v>(AB)</v>
      </c>
      <c r="AK47" s="221" t="s">
        <v>79</v>
      </c>
      <c r="AL47" s="40">
        <f>Thur!E47</f>
        <v>0</v>
      </c>
      <c r="AM47" s="7">
        <f>Thur!F47</f>
        <v>0</v>
      </c>
      <c r="AN47" s="6">
        <f>Thur!G47</f>
        <v>0</v>
      </c>
      <c r="AO47" s="7">
        <f>Thur!H47</f>
        <v>0</v>
      </c>
      <c r="AP47" s="412" t="s">
        <v>143</v>
      </c>
      <c r="AQ47" s="413"/>
      <c r="AR47" s="6" t="str">
        <f>Thur!K47</f>
        <v>FA</v>
      </c>
      <c r="AS47" s="11" t="str">
        <f>Thur!L47</f>
        <v>(VA)</v>
      </c>
      <c r="AT47" s="39" t="str">
        <f>Thur!M47</f>
        <v>BM</v>
      </c>
      <c r="AU47" s="43" t="str">
        <f>Thur!N47</f>
        <v>(SE)</v>
      </c>
      <c r="AV47" s="221" t="s">
        <v>79</v>
      </c>
      <c r="AW47" s="40" t="str">
        <f>Fri!E47</f>
        <v>FA</v>
      </c>
      <c r="AX47" s="7" t="str">
        <f>Fri!F47</f>
        <v>(VA)</v>
      </c>
      <c r="AY47" s="6" t="str">
        <f>Fri!G47</f>
        <v>HIN</v>
      </c>
      <c r="AZ47" s="7" t="str">
        <f>Fri!H47</f>
        <v>(SV)</v>
      </c>
      <c r="BA47" s="412" t="s">
        <v>143</v>
      </c>
      <c r="BB47" s="413"/>
      <c r="BC47" s="6" t="str">
        <f>Fri!K47</f>
        <v>GE</v>
      </c>
      <c r="BD47" s="11" t="str">
        <f>Fri!L47</f>
        <v>(SN)</v>
      </c>
      <c r="BE47" s="39" t="str">
        <f>Fri!M47</f>
        <v>BT</v>
      </c>
      <c r="BF47" s="43" t="str">
        <f>Fri!N47</f>
        <v>(AB)</v>
      </c>
      <c r="BG47" s="259" t="s">
        <v>79</v>
      </c>
      <c r="BH47" s="428"/>
      <c r="BI47" s="349"/>
      <c r="BJ47" s="6" t="str">
        <f>Sat!G47</f>
        <v>QT</v>
      </c>
      <c r="BK47" s="7" t="str">
        <f>Sat!H47</f>
        <v>(BD)</v>
      </c>
      <c r="BL47" s="6" t="str">
        <f>Sat!I47</f>
        <v>BM</v>
      </c>
      <c r="BM47" s="7" t="str">
        <f>Sat!J47</f>
        <v>(SE)</v>
      </c>
      <c r="BN47">
        <f>Sat!K48</f>
        <v>0</v>
      </c>
      <c r="BO47">
        <f>Sat!L48</f>
        <v>0</v>
      </c>
      <c r="BP47" s="47">
        <f>Sat!M48</f>
        <v>0</v>
      </c>
    </row>
    <row r="48" spans="1:68" s="47" customFormat="1" ht="15.75" customHeight="1" x14ac:dyDescent="0.35">
      <c r="A48" s="408"/>
      <c r="B48" s="17" t="str">
        <f>Mon!B48</f>
        <v>HIN</v>
      </c>
      <c r="C48" s="244" t="str">
        <f>Mon!C48</f>
        <v>K</v>
      </c>
      <c r="D48" s="251">
        <f>Mon!D48</f>
        <v>0</v>
      </c>
      <c r="E48" s="40" t="str">
        <f>Mon!E48</f>
        <v>BT</v>
      </c>
      <c r="F48" s="7" t="str">
        <f>Mon!F48</f>
        <v>(AW)</v>
      </c>
      <c r="G48" s="6" t="str">
        <f>Mon!G48</f>
        <v>QT</v>
      </c>
      <c r="H48" s="7" t="str">
        <f>Mon!H48</f>
        <v>(BD)</v>
      </c>
      <c r="I48" s="412"/>
      <c r="J48" s="413"/>
      <c r="K48" s="6" t="str">
        <f>Mon!K48</f>
        <v>HIN</v>
      </c>
      <c r="L48" s="11" t="str">
        <f>Mon!L48</f>
        <v>(SV)</v>
      </c>
      <c r="M48" s="39" t="str">
        <f>Mon!M48</f>
        <v>FA</v>
      </c>
      <c r="N48" s="43" t="str">
        <f>Mon!N48</f>
        <v>(VA)</v>
      </c>
      <c r="O48" s="221" t="s">
        <v>81</v>
      </c>
      <c r="P48" s="40" t="str">
        <f>Tue!E48</f>
        <v>BM</v>
      </c>
      <c r="Q48" s="7" t="str">
        <f>Tue!F48</f>
        <v>(AG)</v>
      </c>
      <c r="R48" s="6" t="str">
        <f>Tue!G48</f>
        <v>HIN</v>
      </c>
      <c r="S48" s="7" t="str">
        <f>Tue!H48</f>
        <v>(SV)</v>
      </c>
      <c r="T48" s="412" t="s">
        <v>143</v>
      </c>
      <c r="U48" s="413"/>
      <c r="V48" s="6" t="str">
        <f>Tue!K48</f>
        <v>QT</v>
      </c>
      <c r="W48" s="11" t="str">
        <f>Tue!L48</f>
        <v>(BD)</v>
      </c>
      <c r="X48" s="39" t="str">
        <f>Tue!M48</f>
        <v>GE</v>
      </c>
      <c r="Y48" s="43" t="str">
        <f>Tue!N48</f>
        <v>(SN)</v>
      </c>
      <c r="Z48" s="221" t="s">
        <v>81</v>
      </c>
      <c r="AA48" s="40" t="str">
        <f>Wed!E48</f>
        <v>BM</v>
      </c>
      <c r="AB48" s="7" t="str">
        <f>Wed!F48</f>
        <v>(AG)</v>
      </c>
      <c r="AC48" s="6" t="str">
        <f>Wed!G48</f>
        <v>FA</v>
      </c>
      <c r="AD48" s="7" t="str">
        <f>Wed!H48</f>
        <v>(MK)</v>
      </c>
      <c r="AE48" s="412" t="s">
        <v>143</v>
      </c>
      <c r="AF48" s="413"/>
      <c r="AG48" s="6" t="str">
        <f>Wed!K48</f>
        <v>BT</v>
      </c>
      <c r="AH48" s="11" t="str">
        <f>Wed!L48</f>
        <v>(AW)</v>
      </c>
      <c r="AI48" s="39" t="str">
        <f>Wed!M48</f>
        <v>GE</v>
      </c>
      <c r="AJ48" s="43" t="str">
        <f>Wed!N48</f>
        <v>(SN)</v>
      </c>
      <c r="AK48" s="221" t="s">
        <v>81</v>
      </c>
      <c r="AL48" s="40">
        <f>Thur!E48</f>
        <v>0</v>
      </c>
      <c r="AM48" s="7">
        <f>Thur!F48</f>
        <v>0</v>
      </c>
      <c r="AN48" s="6">
        <f>Thur!G48</f>
        <v>0</v>
      </c>
      <c r="AO48" s="7">
        <f>Thur!H48</f>
        <v>0</v>
      </c>
      <c r="AP48" s="412" t="s">
        <v>143</v>
      </c>
      <c r="AQ48" s="413"/>
      <c r="AR48" s="6" t="str">
        <f>Thur!K48</f>
        <v>FA</v>
      </c>
      <c r="AS48" s="11" t="str">
        <f>Thur!L48</f>
        <v>(MK)</v>
      </c>
      <c r="AT48" s="39" t="str">
        <f>Thur!M48</f>
        <v>QT</v>
      </c>
      <c r="AU48" s="43" t="str">
        <f>Thur!N48</f>
        <v>(BD)</v>
      </c>
      <c r="AV48" s="221" t="s">
        <v>81</v>
      </c>
      <c r="AW48" s="40" t="str">
        <f>Fri!E48</f>
        <v>BT</v>
      </c>
      <c r="AX48" s="7" t="str">
        <f>Fri!F48</f>
        <v>(AW)</v>
      </c>
      <c r="AY48" s="6" t="str">
        <f>Fri!G48</f>
        <v>BM</v>
      </c>
      <c r="AZ48" s="7" t="str">
        <f>Fri!H48</f>
        <v>(AG)</v>
      </c>
      <c r="BA48" s="412" t="s">
        <v>143</v>
      </c>
      <c r="BB48" s="413"/>
      <c r="BC48" s="6" t="str">
        <f>Fri!K48</f>
        <v>HIN</v>
      </c>
      <c r="BD48" s="11" t="str">
        <f>Fri!L48</f>
        <v>(SV)</v>
      </c>
      <c r="BE48" s="39" t="str">
        <f>Fri!M48</f>
        <v>GE</v>
      </c>
      <c r="BF48" s="43" t="str">
        <f>Fri!N48</f>
        <v>(SN)</v>
      </c>
      <c r="BG48" s="259" t="s">
        <v>81</v>
      </c>
      <c r="BH48" s="428"/>
      <c r="BI48" s="349"/>
      <c r="BJ48" s="6" t="str">
        <f>Sat!G48</f>
        <v>FA</v>
      </c>
      <c r="BK48" s="7" t="str">
        <f>Sat!H48</f>
        <v>(VA)</v>
      </c>
      <c r="BL48" s="6" t="str">
        <f>Sat!I48</f>
        <v>QT</v>
      </c>
      <c r="BM48" s="7" t="str">
        <f>Sat!J48</f>
        <v>(BD)</v>
      </c>
      <c r="BN48">
        <f>Sat!K49</f>
        <v>0</v>
      </c>
      <c r="BO48">
        <f>Sat!L49</f>
        <v>0</v>
      </c>
      <c r="BP48" s="47">
        <f>Sat!M49</f>
        <v>0</v>
      </c>
    </row>
    <row r="49" spans="1:68" s="47" customFormat="1" ht="15.75" customHeight="1" x14ac:dyDescent="0.35">
      <c r="A49" s="408"/>
      <c r="B49" s="17" t="str">
        <f>Mon!B49</f>
        <v>HIN</v>
      </c>
      <c r="C49" s="244" t="str">
        <f>Mon!C49</f>
        <v>L</v>
      </c>
      <c r="D49" s="251">
        <f>Mon!D49</f>
        <v>0</v>
      </c>
      <c r="E49" s="40" t="str">
        <f>Mon!E49</f>
        <v>BM</v>
      </c>
      <c r="F49" s="7" t="str">
        <f>Mon!F49</f>
        <v>(DRP)</v>
      </c>
      <c r="G49" s="6" t="str">
        <f>Mon!G49</f>
        <v>QT</v>
      </c>
      <c r="H49" s="7" t="str">
        <f>Mon!H49</f>
        <v>(VRL)</v>
      </c>
      <c r="I49" s="412"/>
      <c r="J49" s="413"/>
      <c r="K49" s="6" t="str">
        <f>Mon!K49</f>
        <v>GE</v>
      </c>
      <c r="L49" s="11" t="str">
        <f>Mon!L49</f>
        <v>(PR)</v>
      </c>
      <c r="M49" s="39" t="str">
        <f>Mon!M49</f>
        <v>BT</v>
      </c>
      <c r="N49" s="43" t="str">
        <f>Mon!N49</f>
        <v>(SE)</v>
      </c>
      <c r="O49" s="221" t="s">
        <v>84</v>
      </c>
      <c r="P49" s="40" t="str">
        <f>Tue!E49</f>
        <v>BM</v>
      </c>
      <c r="Q49" s="7" t="str">
        <f>Tue!F49</f>
        <v>(DRP)</v>
      </c>
      <c r="R49" s="6" t="str">
        <f>Tue!G49</f>
        <v>FA</v>
      </c>
      <c r="S49" s="7" t="str">
        <f>Tue!H49</f>
        <v>(VIN)</v>
      </c>
      <c r="T49" s="412" t="s">
        <v>143</v>
      </c>
      <c r="U49" s="413"/>
      <c r="V49" s="6" t="str">
        <f>Tue!K49</f>
        <v>QT</v>
      </c>
      <c r="W49" s="11" t="str">
        <f>Tue!L49</f>
        <v>(BB)</v>
      </c>
      <c r="X49" s="39" t="str">
        <f>Tue!M49</f>
        <v>BT</v>
      </c>
      <c r="Y49" s="43" t="str">
        <f>Tue!N49</f>
        <v>(SE)</v>
      </c>
      <c r="Z49" s="221" t="s">
        <v>84</v>
      </c>
      <c r="AA49" s="40" t="str">
        <f>Wed!E49</f>
        <v>GE</v>
      </c>
      <c r="AB49" s="7" t="str">
        <f>Wed!F49</f>
        <v>(PR)</v>
      </c>
      <c r="AC49" s="6" t="str">
        <f>Wed!G49</f>
        <v>FA</v>
      </c>
      <c r="AD49" s="7" t="str">
        <f>Wed!H49</f>
        <v>(VIN)</v>
      </c>
      <c r="AE49" s="412" t="s">
        <v>143</v>
      </c>
      <c r="AF49" s="413"/>
      <c r="AG49" s="6" t="str">
        <f>Wed!K49</f>
        <v>QT</v>
      </c>
      <c r="AH49" s="11" t="str">
        <f>Wed!L49</f>
        <v>(VRL)</v>
      </c>
      <c r="AI49" s="39" t="str">
        <f>Wed!M49</f>
        <v>HIN</v>
      </c>
      <c r="AJ49" s="43" t="str">
        <f>Wed!N49</f>
        <v>(SV)</v>
      </c>
      <c r="AK49" s="221" t="s">
        <v>84</v>
      </c>
      <c r="AL49" s="40">
        <f>Thur!E49</f>
        <v>0</v>
      </c>
      <c r="AM49" s="7">
        <f>Thur!F49</f>
        <v>0</v>
      </c>
      <c r="AN49" s="6">
        <f>Thur!G49</f>
        <v>0</v>
      </c>
      <c r="AO49" s="7">
        <f>Thur!H49</f>
        <v>0</v>
      </c>
      <c r="AP49" s="412" t="s">
        <v>143</v>
      </c>
      <c r="AQ49" s="413"/>
      <c r="AR49" s="6" t="str">
        <f>Thur!K49</f>
        <v>FA</v>
      </c>
      <c r="AS49" s="11" t="str">
        <f>Thur!L49</f>
        <v>x</v>
      </c>
      <c r="AT49" s="39" t="str">
        <f>Thur!M49</f>
        <v>GE</v>
      </c>
      <c r="AU49" s="43" t="str">
        <f>Thur!N49</f>
        <v>(PR)</v>
      </c>
      <c r="AV49" s="221" t="s">
        <v>84</v>
      </c>
      <c r="AW49" s="40" t="str">
        <f>Fri!E49</f>
        <v>FA</v>
      </c>
      <c r="AX49" s="7" t="str">
        <f>Fri!F49</f>
        <v>x</v>
      </c>
      <c r="AY49" s="6" t="str">
        <f>Fri!G49</f>
        <v>QT</v>
      </c>
      <c r="AZ49" s="7" t="str">
        <f>Fri!H49</f>
        <v>(BB)</v>
      </c>
      <c r="BA49" s="412" t="s">
        <v>143</v>
      </c>
      <c r="BB49" s="413"/>
      <c r="BC49" s="6" t="str">
        <f>Fri!K49</f>
        <v>BM</v>
      </c>
      <c r="BD49" s="11" t="str">
        <f>Fri!L49</f>
        <v>(DRP)</v>
      </c>
      <c r="BE49" s="39" t="str">
        <f>Fri!M49</f>
        <v>HIN</v>
      </c>
      <c r="BF49" s="43" t="str">
        <f>Fri!N49</f>
        <v>(SV)</v>
      </c>
      <c r="BG49" s="259" t="s">
        <v>84</v>
      </c>
      <c r="BH49" s="428"/>
      <c r="BI49" s="349"/>
      <c r="BJ49" s="6" t="str">
        <f>Sat!G49</f>
        <v>BT</v>
      </c>
      <c r="BK49" s="7" t="str">
        <f>Sat!H49</f>
        <v>(SE)</v>
      </c>
      <c r="BL49" s="6" t="str">
        <f>Sat!I49</f>
        <v>HIN</v>
      </c>
      <c r="BM49" s="7" t="str">
        <f>Sat!J49</f>
        <v>(SV)</v>
      </c>
      <c r="BN49">
        <f>Sat!K50</f>
        <v>0</v>
      </c>
      <c r="BO49">
        <f>Sat!L50</f>
        <v>0</v>
      </c>
      <c r="BP49" s="47">
        <f>Sat!M50</f>
        <v>0</v>
      </c>
    </row>
    <row r="50" spans="1:68" s="47" customFormat="1" ht="15.75" customHeight="1" x14ac:dyDescent="0.35">
      <c r="A50" s="408"/>
      <c r="B50" s="17" t="str">
        <f>Mon!B50</f>
        <v>KAN</v>
      </c>
      <c r="C50" s="244" t="str">
        <f>Mon!C50</f>
        <v>M</v>
      </c>
      <c r="D50" s="251">
        <f>Mon!D50</f>
        <v>0</v>
      </c>
      <c r="E50" s="40" t="str">
        <f>Mon!E50</f>
        <v>BT</v>
      </c>
      <c r="F50" s="7" t="str">
        <f>Mon!F50</f>
        <v>(SE)</v>
      </c>
      <c r="G50" s="6" t="str">
        <f>Mon!G50</f>
        <v>QT</v>
      </c>
      <c r="H50" s="7" t="str">
        <f>Mon!H50</f>
        <v>(PM)</v>
      </c>
      <c r="I50" s="412"/>
      <c r="J50" s="413"/>
      <c r="K50" s="6" t="str">
        <f>Mon!K50</f>
        <v>FA</v>
      </c>
      <c r="L50" s="11" t="str">
        <f>Mon!L50</f>
        <v>(VIN)</v>
      </c>
      <c r="M50" s="39" t="str">
        <f>Mon!M50</f>
        <v>GE</v>
      </c>
      <c r="N50" s="43" t="str">
        <f>Mon!N50</f>
        <v>(SA)</v>
      </c>
      <c r="O50" s="221" t="s">
        <v>126</v>
      </c>
      <c r="P50" s="40" t="str">
        <f>Tue!E50</f>
        <v>QT</v>
      </c>
      <c r="Q50" s="7" t="str">
        <f>Tue!F50</f>
        <v>X</v>
      </c>
      <c r="R50" s="6" t="str">
        <f>Tue!G50</f>
        <v>KAN</v>
      </c>
      <c r="S50" s="7" t="str">
        <f>Tue!H50</f>
        <v>(HEM)</v>
      </c>
      <c r="T50" s="412" t="s">
        <v>143</v>
      </c>
      <c r="U50" s="413"/>
      <c r="V50" s="6" t="str">
        <f>Tue!K50</f>
        <v>GE</v>
      </c>
      <c r="W50" s="11" t="str">
        <f>Tue!L50</f>
        <v>(SA)</v>
      </c>
      <c r="X50" s="39" t="str">
        <f>Tue!M50</f>
        <v>BM</v>
      </c>
      <c r="Y50" s="43" t="str">
        <f>Tue!N50</f>
        <v>(DRP)</v>
      </c>
      <c r="Z50" s="221" t="s">
        <v>126</v>
      </c>
      <c r="AA50" s="40" t="str">
        <f>Wed!E50</f>
        <v>BT</v>
      </c>
      <c r="AB50" s="7" t="str">
        <f>Wed!F50</f>
        <v>(SE)</v>
      </c>
      <c r="AC50" s="6" t="str">
        <f>Wed!G50</f>
        <v>KAN</v>
      </c>
      <c r="AD50" s="7" t="str">
        <f>Wed!H50</f>
        <v>(HEM)</v>
      </c>
      <c r="AE50" s="412" t="s">
        <v>143</v>
      </c>
      <c r="AF50" s="413"/>
      <c r="AG50" s="6" t="str">
        <f>Wed!K50</f>
        <v>QT</v>
      </c>
      <c r="AH50" s="11" t="str">
        <f>Wed!L50</f>
        <v>X</v>
      </c>
      <c r="AI50" s="39" t="str">
        <f>Wed!M50</f>
        <v>BM</v>
      </c>
      <c r="AJ50" s="43" t="str">
        <f>Wed!N50</f>
        <v>(DRP)</v>
      </c>
      <c r="AK50" s="221" t="s">
        <v>126</v>
      </c>
      <c r="AL50" s="40">
        <f>Thur!E50</f>
        <v>0</v>
      </c>
      <c r="AM50" s="7">
        <f>Thur!F50</f>
        <v>0</v>
      </c>
      <c r="AN50" s="6">
        <f>Thur!G50</f>
        <v>0</v>
      </c>
      <c r="AO50" s="7">
        <f>Thur!H50</f>
        <v>0</v>
      </c>
      <c r="AP50" s="412" t="s">
        <v>143</v>
      </c>
      <c r="AQ50" s="413"/>
      <c r="AR50" s="6" t="str">
        <f>Thur!K50</f>
        <v>QT</v>
      </c>
      <c r="AS50" s="11" t="str">
        <f>Thur!L50</f>
        <v>(PM)</v>
      </c>
      <c r="AT50" s="39" t="str">
        <f>Thur!M50</f>
        <v>FA</v>
      </c>
      <c r="AU50" s="43" t="str">
        <f>Thur!N50</f>
        <v>(VIN)</v>
      </c>
      <c r="AV50" s="221" t="s">
        <v>126</v>
      </c>
      <c r="AW50" s="40" t="str">
        <f>Fri!E50</f>
        <v>GE</v>
      </c>
      <c r="AX50" s="7" t="str">
        <f>Fri!F50</f>
        <v>(SA)</v>
      </c>
      <c r="AY50" s="6" t="str">
        <f>Fri!G50</f>
        <v>FA</v>
      </c>
      <c r="AZ50" s="7" t="str">
        <f>Fri!H50</f>
        <v>(VIN)</v>
      </c>
      <c r="BA50" s="412" t="s">
        <v>143</v>
      </c>
      <c r="BB50" s="413"/>
      <c r="BC50" s="6" t="str">
        <f>Fri!K50</f>
        <v>KAN</v>
      </c>
      <c r="BD50" s="11" t="str">
        <f>Fri!L50</f>
        <v>(HEM)</v>
      </c>
      <c r="BE50" s="39" t="str">
        <f>Fri!M50</f>
        <v>BT</v>
      </c>
      <c r="BF50" s="43" t="str">
        <f>Fri!N50</f>
        <v>(SE)</v>
      </c>
      <c r="BG50" s="259" t="s">
        <v>126</v>
      </c>
      <c r="BH50" s="428"/>
      <c r="BI50" s="349"/>
      <c r="BJ50" s="6" t="str">
        <f>Sat!G50</f>
        <v>FA</v>
      </c>
      <c r="BK50" s="7" t="str">
        <f>Sat!H50</f>
        <v>(VIN)</v>
      </c>
      <c r="BL50" s="6" t="str">
        <f>Sat!I50</f>
        <v>BM</v>
      </c>
      <c r="BM50" s="7" t="str">
        <f>Sat!J50</f>
        <v>(DRP)</v>
      </c>
      <c r="BN50">
        <f>Sat!K51</f>
        <v>0</v>
      </c>
      <c r="BO50">
        <f>Sat!L51</f>
        <v>0</v>
      </c>
      <c r="BP50" s="47">
        <f>Sat!M51</f>
        <v>0</v>
      </c>
    </row>
    <row r="51" spans="1:68" s="47" customFormat="1" ht="15.75" customHeight="1" x14ac:dyDescent="0.35">
      <c r="A51" s="408"/>
      <c r="B51" s="17" t="str">
        <f>Mon!B51</f>
        <v>SAN</v>
      </c>
      <c r="C51" s="244" t="str">
        <f>Mon!C51</f>
        <v>N</v>
      </c>
      <c r="D51" s="251">
        <f>Mon!D51</f>
        <v>0</v>
      </c>
      <c r="E51" s="40" t="str">
        <f>Mon!E51</f>
        <v>SAN</v>
      </c>
      <c r="F51" s="7" t="str">
        <f>Mon!F51</f>
        <v>(RP)</v>
      </c>
      <c r="G51" s="6" t="str">
        <f>Mon!G51</f>
        <v>BT</v>
      </c>
      <c r="H51" s="7" t="str">
        <f>Mon!H51</f>
        <v>(JAY)</v>
      </c>
      <c r="I51" s="412"/>
      <c r="J51" s="413"/>
      <c r="K51" s="6" t="str">
        <f>Mon!K51</f>
        <v>QT</v>
      </c>
      <c r="L51" s="11" t="str">
        <f>Mon!L51</f>
        <v>X</v>
      </c>
      <c r="M51" s="39" t="str">
        <f>Mon!M51</f>
        <v>BM</v>
      </c>
      <c r="N51" s="43" t="str">
        <f>Mon!N51</f>
        <v>(AG)</v>
      </c>
      <c r="O51" s="221" t="s">
        <v>128</v>
      </c>
      <c r="P51" s="40" t="str">
        <f>Tue!E51</f>
        <v>SAN</v>
      </c>
      <c r="Q51" s="7" t="str">
        <f>Tue!F51</f>
        <v>(RP)</v>
      </c>
      <c r="R51" s="6" t="str">
        <f>Tue!G51</f>
        <v>BM</v>
      </c>
      <c r="S51" s="7" t="str">
        <f>Tue!H51</f>
        <v>(AG)</v>
      </c>
      <c r="T51" s="412" t="s">
        <v>143</v>
      </c>
      <c r="U51" s="413"/>
      <c r="V51" s="6" t="str">
        <f>Tue!K51</f>
        <v>FA</v>
      </c>
      <c r="W51" s="11" t="str">
        <f>Tue!L51</f>
        <v>(MK)</v>
      </c>
      <c r="X51" s="39" t="str">
        <f>Tue!M51</f>
        <v>BT</v>
      </c>
      <c r="Y51" s="43" t="str">
        <f>Tue!N51</f>
        <v>(JAY)</v>
      </c>
      <c r="Z51" s="221" t="s">
        <v>128</v>
      </c>
      <c r="AA51" s="40" t="str">
        <f>Wed!E51</f>
        <v>SAN</v>
      </c>
      <c r="AB51" s="7" t="str">
        <f>Wed!F51</f>
        <v>(RP)</v>
      </c>
      <c r="AC51" s="6" t="str">
        <f>Wed!G51</f>
        <v>BM</v>
      </c>
      <c r="AD51" s="7" t="str">
        <f>Wed!H51</f>
        <v>(AG)</v>
      </c>
      <c r="AE51" s="412" t="s">
        <v>143</v>
      </c>
      <c r="AF51" s="413"/>
      <c r="AG51" s="6" t="str">
        <f>Wed!K51</f>
        <v>FA</v>
      </c>
      <c r="AH51" s="11" t="str">
        <f>Wed!L51</f>
        <v>(MK)</v>
      </c>
      <c r="AI51" s="39" t="str">
        <f>Wed!M51</f>
        <v>QT</v>
      </c>
      <c r="AJ51" s="43" t="str">
        <f>Wed!N51</f>
        <v>X</v>
      </c>
      <c r="AK51" s="221" t="s">
        <v>128</v>
      </c>
      <c r="AL51" s="40">
        <f>Thur!E51</f>
        <v>0</v>
      </c>
      <c r="AM51" s="7">
        <f>Thur!F51</f>
        <v>0</v>
      </c>
      <c r="AN51" s="6">
        <f>Thur!G51</f>
        <v>0</v>
      </c>
      <c r="AO51" s="7">
        <f>Thur!H51</f>
        <v>0</v>
      </c>
      <c r="AP51" s="412" t="s">
        <v>143</v>
      </c>
      <c r="AQ51" s="413"/>
      <c r="AR51" s="6" t="str">
        <f>Thur!K51</f>
        <v>GE</v>
      </c>
      <c r="AS51" s="11" t="str">
        <f>Thur!L51</f>
        <v>(SA)</v>
      </c>
      <c r="AT51" s="39" t="str">
        <f>Thur!M51</f>
        <v>FA</v>
      </c>
      <c r="AU51" s="43" t="str">
        <f>Thur!N51</f>
        <v>(MK)</v>
      </c>
      <c r="AV51" s="221" t="s">
        <v>128</v>
      </c>
      <c r="AW51" s="40" t="str">
        <f>Fri!E51</f>
        <v>BT</v>
      </c>
      <c r="AX51" s="7" t="str">
        <f>Fri!F51</f>
        <v>(JAY)</v>
      </c>
      <c r="AY51" s="6" t="str">
        <f>Fri!G51</f>
        <v>QT</v>
      </c>
      <c r="AZ51" s="7" t="str">
        <f>Fri!H51</f>
        <v>X</v>
      </c>
      <c r="BA51" s="412" t="s">
        <v>143</v>
      </c>
      <c r="BB51" s="413"/>
      <c r="BC51" s="6" t="str">
        <f>Fri!K51</f>
        <v>FA</v>
      </c>
      <c r="BD51" s="11" t="str">
        <f>Fri!L51</f>
        <v>(MK)</v>
      </c>
      <c r="BE51" s="39" t="str">
        <f>Fri!M51</f>
        <v>GE</v>
      </c>
      <c r="BF51" s="43" t="str">
        <f>Fri!N51</f>
        <v>(SA)</v>
      </c>
      <c r="BG51" s="259" t="s">
        <v>128</v>
      </c>
      <c r="BH51" s="429"/>
      <c r="BI51" s="430"/>
      <c r="BJ51" s="6" t="str">
        <f>Sat!G51</f>
        <v>GE</v>
      </c>
      <c r="BK51" s="7" t="str">
        <f>Sat!H51</f>
        <v>(SA)</v>
      </c>
      <c r="BL51" s="6" t="str">
        <f>Sat!I51</f>
        <v>QT</v>
      </c>
      <c r="BM51" s="7" t="str">
        <f>Sat!J51</f>
        <v>X</v>
      </c>
      <c r="BN51">
        <f>Sat!K52</f>
        <v>0</v>
      </c>
      <c r="BO51">
        <f>Sat!L52</f>
        <v>0</v>
      </c>
    </row>
    <row r="52" spans="1:68" ht="15.75" customHeight="1" x14ac:dyDescent="0.35">
      <c r="A52" s="408"/>
      <c r="B52" s="17" t="str">
        <f>Mon!B52</f>
        <v>BAJ</v>
      </c>
      <c r="C52" s="244" t="str">
        <f>Mon!C52</f>
        <v>A</v>
      </c>
      <c r="D52" s="251">
        <f>Mon!D52</f>
        <v>0</v>
      </c>
      <c r="E52" s="40" t="str">
        <f>Mon!E52</f>
        <v>LANG</v>
      </c>
      <c r="F52" s="7">
        <f>Mon!F52</f>
        <v>0</v>
      </c>
      <c r="G52" s="6" t="str">
        <f>Mon!G52</f>
        <v>ITC</v>
      </c>
      <c r="H52" s="7" t="str">
        <f>Mon!H52</f>
        <v>(NJ)</v>
      </c>
      <c r="I52" s="412"/>
      <c r="J52" s="413"/>
      <c r="K52" s="6" t="str">
        <f>Mon!K52</f>
        <v>GE</v>
      </c>
      <c r="L52" s="11" t="str">
        <f>Mon!L52</f>
        <v>(CG)</v>
      </c>
      <c r="M52" s="39" t="str">
        <f>Mon!M52</f>
        <v>RE</v>
      </c>
      <c r="N52" s="43" t="str">
        <f>Mon!N52</f>
        <v>(AA)</v>
      </c>
      <c r="O52" s="221" t="s">
        <v>41</v>
      </c>
      <c r="P52" s="40" t="str">
        <f>Tue!E52</f>
        <v>LANG</v>
      </c>
      <c r="Q52" s="7">
        <f>Tue!F52</f>
        <v>0</v>
      </c>
      <c r="R52" s="6" t="str">
        <f>Tue!G52</f>
        <v>ITC</v>
      </c>
      <c r="S52" s="7" t="str">
        <f>Tue!H52</f>
        <v>(NJ)</v>
      </c>
      <c r="T52" s="412" t="s">
        <v>143</v>
      </c>
      <c r="U52" s="413"/>
      <c r="V52" s="6" t="str">
        <f>Tue!K52</f>
        <v>HOJ</v>
      </c>
      <c r="W52" s="11" t="str">
        <f>Tue!L52</f>
        <v>(SH)</v>
      </c>
      <c r="X52" s="39" t="str">
        <f>Tue!M52</f>
        <v>GE</v>
      </c>
      <c r="Y52" s="43" t="str">
        <f>Tue!N52</f>
        <v>(CG)</v>
      </c>
      <c r="Z52" s="221" t="s">
        <v>41</v>
      </c>
      <c r="AA52" s="40" t="str">
        <f>Wed!E52</f>
        <v>LANG</v>
      </c>
      <c r="AB52" s="7">
        <f>Wed!F52</f>
        <v>0</v>
      </c>
      <c r="AC52" s="6" t="str">
        <f>Wed!G52</f>
        <v>HOJ</v>
      </c>
      <c r="AD52" s="7" t="str">
        <f>Wed!H52</f>
        <v>(SH)</v>
      </c>
      <c r="AE52" s="412" t="s">
        <v>143</v>
      </c>
      <c r="AF52" s="413"/>
      <c r="AG52" s="6" t="str">
        <f>Wed!K52</f>
        <v>GE</v>
      </c>
      <c r="AH52" s="11" t="str">
        <f>Wed!L52</f>
        <v>(CG)</v>
      </c>
      <c r="AI52" s="39" t="str">
        <f>Wed!M52</f>
        <v>RE PRAC</v>
      </c>
      <c r="AJ52" s="43" t="str">
        <f>Wed!N52</f>
        <v>(AA)</v>
      </c>
      <c r="AK52" s="221" t="s">
        <v>41</v>
      </c>
      <c r="AL52" s="40" t="str">
        <f>Thur!E52</f>
        <v>TM</v>
      </c>
      <c r="AM52" s="7">
        <f>Thur!F52</f>
        <v>0</v>
      </c>
      <c r="AN52" s="6" t="str">
        <f>Thur!G52</f>
        <v>TM</v>
      </c>
      <c r="AO52" s="7">
        <f>Thur!H52</f>
        <v>0</v>
      </c>
      <c r="AP52" s="412" t="s">
        <v>143</v>
      </c>
      <c r="AQ52" s="413"/>
      <c r="AR52" s="6" t="str">
        <f>Thur!K52</f>
        <v>RE</v>
      </c>
      <c r="AS52" s="11" t="str">
        <f>Thur!L52</f>
        <v>(AA)</v>
      </c>
      <c r="AT52" s="39" t="str">
        <f>Thur!M52</f>
        <v>ITC</v>
      </c>
      <c r="AU52" s="43" t="str">
        <f>Thur!N52</f>
        <v>(NJ)</v>
      </c>
      <c r="AV52" s="221" t="s">
        <v>41</v>
      </c>
      <c r="AW52" s="40" t="str">
        <f>Fri!E52</f>
        <v>RE</v>
      </c>
      <c r="AX52" s="7" t="str">
        <f>Fri!F52</f>
        <v>(AA)</v>
      </c>
      <c r="AY52" s="6" t="str">
        <f>Fri!G52</f>
        <v>HOJ</v>
      </c>
      <c r="AZ52" s="7" t="str">
        <f>Fri!H52</f>
        <v>(SH)</v>
      </c>
      <c r="BA52" s="412" t="s">
        <v>143</v>
      </c>
      <c r="BB52" s="413"/>
      <c r="BC52" s="6" t="str">
        <f>Fri!K52</f>
        <v>GE</v>
      </c>
      <c r="BD52" s="11" t="str">
        <f>Fri!L52</f>
        <v>(CG)</v>
      </c>
      <c r="BE52" s="39" t="str">
        <f>Fri!M52</f>
        <v>RE PRAC</v>
      </c>
      <c r="BF52" s="43" t="str">
        <f>Fri!N52</f>
        <v>(AA)</v>
      </c>
      <c r="BG52" s="259" t="s">
        <v>41</v>
      </c>
      <c r="BH52" s="40" t="str">
        <f>Sat!E52</f>
        <v>RE</v>
      </c>
      <c r="BI52" s="7" t="str">
        <f>Sat!F52</f>
        <v>(AA)</v>
      </c>
      <c r="BJ52" s="6" t="str">
        <f>Sat!G52</f>
        <v>HOJ</v>
      </c>
      <c r="BK52" s="7" t="str">
        <f>Sat!H52</f>
        <v>(SH)</v>
      </c>
      <c r="BL52" s="6" t="str">
        <f>Sat!I52</f>
        <v>ITC</v>
      </c>
      <c r="BM52" s="7" t="str">
        <f>Sat!J52</f>
        <v>(NJ)</v>
      </c>
      <c r="BN52">
        <f>Sat!K53</f>
        <v>0</v>
      </c>
      <c r="BO52">
        <f>Sat!L53</f>
        <v>0</v>
      </c>
    </row>
    <row r="53" spans="1:68" ht="15.75" customHeight="1" thickBot="1" x14ac:dyDescent="0.4">
      <c r="A53" s="409"/>
      <c r="B53" s="246" t="str">
        <f>Mon!B53</f>
        <v>BAJ</v>
      </c>
      <c r="C53" s="247" t="str">
        <f>Mon!C53</f>
        <v>B</v>
      </c>
      <c r="D53" s="256">
        <f>Mon!D53</f>
        <v>0</v>
      </c>
      <c r="E53" s="224" t="str">
        <f>Mon!E53</f>
        <v>LANG</v>
      </c>
      <c r="F53" s="225">
        <f>Mon!F53</f>
        <v>0</v>
      </c>
      <c r="G53" s="226" t="str">
        <f>Mon!G53</f>
        <v>RE</v>
      </c>
      <c r="H53" s="225" t="str">
        <f>Mon!H53</f>
        <v>(AA)</v>
      </c>
      <c r="I53" s="414"/>
      <c r="J53" s="415"/>
      <c r="K53" s="226" t="str">
        <f>Mon!K53</f>
        <v>ITC</v>
      </c>
      <c r="L53" s="227" t="str">
        <f>Mon!L53</f>
        <v>(NJ)</v>
      </c>
      <c r="M53" s="228" t="str">
        <f>Mon!M53</f>
        <v>GE</v>
      </c>
      <c r="N53" s="229" t="str">
        <f>Mon!N53</f>
        <v>(CG)</v>
      </c>
      <c r="O53" s="221" t="s">
        <v>49</v>
      </c>
      <c r="P53" s="224" t="str">
        <f>Tue!E53</f>
        <v>LANG</v>
      </c>
      <c r="Q53" s="225">
        <f>Tue!F53</f>
        <v>0</v>
      </c>
      <c r="R53" s="226" t="str">
        <f>Tue!G53</f>
        <v>GE</v>
      </c>
      <c r="S53" s="225" t="str">
        <f>Tue!H53</f>
        <v>(CG)</v>
      </c>
      <c r="T53" s="414" t="s">
        <v>143</v>
      </c>
      <c r="U53" s="415"/>
      <c r="V53" s="226" t="str">
        <f>Tue!K53</f>
        <v>RE</v>
      </c>
      <c r="W53" s="227" t="str">
        <f>Tue!L53</f>
        <v>(AA)</v>
      </c>
      <c r="X53" s="228" t="str">
        <f>Tue!M53</f>
        <v>ITC</v>
      </c>
      <c r="Y53" s="229" t="str">
        <f>Tue!N53</f>
        <v>(NJ)</v>
      </c>
      <c r="Z53" s="221" t="s">
        <v>49</v>
      </c>
      <c r="AA53" s="224" t="str">
        <f>Wed!E53</f>
        <v>LANG</v>
      </c>
      <c r="AB53" s="225">
        <f>Wed!F53</f>
        <v>0</v>
      </c>
      <c r="AC53" s="226" t="str">
        <f>Wed!G53</f>
        <v>GE</v>
      </c>
      <c r="AD53" s="225" t="str">
        <f>Wed!H53</f>
        <v>(CG)</v>
      </c>
      <c r="AE53" s="414" t="s">
        <v>143</v>
      </c>
      <c r="AF53" s="415"/>
      <c r="AG53" s="226" t="str">
        <f>Wed!K53</f>
        <v>RE</v>
      </c>
      <c r="AH53" s="227" t="str">
        <f>Wed!L53</f>
        <v>(AA)</v>
      </c>
      <c r="AI53" s="228" t="str">
        <f>Wed!M53</f>
        <v>HOJ</v>
      </c>
      <c r="AJ53" s="229" t="str">
        <f>Wed!N53</f>
        <v>(SH)</v>
      </c>
      <c r="AK53" s="221" t="s">
        <v>49</v>
      </c>
      <c r="AL53" s="224" t="str">
        <f>Thur!E53</f>
        <v>TM</v>
      </c>
      <c r="AM53" s="225">
        <f>Thur!F53</f>
        <v>0</v>
      </c>
      <c r="AN53" s="226" t="str">
        <f>Thur!G53</f>
        <v>TM</v>
      </c>
      <c r="AO53" s="225">
        <f>Thur!H53</f>
        <v>0</v>
      </c>
      <c r="AP53" s="414" t="s">
        <v>143</v>
      </c>
      <c r="AQ53" s="415"/>
      <c r="AR53" s="226" t="str">
        <f>Thur!K53</f>
        <v>HOJ</v>
      </c>
      <c r="AS53" s="227" t="str">
        <f>Thur!L53</f>
        <v>(SH)</v>
      </c>
      <c r="AT53" s="228" t="str">
        <f>Thur!M53</f>
        <v>RE PRAC</v>
      </c>
      <c r="AU53" s="229" t="str">
        <f>Thur!N53</f>
        <v>(AA)</v>
      </c>
      <c r="AV53" s="221" t="s">
        <v>49</v>
      </c>
      <c r="AW53" s="224" t="str">
        <f>Fri!E53</f>
        <v>HOJ</v>
      </c>
      <c r="AX53" s="225" t="str">
        <f>Fri!F53</f>
        <v>(SH)</v>
      </c>
      <c r="AY53" s="226" t="str">
        <f>Fri!G53</f>
        <v>GE</v>
      </c>
      <c r="AZ53" s="225" t="str">
        <f>Fri!H53</f>
        <v>(CG)</v>
      </c>
      <c r="BA53" s="414" t="s">
        <v>143</v>
      </c>
      <c r="BB53" s="415"/>
      <c r="BC53" s="226" t="str">
        <f>Fri!K53</f>
        <v>RE</v>
      </c>
      <c r="BD53" s="227" t="str">
        <f>Fri!L53</f>
        <v>(AA)</v>
      </c>
      <c r="BE53" s="228" t="str">
        <f>Fri!M53</f>
        <v>ITC</v>
      </c>
      <c r="BF53" s="229" t="str">
        <f>Fri!N53</f>
        <v>(NJ)</v>
      </c>
      <c r="BG53" s="259" t="s">
        <v>49</v>
      </c>
      <c r="BH53" s="224" t="str">
        <f>Sat!E53</f>
        <v>ITC</v>
      </c>
      <c r="BI53" s="225" t="str">
        <f>Sat!F53</f>
        <v>(NJ)</v>
      </c>
      <c r="BJ53" s="226" t="str">
        <f>Sat!G53</f>
        <v>RE PRAC</v>
      </c>
      <c r="BK53" s="225" t="str">
        <f>Sat!H53</f>
        <v>(AA)</v>
      </c>
      <c r="BL53" s="226" t="str">
        <f>Sat!I53</f>
        <v>HOJ</v>
      </c>
      <c r="BM53" s="225" t="str">
        <f>Sat!J53</f>
        <v>(SH)</v>
      </c>
      <c r="BN53">
        <f>Sat!K54</f>
        <v>0</v>
      </c>
      <c r="BO53">
        <f>Sat!L54</f>
        <v>0</v>
      </c>
    </row>
    <row r="54" spans="1:68" x14ac:dyDescent="0.35">
      <c r="BN54">
        <f>Sat!K55</f>
        <v>0</v>
      </c>
      <c r="BO54">
        <f>Sat!L55</f>
        <v>0</v>
      </c>
    </row>
  </sheetData>
  <mergeCells count="119">
    <mergeCell ref="BH38:BI51"/>
    <mergeCell ref="AP38:AQ53"/>
    <mergeCell ref="BA38:BB53"/>
    <mergeCell ref="AL37:AM37"/>
    <mergeCell ref="AN37:AO37"/>
    <mergeCell ref="AP37:AQ37"/>
    <mergeCell ref="AR37:AS37"/>
    <mergeCell ref="AT37:AU37"/>
    <mergeCell ref="AW37:AX37"/>
    <mergeCell ref="AY37:AZ37"/>
    <mergeCell ref="BA37:BB37"/>
    <mergeCell ref="BC37:BD37"/>
    <mergeCell ref="R37:S37"/>
    <mergeCell ref="T37:U37"/>
    <mergeCell ref="V37:W37"/>
    <mergeCell ref="X37:Y37"/>
    <mergeCell ref="T38:U53"/>
    <mergeCell ref="AE5:AF19"/>
    <mergeCell ref="AP5:AQ19"/>
    <mergeCell ref="BA5:BB19"/>
    <mergeCell ref="AA20:AB20"/>
    <mergeCell ref="AC20:AD20"/>
    <mergeCell ref="AE20:AF20"/>
    <mergeCell ref="AG20:AH20"/>
    <mergeCell ref="AI20:AJ20"/>
    <mergeCell ref="AL20:AM20"/>
    <mergeCell ref="AN20:AO20"/>
    <mergeCell ref="AP20:AQ20"/>
    <mergeCell ref="AR20:AS20"/>
    <mergeCell ref="AT20:AU20"/>
    <mergeCell ref="AW20:AX20"/>
    <mergeCell ref="AY20:AZ20"/>
    <mergeCell ref="BA20:BB20"/>
    <mergeCell ref="AE21:AF36"/>
    <mergeCell ref="AP21:AQ36"/>
    <mergeCell ref="AE38:AF53"/>
    <mergeCell ref="P3:Y3"/>
    <mergeCell ref="AA3:AJ3"/>
    <mergeCell ref="AL3:AU3"/>
    <mergeCell ref="AW3:BF3"/>
    <mergeCell ref="BH3:BO3"/>
    <mergeCell ref="BA4:BB4"/>
    <mergeCell ref="BL5:BM19"/>
    <mergeCell ref="BH20:BI20"/>
    <mergeCell ref="BJ20:BK20"/>
    <mergeCell ref="BL20:BM20"/>
    <mergeCell ref="BN20:BO20"/>
    <mergeCell ref="AW4:AX4"/>
    <mergeCell ref="AY4:AZ4"/>
    <mergeCell ref="AT4:AU4"/>
    <mergeCell ref="AL4:AM4"/>
    <mergeCell ref="AN4:AO4"/>
    <mergeCell ref="AP4:AQ4"/>
    <mergeCell ref="AR4:AS4"/>
    <mergeCell ref="Z16:Z17"/>
    <mergeCell ref="AK16:AK17"/>
    <mergeCell ref="AV16:AV17"/>
    <mergeCell ref="BG16:BG17"/>
    <mergeCell ref="T5:U19"/>
    <mergeCell ref="P20:Q20"/>
    <mergeCell ref="BL21:BM36"/>
    <mergeCell ref="BH4:BI4"/>
    <mergeCell ref="BJ4:BK4"/>
    <mergeCell ref="BL4:BM4"/>
    <mergeCell ref="BN4:BO4"/>
    <mergeCell ref="BC4:BD4"/>
    <mergeCell ref="BE4:BF4"/>
    <mergeCell ref="BA21:BB36"/>
    <mergeCell ref="BE37:BF37"/>
    <mergeCell ref="BC20:BD20"/>
    <mergeCell ref="BE20:BF20"/>
    <mergeCell ref="BH37:BI37"/>
    <mergeCell ref="BJ37:BK37"/>
    <mergeCell ref="BL37:BM37"/>
    <mergeCell ref="AA37:AB37"/>
    <mergeCell ref="AC37:AD37"/>
    <mergeCell ref="AE37:AF37"/>
    <mergeCell ref="AG37:AH37"/>
    <mergeCell ref="AI37:AJ37"/>
    <mergeCell ref="AE4:AF4"/>
    <mergeCell ref="AG4:AH4"/>
    <mergeCell ref="AI4:AJ4"/>
    <mergeCell ref="AA4:AB4"/>
    <mergeCell ref="AC4:AD4"/>
    <mergeCell ref="T21:U36"/>
    <mergeCell ref="P4:Q4"/>
    <mergeCell ref="R4:S4"/>
    <mergeCell ref="T4:U4"/>
    <mergeCell ref="V4:W4"/>
    <mergeCell ref="X4:Y4"/>
    <mergeCell ref="E37:F37"/>
    <mergeCell ref="G37:H37"/>
    <mergeCell ref="I37:J37"/>
    <mergeCell ref="K37:L37"/>
    <mergeCell ref="M37:N37"/>
    <mergeCell ref="K20:L20"/>
    <mergeCell ref="M20:N20"/>
    <mergeCell ref="E4:F4"/>
    <mergeCell ref="G4:H4"/>
    <mergeCell ref="I4:J4"/>
    <mergeCell ref="K4:L4"/>
    <mergeCell ref="M4:N4"/>
    <mergeCell ref="O16:O17"/>
    <mergeCell ref="R20:S20"/>
    <mergeCell ref="T20:U20"/>
    <mergeCell ref="V20:W20"/>
    <mergeCell ref="X20:Y20"/>
    <mergeCell ref="P37:Q37"/>
    <mergeCell ref="E3:N3"/>
    <mergeCell ref="A21:A36"/>
    <mergeCell ref="A38:A53"/>
    <mergeCell ref="I21:J36"/>
    <mergeCell ref="I38:J53"/>
    <mergeCell ref="A5:A19"/>
    <mergeCell ref="I5:J19"/>
    <mergeCell ref="E20:F20"/>
    <mergeCell ref="G20:H20"/>
    <mergeCell ref="I20:J20"/>
    <mergeCell ref="C16:C17"/>
  </mergeCells>
  <conditionalFormatting sqref="A3:D3 BR3:XFD3 BQ4:XFD5 A1:N2 BQ2:XFD2 A54:N1048576 P3 A4:E4 K5:N19 A5:H5 A21:H21 B6:H16 A20:D20 K21:N36 K38:N53 A38:H38 A37:D37 B22:H36 B39:H53 P54:Y1048576 P1:Y2 B18:H19 B17 D17:H17 AA1:AJ2 AA54:AJ1048576 AL54:AU1048576 AL1:AU2 AW1:BF2 AW54:BF1048576 BH55:XFD1048576 BH2:BO2 BH1:XFD1 BH54:BM54 BP6:XFD54 BN37:BO54">
    <cfRule type="cellIs" dxfId="7525" priority="113" operator="equal">
      <formula>0</formula>
    </cfRule>
  </conditionalFormatting>
  <conditionalFormatting sqref="BP2:BP5">
    <cfRule type="cellIs" dxfId="7524" priority="112" operator="equal">
      <formula>0</formula>
    </cfRule>
  </conditionalFormatting>
  <conditionalFormatting sqref="BQ3">
    <cfRule type="cellIs" dxfId="7523" priority="111" operator="equal">
      <formula>0</formula>
    </cfRule>
  </conditionalFormatting>
  <conditionalFormatting sqref="E3">
    <cfRule type="cellIs" dxfId="7522" priority="110" operator="equal">
      <formula>0</formula>
    </cfRule>
  </conditionalFormatting>
  <conditionalFormatting sqref="G4 I4 K4 M4">
    <cfRule type="cellIs" dxfId="7521" priority="95" operator="equal">
      <formula>0</formula>
    </cfRule>
  </conditionalFormatting>
  <conditionalFormatting sqref="E20">
    <cfRule type="cellIs" dxfId="7520" priority="93" operator="equal">
      <formula>0</formula>
    </cfRule>
  </conditionalFormatting>
  <conditionalFormatting sqref="G20 K20 M20">
    <cfRule type="cellIs" dxfId="7519" priority="92" operator="equal">
      <formula>0</formula>
    </cfRule>
  </conditionalFormatting>
  <conditionalFormatting sqref="E37">
    <cfRule type="cellIs" dxfId="7518" priority="91" operator="equal">
      <formula>0</formula>
    </cfRule>
  </conditionalFormatting>
  <conditionalFormatting sqref="G37 K37 M37">
    <cfRule type="cellIs" dxfId="7517" priority="90" operator="equal">
      <formula>0</formula>
    </cfRule>
  </conditionalFormatting>
  <conditionalFormatting sqref="I20:J20">
    <cfRule type="cellIs" dxfId="7516" priority="83" operator="equal">
      <formula>$O$11</formula>
    </cfRule>
    <cfRule type="cellIs" dxfId="7515" priority="84" operator="equal">
      <formula>$O$9</formula>
    </cfRule>
    <cfRule type="cellIs" dxfId="7514" priority="85" operator="equal">
      <formula>$O$8</formula>
    </cfRule>
    <cfRule type="cellIs" dxfId="7513" priority="86" operator="equal">
      <formula>$O$7</formula>
    </cfRule>
    <cfRule type="cellIs" dxfId="7512" priority="87" operator="equal">
      <formula>$O$6</formula>
    </cfRule>
    <cfRule type="cellIs" dxfId="7511" priority="88" operator="equal">
      <formula>$O$5</formula>
    </cfRule>
  </conditionalFormatting>
  <conditionalFormatting sqref="I20:J20">
    <cfRule type="cellIs" dxfId="7510" priority="89" operator="equal">
      <formula>0</formula>
    </cfRule>
  </conditionalFormatting>
  <conditionalFormatting sqref="I37:J37">
    <cfRule type="cellIs" dxfId="7509" priority="76" operator="equal">
      <formula>$O$11</formula>
    </cfRule>
    <cfRule type="cellIs" dxfId="7508" priority="77" operator="equal">
      <formula>$O$9</formula>
    </cfRule>
    <cfRule type="cellIs" dxfId="7507" priority="78" operator="equal">
      <formula>$O$8</formula>
    </cfRule>
    <cfRule type="cellIs" dxfId="7506" priority="79" operator="equal">
      <formula>$O$7</formula>
    </cfRule>
    <cfRule type="cellIs" dxfId="7505" priority="80" operator="equal">
      <formula>$O$6</formula>
    </cfRule>
    <cfRule type="cellIs" dxfId="7504" priority="81" operator="equal">
      <formula>$O$5</formula>
    </cfRule>
  </conditionalFormatting>
  <conditionalFormatting sqref="I37:J37">
    <cfRule type="cellIs" dxfId="7503" priority="82" operator="equal">
      <formula>0</formula>
    </cfRule>
  </conditionalFormatting>
  <conditionalFormatting sqref="O1:O15 O18:O1048576">
    <cfRule type="cellIs" dxfId="7502" priority="75" operator="equal">
      <formula>0</formula>
    </cfRule>
  </conditionalFormatting>
  <conditionalFormatting sqref="O16">
    <cfRule type="cellIs" dxfId="7501" priority="74" operator="equal">
      <formula>0</formula>
    </cfRule>
  </conditionalFormatting>
  <conditionalFormatting sqref="Z1:Z2 Z54:Z1048576">
    <cfRule type="cellIs" dxfId="7500" priority="73" operator="equal">
      <formula>0</formula>
    </cfRule>
  </conditionalFormatting>
  <conditionalFormatting sqref="AK1:AK2 AK54:AK1048576">
    <cfRule type="cellIs" dxfId="7499" priority="71" operator="equal">
      <formula>0</formula>
    </cfRule>
  </conditionalFormatting>
  <conditionalFormatting sqref="AV1:AV2 AV54:AV1048576">
    <cfRule type="cellIs" dxfId="7498" priority="69" operator="equal">
      <formula>0</formula>
    </cfRule>
  </conditionalFormatting>
  <conditionalFormatting sqref="BG1:BG2 BG54:BG1048576">
    <cfRule type="cellIs" dxfId="7497" priority="67" operator="equal">
      <formula>0</formula>
    </cfRule>
  </conditionalFormatting>
  <conditionalFormatting sqref="P4 V5:Y19 V21:Y36 V38:Y53 P21:S36 P38:S53 P5:S19">
    <cfRule type="cellIs" dxfId="7496" priority="44" operator="equal">
      <formula>0</formula>
    </cfRule>
  </conditionalFormatting>
  <conditionalFormatting sqref="R4 T4 V4 X4">
    <cfRule type="cellIs" dxfId="7495" priority="43" operator="equal">
      <formula>0</formula>
    </cfRule>
  </conditionalFormatting>
  <conditionalFormatting sqref="P20">
    <cfRule type="cellIs" dxfId="7494" priority="42" operator="equal">
      <formula>0</formula>
    </cfRule>
  </conditionalFormatting>
  <conditionalFormatting sqref="R20 V20 X20">
    <cfRule type="cellIs" dxfId="7493" priority="41" operator="equal">
      <formula>0</formula>
    </cfRule>
  </conditionalFormatting>
  <conditionalFormatting sqref="P37">
    <cfRule type="cellIs" dxfId="7492" priority="40" operator="equal">
      <formula>0</formula>
    </cfRule>
  </conditionalFormatting>
  <conditionalFormatting sqref="R37 V37 X37">
    <cfRule type="cellIs" dxfId="7491" priority="39" operator="equal">
      <formula>0</formula>
    </cfRule>
  </conditionalFormatting>
  <conditionalFormatting sqref="T20:U20">
    <cfRule type="cellIs" dxfId="7490" priority="32" operator="equal">
      <formula>$O$11</formula>
    </cfRule>
    <cfRule type="cellIs" dxfId="7489" priority="33" operator="equal">
      <formula>$O$9</formula>
    </cfRule>
    <cfRule type="cellIs" dxfId="7488" priority="34" operator="equal">
      <formula>$O$8</formula>
    </cfRule>
    <cfRule type="cellIs" dxfId="7487" priority="35" operator="equal">
      <formula>$O$7</formula>
    </cfRule>
    <cfRule type="cellIs" dxfId="7486" priority="36" operator="equal">
      <formula>$O$6</formula>
    </cfRule>
    <cfRule type="cellIs" dxfId="7485" priority="37" operator="equal">
      <formula>$O$5</formula>
    </cfRule>
  </conditionalFormatting>
  <conditionalFormatting sqref="T20:U20">
    <cfRule type="cellIs" dxfId="7484" priority="38" operator="equal">
      <formula>0</formula>
    </cfRule>
  </conditionalFormatting>
  <conditionalFormatting sqref="T37:U37">
    <cfRule type="cellIs" dxfId="7483" priority="25" operator="equal">
      <formula>$O$11</formula>
    </cfRule>
    <cfRule type="cellIs" dxfId="7482" priority="26" operator="equal">
      <formula>$O$9</formula>
    </cfRule>
    <cfRule type="cellIs" dxfId="7481" priority="27" operator="equal">
      <formula>$O$8</formula>
    </cfRule>
    <cfRule type="cellIs" dxfId="7480" priority="28" operator="equal">
      <formula>$O$7</formula>
    </cfRule>
    <cfRule type="cellIs" dxfId="7479" priority="29" operator="equal">
      <formula>$O$6</formula>
    </cfRule>
    <cfRule type="cellIs" dxfId="7478" priority="30" operator="equal">
      <formula>$O$5</formula>
    </cfRule>
  </conditionalFormatting>
  <conditionalFormatting sqref="T37:U37">
    <cfRule type="cellIs" dxfId="7477" priority="31" operator="equal">
      <formula>0</formula>
    </cfRule>
  </conditionalFormatting>
  <conditionalFormatting sqref="AA3 AL3 AW3 BH3">
    <cfRule type="cellIs" dxfId="7476" priority="24" operator="equal">
      <formula>0</formula>
    </cfRule>
  </conditionalFormatting>
  <conditionalFormatting sqref="Z3:Z15 AK3:AK15 AV3:AV15 BG3:BG15 Z18:Z53 AK18:AK53 AV18:AV53 BG18:BG53">
    <cfRule type="cellIs" dxfId="7475" priority="23" operator="equal">
      <formula>0</formula>
    </cfRule>
  </conditionalFormatting>
  <conditionalFormatting sqref="Z16 AK16 AV16 BG16">
    <cfRule type="cellIs" dxfId="7474" priority="22" operator="equal">
      <formula>0</formula>
    </cfRule>
  </conditionalFormatting>
  <conditionalFormatting sqref="AA4 AL4 AW4 BH4 AG5:AJ19 AR5:AU19 BC5:BF19 BN5:BO19 AG21:AJ36 AR21:AU36 BC21:BF36 AG38:AJ53 AR38:AU53 BC38:BF53 AA21:AD36 AL21:AO36 AW21:AZ36 BH21:BK36 AA38:AD53 AL38:AO53 AW38:AZ53 AA5:AD19 AL5:AO19 AW5:AZ19 BH5:BK19 BH38 BJ38:BM51 BN21:BO36 BH52:BM53">
    <cfRule type="cellIs" dxfId="7473" priority="21" operator="equal">
      <formula>0</formula>
    </cfRule>
  </conditionalFormatting>
  <conditionalFormatting sqref="AC4 AN4 AY4 BJ4 AE4 AP4 BA4 BL4 AG4 AR4 BC4 BN4 AI4 AT4 BE4">
    <cfRule type="cellIs" dxfId="7472" priority="20" operator="equal">
      <formula>0</formula>
    </cfRule>
  </conditionalFormatting>
  <conditionalFormatting sqref="AA20 AL20 AW20 BH20">
    <cfRule type="cellIs" dxfId="7471" priority="19" operator="equal">
      <formula>0</formula>
    </cfRule>
  </conditionalFormatting>
  <conditionalFormatting sqref="AC20 AN20 AY20 BJ20 AG20 AR20 BC20 BN20 AI20 AT20 BE20">
    <cfRule type="cellIs" dxfId="7470" priority="18" operator="equal">
      <formula>0</formula>
    </cfRule>
  </conditionalFormatting>
  <conditionalFormatting sqref="AA37 AL37 AW37 BH37">
    <cfRule type="cellIs" dxfId="7469" priority="17" operator="equal">
      <formula>0</formula>
    </cfRule>
  </conditionalFormatting>
  <conditionalFormatting sqref="AC37 AN37 AY37 BJ37 AG37 AR37 BC37 AI37 AT37 BE37">
    <cfRule type="cellIs" dxfId="7468" priority="16" operator="equal">
      <formula>0</formula>
    </cfRule>
  </conditionalFormatting>
  <conditionalFormatting sqref="AE20:AF20 AP20:AQ20 BA20:BB20 BL20:BM20">
    <cfRule type="cellIs" dxfId="7467" priority="9" operator="equal">
      <formula>$O$11</formula>
    </cfRule>
    <cfRule type="cellIs" dxfId="7466" priority="10" operator="equal">
      <formula>$O$9</formula>
    </cfRule>
    <cfRule type="cellIs" dxfId="7465" priority="11" operator="equal">
      <formula>$O$8</formula>
    </cfRule>
    <cfRule type="cellIs" dxfId="7464" priority="12" operator="equal">
      <formula>$O$7</formula>
    </cfRule>
    <cfRule type="cellIs" dxfId="7463" priority="13" operator="equal">
      <formula>$O$6</formula>
    </cfRule>
    <cfRule type="cellIs" dxfId="7462" priority="14" operator="equal">
      <formula>$O$5</formula>
    </cfRule>
  </conditionalFormatting>
  <conditionalFormatting sqref="AE20:AF20 AP20:AQ20 BA20:BB20 BL20:BM20">
    <cfRule type="cellIs" dxfId="7461" priority="15" operator="equal">
      <formula>0</formula>
    </cfRule>
  </conditionalFormatting>
  <conditionalFormatting sqref="AE37:AF37 AP37:AQ37 BA37:BB37">
    <cfRule type="cellIs" dxfId="7460" priority="2" operator="equal">
      <formula>$O$11</formula>
    </cfRule>
    <cfRule type="cellIs" dxfId="7459" priority="3" operator="equal">
      <formula>$O$9</formula>
    </cfRule>
    <cfRule type="cellIs" dxfId="7458" priority="4" operator="equal">
      <formula>$O$8</formula>
    </cfRule>
    <cfRule type="cellIs" dxfId="7457" priority="5" operator="equal">
      <formula>$O$7</formula>
    </cfRule>
    <cfRule type="cellIs" dxfId="7456" priority="6" operator="equal">
      <formula>$O$6</formula>
    </cfRule>
    <cfRule type="cellIs" dxfId="7455" priority="7" operator="equal">
      <formula>$O$5</formula>
    </cfRule>
  </conditionalFormatting>
  <conditionalFormatting sqref="AE37:AF37 AP37:AQ37 BA37:BB37">
    <cfRule type="cellIs" dxfId="7454" priority="8" operator="equal">
      <formula>0</formula>
    </cfRule>
  </conditionalFormatting>
  <conditionalFormatting sqref="BL37">
    <cfRule type="cellIs" dxfId="7453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U59"/>
  <sheetViews>
    <sheetView showGridLines="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AJ13" sqref="AJ13"/>
    </sheetView>
  </sheetViews>
  <sheetFormatPr defaultColWidth="8.1796875" defaultRowHeight="14.5" x14ac:dyDescent="0.35"/>
  <cols>
    <col min="1" max="1" width="9" customWidth="1"/>
    <col min="2" max="73" width="10.81640625" customWidth="1"/>
  </cols>
  <sheetData>
    <row r="1" spans="1:73" ht="19.5" customHeight="1" thickBot="1" x14ac:dyDescent="0.4">
      <c r="B1" s="431" t="s">
        <v>0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1"/>
      <c r="N1" s="431" t="s">
        <v>217</v>
      </c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1"/>
      <c r="Z1" s="431" t="s">
        <v>220</v>
      </c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1"/>
      <c r="AL1" s="431" t="s">
        <v>223</v>
      </c>
      <c r="AM1" s="380"/>
      <c r="AN1" s="380"/>
      <c r="AO1" s="380"/>
      <c r="AP1" s="380"/>
      <c r="AQ1" s="380"/>
      <c r="AR1" s="380"/>
      <c r="AS1" s="380"/>
      <c r="AT1" s="380"/>
      <c r="AU1" s="380"/>
      <c r="AV1" s="380"/>
      <c r="AW1" s="381"/>
      <c r="AX1" s="431" t="s">
        <v>231</v>
      </c>
      <c r="AY1" s="380"/>
      <c r="AZ1" s="380"/>
      <c r="BA1" s="380"/>
      <c r="BB1" s="380"/>
      <c r="BC1" s="380"/>
      <c r="BD1" s="380"/>
      <c r="BE1" s="380"/>
      <c r="BF1" s="380"/>
      <c r="BG1" s="380"/>
      <c r="BH1" s="380"/>
      <c r="BI1" s="381"/>
      <c r="BJ1" s="431" t="s">
        <v>237</v>
      </c>
      <c r="BK1" s="380"/>
      <c r="BL1" s="380"/>
      <c r="BM1" s="380"/>
      <c r="BN1" s="380"/>
      <c r="BO1" s="380"/>
      <c r="BP1" s="380"/>
      <c r="BQ1" s="380"/>
      <c r="BR1" s="380"/>
      <c r="BS1" s="380"/>
      <c r="BT1" s="380"/>
      <c r="BU1" s="381"/>
    </row>
    <row r="2" spans="1:73" ht="15" thickBot="1" x14ac:dyDescent="0.4">
      <c r="B2" s="393" t="s">
        <v>2</v>
      </c>
      <c r="C2" s="394"/>
      <c r="D2" s="394"/>
      <c r="E2" s="395"/>
      <c r="F2" s="393" t="s">
        <v>3</v>
      </c>
      <c r="G2" s="394"/>
      <c r="H2" s="394"/>
      <c r="I2" s="395"/>
      <c r="J2" s="393" t="s">
        <v>4</v>
      </c>
      <c r="K2" s="394"/>
      <c r="L2" s="394"/>
      <c r="M2" s="395"/>
      <c r="N2" s="393" t="s">
        <v>2</v>
      </c>
      <c r="O2" s="394"/>
      <c r="P2" s="394"/>
      <c r="Q2" s="395"/>
      <c r="R2" s="393" t="s">
        <v>3</v>
      </c>
      <c r="S2" s="394"/>
      <c r="T2" s="394"/>
      <c r="U2" s="395"/>
      <c r="V2" s="393" t="s">
        <v>4</v>
      </c>
      <c r="W2" s="394"/>
      <c r="X2" s="394"/>
      <c r="Y2" s="395"/>
      <c r="Z2" s="393" t="s">
        <v>2</v>
      </c>
      <c r="AA2" s="394"/>
      <c r="AB2" s="394"/>
      <c r="AC2" s="395"/>
      <c r="AD2" s="393" t="s">
        <v>3</v>
      </c>
      <c r="AE2" s="394"/>
      <c r="AF2" s="394"/>
      <c r="AG2" s="395"/>
      <c r="AH2" s="393" t="s">
        <v>4</v>
      </c>
      <c r="AI2" s="394"/>
      <c r="AJ2" s="394"/>
      <c r="AK2" s="395"/>
      <c r="AL2" s="393" t="s">
        <v>2</v>
      </c>
      <c r="AM2" s="394"/>
      <c r="AN2" s="394"/>
      <c r="AO2" s="395"/>
      <c r="AP2" s="393" t="s">
        <v>3</v>
      </c>
      <c r="AQ2" s="394"/>
      <c r="AR2" s="394"/>
      <c r="AS2" s="395"/>
      <c r="AT2" s="393" t="s">
        <v>4</v>
      </c>
      <c r="AU2" s="394"/>
      <c r="AV2" s="394"/>
      <c r="AW2" s="395"/>
      <c r="AX2" s="393" t="s">
        <v>2</v>
      </c>
      <c r="AY2" s="394"/>
      <c r="AZ2" s="394"/>
      <c r="BA2" s="395"/>
      <c r="BB2" s="393" t="s">
        <v>3</v>
      </c>
      <c r="BC2" s="394"/>
      <c r="BD2" s="394"/>
      <c r="BE2" s="395"/>
      <c r="BF2" s="393" t="s">
        <v>4</v>
      </c>
      <c r="BG2" s="394"/>
      <c r="BH2" s="394"/>
      <c r="BI2" s="395"/>
      <c r="BJ2" s="393" t="s">
        <v>2</v>
      </c>
      <c r="BK2" s="394"/>
      <c r="BL2" s="394"/>
      <c r="BM2" s="395"/>
      <c r="BN2" s="393" t="s">
        <v>3</v>
      </c>
      <c r="BO2" s="394"/>
      <c r="BP2" s="394"/>
      <c r="BQ2" s="395"/>
      <c r="BR2" s="393" t="s">
        <v>4</v>
      </c>
      <c r="BS2" s="394"/>
      <c r="BT2" s="394"/>
      <c r="BU2" s="395"/>
    </row>
    <row r="3" spans="1:73" s="53" customFormat="1" ht="29" x14ac:dyDescent="0.35">
      <c r="A3" s="52" t="s">
        <v>7</v>
      </c>
      <c r="B3" s="59" t="s">
        <v>13</v>
      </c>
      <c r="C3" s="60" t="s">
        <v>14</v>
      </c>
      <c r="D3" s="60" t="s">
        <v>15</v>
      </c>
      <c r="E3" s="61" t="s">
        <v>16</v>
      </c>
      <c r="F3" s="62" t="s">
        <v>17</v>
      </c>
      <c r="G3" s="60" t="s">
        <v>18</v>
      </c>
      <c r="H3" s="60" t="s">
        <v>19</v>
      </c>
      <c r="I3" s="61" t="s">
        <v>20</v>
      </c>
      <c r="J3" s="62" t="s">
        <v>21</v>
      </c>
      <c r="K3" s="60" t="s">
        <v>22</v>
      </c>
      <c r="L3" s="60" t="s">
        <v>23</v>
      </c>
      <c r="M3" s="63" t="s">
        <v>24</v>
      </c>
      <c r="N3" s="59" t="s">
        <v>13</v>
      </c>
      <c r="O3" s="60" t="s">
        <v>14</v>
      </c>
      <c r="P3" s="60" t="s">
        <v>15</v>
      </c>
      <c r="Q3" s="61" t="s">
        <v>16</v>
      </c>
      <c r="R3" s="62" t="s">
        <v>17</v>
      </c>
      <c r="S3" s="60" t="s">
        <v>18</v>
      </c>
      <c r="T3" s="60" t="s">
        <v>19</v>
      </c>
      <c r="U3" s="61" t="s">
        <v>20</v>
      </c>
      <c r="V3" s="62" t="s">
        <v>21</v>
      </c>
      <c r="W3" s="60" t="s">
        <v>22</v>
      </c>
      <c r="X3" s="60" t="s">
        <v>23</v>
      </c>
      <c r="Y3" s="63" t="s">
        <v>24</v>
      </c>
      <c r="Z3" s="59" t="s">
        <v>13</v>
      </c>
      <c r="AA3" s="60" t="s">
        <v>14</v>
      </c>
      <c r="AB3" s="60" t="s">
        <v>15</v>
      </c>
      <c r="AC3" s="61" t="s">
        <v>16</v>
      </c>
      <c r="AD3" s="62" t="s">
        <v>17</v>
      </c>
      <c r="AE3" s="60" t="s">
        <v>18</v>
      </c>
      <c r="AF3" s="60" t="s">
        <v>19</v>
      </c>
      <c r="AG3" s="61" t="s">
        <v>20</v>
      </c>
      <c r="AH3" s="62" t="s">
        <v>21</v>
      </c>
      <c r="AI3" s="60" t="s">
        <v>22</v>
      </c>
      <c r="AJ3" s="60" t="s">
        <v>23</v>
      </c>
      <c r="AK3" s="63" t="s">
        <v>24</v>
      </c>
      <c r="AL3" s="59" t="s">
        <v>13</v>
      </c>
      <c r="AM3" s="60" t="s">
        <v>14</v>
      </c>
      <c r="AN3" s="60" t="s">
        <v>15</v>
      </c>
      <c r="AO3" s="61" t="s">
        <v>16</v>
      </c>
      <c r="AP3" s="62" t="s">
        <v>17</v>
      </c>
      <c r="AQ3" s="60" t="s">
        <v>18</v>
      </c>
      <c r="AR3" s="60" t="s">
        <v>19</v>
      </c>
      <c r="AS3" s="61" t="s">
        <v>20</v>
      </c>
      <c r="AT3" s="62" t="s">
        <v>21</v>
      </c>
      <c r="AU3" s="60" t="s">
        <v>22</v>
      </c>
      <c r="AV3" s="60" t="s">
        <v>23</v>
      </c>
      <c r="AW3" s="63" t="s">
        <v>24</v>
      </c>
      <c r="AX3" s="59" t="s">
        <v>13</v>
      </c>
      <c r="AY3" s="60" t="s">
        <v>14</v>
      </c>
      <c r="AZ3" s="60" t="s">
        <v>15</v>
      </c>
      <c r="BA3" s="61" t="s">
        <v>16</v>
      </c>
      <c r="BB3" s="62" t="s">
        <v>17</v>
      </c>
      <c r="BC3" s="60" t="s">
        <v>18</v>
      </c>
      <c r="BD3" s="60" t="s">
        <v>19</v>
      </c>
      <c r="BE3" s="61" t="s">
        <v>20</v>
      </c>
      <c r="BF3" s="62" t="s">
        <v>21</v>
      </c>
      <c r="BG3" s="60" t="s">
        <v>22</v>
      </c>
      <c r="BH3" s="60" t="s">
        <v>23</v>
      </c>
      <c r="BI3" s="63" t="s">
        <v>24</v>
      </c>
      <c r="BJ3" s="59" t="s">
        <v>13</v>
      </c>
      <c r="BK3" s="60" t="s">
        <v>14</v>
      </c>
      <c r="BL3" s="60" t="s">
        <v>15</v>
      </c>
      <c r="BM3" s="61" t="s">
        <v>16</v>
      </c>
      <c r="BN3" s="62" t="s">
        <v>17</v>
      </c>
      <c r="BO3" s="60" t="s">
        <v>18</v>
      </c>
      <c r="BP3" s="60" t="s">
        <v>19</v>
      </c>
      <c r="BQ3" s="61" t="s">
        <v>20</v>
      </c>
      <c r="BR3" s="62" t="s">
        <v>21</v>
      </c>
      <c r="BS3" s="60" t="s">
        <v>22</v>
      </c>
      <c r="BT3" s="60" t="s">
        <v>23</v>
      </c>
      <c r="BU3" s="63" t="s">
        <v>24</v>
      </c>
    </row>
    <row r="4" spans="1:73" s="54" customFormat="1" x14ac:dyDescent="0.35">
      <c r="A4" s="165" t="str">
        <f>Mon!U4</f>
        <v>(AB)</v>
      </c>
      <c r="B4" s="56" t="str">
        <f>Table3[[#This Row],[1st hour V sem]]</f>
        <v xml:space="preserve"> </v>
      </c>
      <c r="C4" s="55" t="str">
        <f>Table3[[#This Row],[2nd hour V sem]]</f>
        <v xml:space="preserve"> </v>
      </c>
      <c r="D4" s="55" t="str">
        <f>Table3[[#This Row],[3rd hour V sem]]</f>
        <v xml:space="preserve"> </v>
      </c>
      <c r="E4" s="58" t="str">
        <f>Table3[[#This Row],[4th hour V sem]]</f>
        <v xml:space="preserve"> </v>
      </c>
      <c r="F4" s="57" t="str">
        <f>Table3[[#This Row],[1st hour III Sem]]</f>
        <v xml:space="preserve"> </v>
      </c>
      <c r="G4" s="55" t="str">
        <f>Table3[[#This Row],[2nd hour III Sem]]</f>
        <v xml:space="preserve"> </v>
      </c>
      <c r="H4" s="55" t="str">
        <f>Table3[[#This Row],[3rd hour III Sem]]</f>
        <v xml:space="preserve"> </v>
      </c>
      <c r="I4" s="58" t="str">
        <f>Table3[[#This Row],[4th hour III Sem]]</f>
        <v xml:space="preserve"> </v>
      </c>
      <c r="J4" s="57" t="str">
        <f>Table3[[#This Row],[1st hour I Sem]]</f>
        <v xml:space="preserve"> </v>
      </c>
      <c r="K4" s="55" t="str">
        <f>Table3[[#This Row],[2nd hour I Sem]]</f>
        <v xml:space="preserve"> </v>
      </c>
      <c r="L4" s="55" t="str">
        <f>Table3[[#This Row],[3rd hour I Sem]]</f>
        <v>BT (J)</v>
      </c>
      <c r="M4" s="55" t="str">
        <f>Table3[[#This Row],[4th hour I Sem]]</f>
        <v>BT (G)</v>
      </c>
      <c r="N4" s="56" t="str">
        <f>Table32[[#This Row],[1st hour V sem]]</f>
        <v xml:space="preserve"> </v>
      </c>
      <c r="O4" s="55" t="str">
        <f>Table32[[#This Row],[2nd hour V sem]]</f>
        <v xml:space="preserve"> </v>
      </c>
      <c r="P4" s="55" t="str">
        <f>Table32[[#This Row],[3rd hour V sem]]</f>
        <v xml:space="preserve"> </v>
      </c>
      <c r="Q4" s="73" t="str">
        <f>Table32[[#This Row],[4th hour V sem]]</f>
        <v xml:space="preserve"> </v>
      </c>
      <c r="R4" s="57" t="str">
        <f>Table32[[#This Row],[1st hour III Sem]]</f>
        <v xml:space="preserve"> </v>
      </c>
      <c r="S4" s="55" t="str">
        <f>Table32[[#This Row],[2nd hour III Sem]]</f>
        <v xml:space="preserve"> </v>
      </c>
      <c r="T4" s="55" t="str">
        <f>Table32[[#This Row],[3rd hour III Sem]]</f>
        <v xml:space="preserve"> </v>
      </c>
      <c r="U4" s="58" t="str">
        <f>Table32[[#This Row],[4th hour III Sem]]</f>
        <v xml:space="preserve"> </v>
      </c>
      <c r="V4" s="74" t="str">
        <f>Table32[[#This Row],[1st hour I Sem]]</f>
        <v xml:space="preserve"> </v>
      </c>
      <c r="W4" s="55" t="str">
        <f>Table32[[#This Row],[2nd hour I Sem]]</f>
        <v xml:space="preserve"> </v>
      </c>
      <c r="X4" s="55" t="str">
        <f>Table32[[#This Row],[3rd hour I Sem]]</f>
        <v>BT (G)</v>
      </c>
      <c r="Y4" s="64" t="str">
        <f>Table32[[#This Row],[4th hour I Sem]]</f>
        <v xml:space="preserve"> </v>
      </c>
      <c r="Z4" s="56" t="str">
        <f>Table323[[#This Row],[1st hour V sem]]</f>
        <v xml:space="preserve"> </v>
      </c>
      <c r="AA4" s="55" t="str">
        <f>Table323[[#This Row],[2nd hour V sem]]</f>
        <v xml:space="preserve"> </v>
      </c>
      <c r="AB4" s="55" t="str">
        <f>Table323[[#This Row],[3rd hour V sem]]</f>
        <v xml:space="preserve"> </v>
      </c>
      <c r="AC4" s="58" t="str">
        <f>Table323[[#This Row],[4th hour V sem]]</f>
        <v xml:space="preserve"> </v>
      </c>
      <c r="AD4" s="57" t="str">
        <f>Table323[[#This Row],[1st hour III Sem]]</f>
        <v xml:space="preserve"> </v>
      </c>
      <c r="AE4" s="55" t="str">
        <f>Table323[[#This Row],[2nd hour III Sem]]</f>
        <v xml:space="preserve"> </v>
      </c>
      <c r="AF4" s="55" t="str">
        <f>Table323[[#This Row],[3rd hour III Sem]]</f>
        <v xml:space="preserve"> </v>
      </c>
      <c r="AG4" s="58" t="str">
        <f>Table323[[#This Row],[4th hour III Sem]]</f>
        <v xml:space="preserve"> </v>
      </c>
      <c r="AH4" s="57" t="str">
        <f>Table323[[#This Row],[1st hour I Sem]]</f>
        <v xml:space="preserve"> </v>
      </c>
      <c r="AI4" s="55" t="str">
        <f>Table323[[#This Row],[2nd hour I Sem]]</f>
        <v xml:space="preserve"> </v>
      </c>
      <c r="AJ4" s="55" t="str">
        <f>Table323[[#This Row],[3rd hour I Sem]]</f>
        <v xml:space="preserve"> </v>
      </c>
      <c r="AK4" s="64" t="str">
        <f>Table323[[#This Row],[4th hour I Sem]]</f>
        <v>BT (J)</v>
      </c>
      <c r="AL4" s="56" t="str">
        <f>Table3235[[#This Row],[1st hour V sem]]</f>
        <v xml:space="preserve"> </v>
      </c>
      <c r="AM4" s="55" t="str">
        <f>Table3235[[#This Row],[2nd hour V sem]]</f>
        <v xml:space="preserve"> </v>
      </c>
      <c r="AN4" s="55" t="str">
        <f>Table3235[[#This Row],[3rd hour V sem]]</f>
        <v xml:space="preserve"> </v>
      </c>
      <c r="AO4" s="58" t="str">
        <f>Table3235[[#This Row],[4th hour V sem]]</f>
        <v xml:space="preserve"> </v>
      </c>
      <c r="AP4" s="57" t="str">
        <f>Table3235[[#This Row],[1st hour III Sem]]</f>
        <v xml:space="preserve"> </v>
      </c>
      <c r="AQ4" s="55" t="str">
        <f>Table3235[[#This Row],[2nd hour III Sem]]</f>
        <v xml:space="preserve"> </v>
      </c>
      <c r="AR4" s="55" t="str">
        <f>Table3235[[#This Row],[3rd hour III Sem]]</f>
        <v xml:space="preserve"> </v>
      </c>
      <c r="AS4" s="58" t="str">
        <f>Table3235[[#This Row],[4th hour III Sem]]</f>
        <v xml:space="preserve"> </v>
      </c>
      <c r="AT4" s="57" t="str">
        <f>Table3235[[#This Row],[1st hour I Sem]]</f>
        <v xml:space="preserve"> </v>
      </c>
      <c r="AU4" s="55" t="str">
        <f>Table3235[[#This Row],[2nd hour I Sem]]</f>
        <v xml:space="preserve"> </v>
      </c>
      <c r="AV4" s="55" t="str">
        <f>Table3235[[#This Row],[3rd hour I Sem]]</f>
        <v xml:space="preserve"> </v>
      </c>
      <c r="AW4" s="64" t="str">
        <f>Table3235[[#This Row],[4th hour I Sem]]</f>
        <v>BT (G)</v>
      </c>
      <c r="AX4" s="56" t="str">
        <f>Table32356[[#This Row],[1st hour V sem]]</f>
        <v xml:space="preserve"> </v>
      </c>
      <c r="AY4" s="55" t="str">
        <f>Table32356[[#This Row],[2nd hour V sem]]</f>
        <v xml:space="preserve"> </v>
      </c>
      <c r="AZ4" s="55" t="str">
        <f>Table32356[[#This Row],[3rd hour V sem]]</f>
        <v xml:space="preserve"> </v>
      </c>
      <c r="BA4" s="58" t="str">
        <f>Table32356[[#This Row],[4th hour V sem]]</f>
        <v xml:space="preserve"> </v>
      </c>
      <c r="BB4" s="57" t="str">
        <f>Table32356[[#This Row],[1st hour III Sem]]</f>
        <v xml:space="preserve"> </v>
      </c>
      <c r="BC4" s="55" t="str">
        <f>Table32356[[#This Row],[2nd hour III Sem]]</f>
        <v xml:space="preserve"> </v>
      </c>
      <c r="BD4" s="55" t="str">
        <f>Table32356[[#This Row],[3rd hour III Sem]]</f>
        <v xml:space="preserve"> </v>
      </c>
      <c r="BE4" s="58" t="str">
        <f>Table32356[[#This Row],[4th hour III Sem]]</f>
        <v xml:space="preserve"> </v>
      </c>
      <c r="BF4" s="57" t="str">
        <f>Table32356[[#This Row],[1st hour I Sem]]</f>
        <v xml:space="preserve"> </v>
      </c>
      <c r="BG4" s="55" t="str">
        <f>Table32356[[#This Row],[2nd hour I Sem]]</f>
        <v xml:space="preserve"> </v>
      </c>
      <c r="BH4" s="55" t="str">
        <f>Table32356[[#This Row],[3rd hour I Sem]]</f>
        <v xml:space="preserve"> </v>
      </c>
      <c r="BI4" s="64" t="str">
        <f>Table32356[[#This Row],[4th hour I Sem]]</f>
        <v>BT (J)</v>
      </c>
      <c r="BJ4" s="56" t="str">
        <f>Table323567[[#This Row],[1st hour V sem]]</f>
        <v xml:space="preserve"> </v>
      </c>
      <c r="BK4" s="55" t="str">
        <f>Table323567[[#This Row],[2nd hour V sem]]</f>
        <v xml:space="preserve"> </v>
      </c>
      <c r="BL4" s="55" t="str">
        <f>Table323567[[#This Row],[3rd hour V sem]]</f>
        <v xml:space="preserve"> </v>
      </c>
      <c r="BM4" s="58" t="str">
        <f>Table323567[[#This Row],[4th hour V sem]]</f>
        <v xml:space="preserve"> </v>
      </c>
      <c r="BN4" s="57" t="str">
        <f>Table323567[[#This Row],[1st hour III Sem]]</f>
        <v xml:space="preserve"> </v>
      </c>
      <c r="BO4" s="55" t="str">
        <f>Table323567[[#This Row],[2nd hour III Sem]]</f>
        <v xml:space="preserve"> </v>
      </c>
      <c r="BP4" s="55" t="str">
        <f>Table323567[[#This Row],[3rd hour III Sem]]</f>
        <v xml:space="preserve"> </v>
      </c>
      <c r="BQ4" s="58" t="str">
        <f>Table323567[[#This Row],[4th hour III Sem]]</f>
        <v xml:space="preserve"> </v>
      </c>
      <c r="BR4" s="57" t="str">
        <f>Table323567[[#This Row],[1st hour I Sem]]</f>
        <v xml:space="preserve"> </v>
      </c>
      <c r="BS4" s="55" t="str">
        <f>Table323567[[#This Row],[2nd hour I Sem]]</f>
        <v xml:space="preserve"> </v>
      </c>
      <c r="BT4" s="55" t="str">
        <f>Table323567[[#This Row],[3rd hour I Sem]]</f>
        <v xml:space="preserve"> </v>
      </c>
      <c r="BU4" s="64" t="str">
        <f>Table323567[[#This Row],[Column1]]</f>
        <v xml:space="preserve"> </v>
      </c>
    </row>
    <row r="5" spans="1:73" s="54" customFormat="1" x14ac:dyDescent="0.35">
      <c r="A5" s="165" t="str">
        <f>Mon!U5</f>
        <v>(AD)</v>
      </c>
      <c r="B5" s="56" t="str">
        <f>Table3[[#This Row],[1st hour V sem]]</f>
        <v>IT (E)</v>
      </c>
      <c r="C5" s="55" t="str">
        <f>Table3[[#This Row],[2nd hour V sem]]</f>
        <v>IT (K)</v>
      </c>
      <c r="D5" s="55" t="str">
        <f>Table3[[#This Row],[3rd hour V sem]]</f>
        <v xml:space="preserve"> </v>
      </c>
      <c r="E5" s="58" t="str">
        <f>Table3[[#This Row],[4th hour V sem]]</f>
        <v>RM (I)</v>
      </c>
      <c r="F5" s="57" t="str">
        <f>Table3[[#This Row],[1st hour III Sem]]</f>
        <v xml:space="preserve"> </v>
      </c>
      <c r="G5" s="55" t="str">
        <f>Table3[[#This Row],[2nd hour III Sem]]</f>
        <v xml:space="preserve"> </v>
      </c>
      <c r="H5" s="55" t="str">
        <f>Table3[[#This Row],[3rd hour III Sem]]</f>
        <v xml:space="preserve"> </v>
      </c>
      <c r="I5" s="58" t="str">
        <f>Table3[[#This Row],[4th hour III Sem]]</f>
        <v xml:space="preserve"> </v>
      </c>
      <c r="J5" s="57" t="str">
        <f>Table3[[#This Row],[1st hour I Sem]]</f>
        <v xml:space="preserve"> </v>
      </c>
      <c r="K5" s="55" t="str">
        <f>Table3[[#This Row],[2nd hour I Sem]]</f>
        <v xml:space="preserve"> </v>
      </c>
      <c r="L5" s="55" t="str">
        <f>Table3[[#This Row],[3rd hour I Sem]]</f>
        <v xml:space="preserve"> </v>
      </c>
      <c r="M5" s="55" t="str">
        <f>Table3[[#This Row],[4th hour I Sem]]</f>
        <v xml:space="preserve"> </v>
      </c>
      <c r="N5" s="56" t="str">
        <f>Table32[[#This Row],[1st hour V sem]]</f>
        <v>IT (J)</v>
      </c>
      <c r="O5" s="55" t="str">
        <f>Table32[[#This Row],[2nd hour V sem]]</f>
        <v>IT (L)</v>
      </c>
      <c r="P5" s="55" t="str">
        <f>Table32[[#This Row],[3rd hour V sem]]</f>
        <v xml:space="preserve"> </v>
      </c>
      <c r="Q5" s="73" t="str">
        <f>Table32[[#This Row],[4th hour V sem]]</f>
        <v>IT (K)</v>
      </c>
      <c r="R5" s="57" t="str">
        <f>Table32[[#This Row],[1st hour III Sem]]</f>
        <v xml:space="preserve"> </v>
      </c>
      <c r="S5" s="55" t="str">
        <f>Table32[[#This Row],[2nd hour III Sem]]</f>
        <v xml:space="preserve"> </v>
      </c>
      <c r="T5" s="55" t="str">
        <f>Table32[[#This Row],[3rd hour III Sem]]</f>
        <v xml:space="preserve"> </v>
      </c>
      <c r="U5" s="58" t="str">
        <f>Table32[[#This Row],[4th hour III Sem]]</f>
        <v xml:space="preserve"> </v>
      </c>
      <c r="V5" s="74" t="str">
        <f>Table32[[#This Row],[1st hour I Sem]]</f>
        <v xml:space="preserve"> </v>
      </c>
      <c r="W5" s="55" t="str">
        <f>Table32[[#This Row],[2nd hour I Sem]]</f>
        <v xml:space="preserve"> </v>
      </c>
      <c r="X5" s="55" t="str">
        <f>Table32[[#This Row],[3rd hour I Sem]]</f>
        <v xml:space="preserve"> </v>
      </c>
      <c r="Y5" s="64" t="str">
        <f>Table32[[#This Row],[4th hour I Sem]]</f>
        <v xml:space="preserve"> </v>
      </c>
      <c r="Z5" s="56" t="str">
        <f>Table323[[#This Row],[1st hour V sem]]</f>
        <v>IT (K)</v>
      </c>
      <c r="AA5" s="55" t="str">
        <f>Table323[[#This Row],[2nd hour V sem]]</f>
        <v>IT (E)</v>
      </c>
      <c r="AB5" s="55" t="str">
        <f>Table323[[#This Row],[3rd hour V sem]]</f>
        <v>RM (I)</v>
      </c>
      <c r="AC5" s="58" t="str">
        <f>Table323[[#This Row],[4th hour V sem]]</f>
        <v xml:space="preserve"> </v>
      </c>
      <c r="AD5" s="57" t="str">
        <f>Table323[[#This Row],[1st hour III Sem]]</f>
        <v xml:space="preserve"> </v>
      </c>
      <c r="AE5" s="55" t="str">
        <f>Table323[[#This Row],[2nd hour III Sem]]</f>
        <v xml:space="preserve"> </v>
      </c>
      <c r="AF5" s="55" t="str">
        <f>Table323[[#This Row],[3rd hour III Sem]]</f>
        <v xml:space="preserve"> </v>
      </c>
      <c r="AG5" s="58" t="str">
        <f>Table323[[#This Row],[4th hour III Sem]]</f>
        <v xml:space="preserve"> </v>
      </c>
      <c r="AH5" s="57" t="str">
        <f>Table323[[#This Row],[1st hour I Sem]]</f>
        <v xml:space="preserve"> </v>
      </c>
      <c r="AI5" s="55" t="str">
        <f>Table323[[#This Row],[2nd hour I Sem]]</f>
        <v xml:space="preserve"> </v>
      </c>
      <c r="AJ5" s="55" t="str">
        <f>Table323[[#This Row],[3rd hour I Sem]]</f>
        <v xml:space="preserve"> </v>
      </c>
      <c r="AK5" s="64" t="str">
        <f>Table323[[#This Row],[4th hour I Sem]]</f>
        <v xml:space="preserve"> </v>
      </c>
      <c r="AL5" s="56" t="str">
        <f>Table3235[[#This Row],[1st hour V sem]]</f>
        <v>IT (L)</v>
      </c>
      <c r="AM5" s="55" t="str">
        <f>Table3235[[#This Row],[2nd hour V sem]]</f>
        <v xml:space="preserve"> </v>
      </c>
      <c r="AN5" s="55" t="str">
        <f>Table3235[[#This Row],[3rd hour V sem]]</f>
        <v>IT (K)</v>
      </c>
      <c r="AO5" s="58" t="str">
        <f>Table3235[[#This Row],[4th hour V sem]]</f>
        <v>IT (J)</v>
      </c>
      <c r="AP5" s="57" t="str">
        <f>Table3235[[#This Row],[1st hour III Sem]]</f>
        <v xml:space="preserve"> </v>
      </c>
      <c r="AQ5" s="55" t="str">
        <f>Table3235[[#This Row],[2nd hour III Sem]]</f>
        <v xml:space="preserve"> </v>
      </c>
      <c r="AR5" s="55" t="str">
        <f>Table3235[[#This Row],[3rd hour III Sem]]</f>
        <v xml:space="preserve"> </v>
      </c>
      <c r="AS5" s="58" t="str">
        <f>Table3235[[#This Row],[4th hour III Sem]]</f>
        <v xml:space="preserve"> </v>
      </c>
      <c r="AT5" s="57" t="str">
        <f>Table3235[[#This Row],[1st hour I Sem]]</f>
        <v xml:space="preserve"> </v>
      </c>
      <c r="AU5" s="55" t="str">
        <f>Table3235[[#This Row],[2nd hour I Sem]]</f>
        <v xml:space="preserve"> </v>
      </c>
      <c r="AV5" s="55" t="str">
        <f>Table3235[[#This Row],[3rd hour I Sem]]</f>
        <v xml:space="preserve"> </v>
      </c>
      <c r="AW5" s="64" t="str">
        <f>Table3235[[#This Row],[4th hour I Sem]]</f>
        <v xml:space="preserve"> </v>
      </c>
      <c r="AX5" s="56" t="str">
        <f>Table32356[[#This Row],[1st hour V sem]]</f>
        <v xml:space="preserve"> </v>
      </c>
      <c r="AY5" s="55" t="str">
        <f>Table32356[[#This Row],[2nd hour V sem]]</f>
        <v>IT (E)</v>
      </c>
      <c r="AZ5" s="55" t="str">
        <f>Table32356[[#This Row],[3rd hour V sem]]</f>
        <v>IT (J)</v>
      </c>
      <c r="BA5" s="58" t="str">
        <f>Table32356[[#This Row],[4th hour V sem]]</f>
        <v>RM (I)</v>
      </c>
      <c r="BB5" s="57" t="str">
        <f>Table32356[[#This Row],[1st hour III Sem]]</f>
        <v xml:space="preserve"> </v>
      </c>
      <c r="BC5" s="55" t="str">
        <f>Table32356[[#This Row],[2nd hour III Sem]]</f>
        <v xml:space="preserve"> </v>
      </c>
      <c r="BD5" s="55" t="str">
        <f>Table32356[[#This Row],[3rd hour III Sem]]</f>
        <v xml:space="preserve"> </v>
      </c>
      <c r="BE5" s="58" t="str">
        <f>Table32356[[#This Row],[4th hour III Sem]]</f>
        <v xml:space="preserve"> </v>
      </c>
      <c r="BF5" s="57" t="str">
        <f>Table32356[[#This Row],[1st hour I Sem]]</f>
        <v xml:space="preserve"> </v>
      </c>
      <c r="BG5" s="55" t="str">
        <f>Table32356[[#This Row],[2nd hour I Sem]]</f>
        <v xml:space="preserve"> </v>
      </c>
      <c r="BH5" s="55" t="str">
        <f>Table32356[[#This Row],[3rd hour I Sem]]</f>
        <v xml:space="preserve"> </v>
      </c>
      <c r="BI5" s="64" t="str">
        <f>Table32356[[#This Row],[4th hour I Sem]]</f>
        <v xml:space="preserve"> </v>
      </c>
      <c r="BJ5" s="56" t="str">
        <f>Table323567[[#This Row],[1st hour V sem]]</f>
        <v>IT (L)</v>
      </c>
      <c r="BK5" s="55" t="str">
        <f>Table323567[[#This Row],[2nd hour V sem]]</f>
        <v>IT (E)</v>
      </c>
      <c r="BL5" s="55" t="str">
        <f>Table323567[[#This Row],[3rd hour V sem]]</f>
        <v>IT (J)</v>
      </c>
      <c r="BM5" s="58" t="str">
        <f>Table323567[[#This Row],[4th hour V sem]]</f>
        <v xml:space="preserve"> </v>
      </c>
      <c r="BN5" s="57" t="str">
        <f>Table323567[[#This Row],[1st hour III Sem]]</f>
        <v xml:space="preserve"> </v>
      </c>
      <c r="BO5" s="55" t="str">
        <f>Table323567[[#This Row],[2nd hour III Sem]]</f>
        <v xml:space="preserve"> </v>
      </c>
      <c r="BP5" s="55" t="str">
        <f>Table323567[[#This Row],[3rd hour III Sem]]</f>
        <v xml:space="preserve"> </v>
      </c>
      <c r="BQ5" s="58" t="str">
        <f>Table323567[[#This Row],[4th hour III Sem]]</f>
        <v xml:space="preserve"> </v>
      </c>
      <c r="BR5" s="57" t="str">
        <f>Table323567[[#This Row],[1st hour I Sem]]</f>
        <v xml:space="preserve"> </v>
      </c>
      <c r="BS5" s="55" t="str">
        <f>Table323567[[#This Row],[2nd hour I Sem]]</f>
        <v xml:space="preserve"> </v>
      </c>
      <c r="BT5" s="55" t="str">
        <f>Table323567[[#This Row],[3rd hour I Sem]]</f>
        <v xml:space="preserve"> </v>
      </c>
      <c r="BU5" s="64" t="str">
        <f>Table323567[[#This Row],[Column1]]</f>
        <v xml:space="preserve"> </v>
      </c>
    </row>
    <row r="6" spans="1:73" s="54" customFormat="1" x14ac:dyDescent="0.35">
      <c r="A6" s="165" t="str">
        <f>Mon!U6</f>
        <v>(AG)</v>
      </c>
      <c r="B6" s="56" t="str">
        <f>Table3[[#This Row],[1st hour V sem]]</f>
        <v xml:space="preserve"> </v>
      </c>
      <c r="C6" s="55" t="str">
        <f>Table3[[#This Row],[2nd hour V sem]]</f>
        <v xml:space="preserve"> </v>
      </c>
      <c r="D6" s="55" t="str">
        <f>Table3[[#This Row],[3rd hour V sem]]</f>
        <v xml:space="preserve"> </v>
      </c>
      <c r="E6" s="58" t="str">
        <f>Table3[[#This Row],[4th hour V sem]]</f>
        <v xml:space="preserve"> </v>
      </c>
      <c r="F6" s="57" t="str">
        <f>Table3[[#This Row],[1st hour III Sem]]</f>
        <v xml:space="preserve"> </v>
      </c>
      <c r="G6" s="55" t="str">
        <f>Table3[[#This Row],[2nd hour III Sem]]</f>
        <v xml:space="preserve"> </v>
      </c>
      <c r="H6" s="55" t="str">
        <f>Table3[[#This Row],[3rd hour III Sem]]</f>
        <v xml:space="preserve"> </v>
      </c>
      <c r="I6" s="58" t="str">
        <f>Table3[[#This Row],[4th hour III Sem]]</f>
        <v>EVS (C)</v>
      </c>
      <c r="J6" s="57" t="str">
        <f>Table3[[#This Row],[1st hour I Sem]]</f>
        <v xml:space="preserve"> </v>
      </c>
      <c r="K6" s="55" t="str">
        <f>Table3[[#This Row],[2nd hour I Sem]]</f>
        <v>BM (G)</v>
      </c>
      <c r="L6" s="55" t="str">
        <f>Table3[[#This Row],[3rd hour I Sem]]</f>
        <v xml:space="preserve"> </v>
      </c>
      <c r="M6" s="55" t="str">
        <f>Table3[[#This Row],[4th hour I Sem]]</f>
        <v>BM (N)</v>
      </c>
      <c r="N6" s="56" t="str">
        <f>Table32[[#This Row],[1st hour V sem]]</f>
        <v xml:space="preserve"> </v>
      </c>
      <c r="O6" s="55" t="str">
        <f>Table32[[#This Row],[2nd hour V sem]]</f>
        <v xml:space="preserve"> </v>
      </c>
      <c r="P6" s="55" t="str">
        <f>Table32[[#This Row],[3rd hour V sem]]</f>
        <v xml:space="preserve"> </v>
      </c>
      <c r="Q6" s="73" t="str">
        <f>Table32[[#This Row],[4th hour V sem]]</f>
        <v xml:space="preserve"> </v>
      </c>
      <c r="R6" s="57" t="str">
        <f>Table32[[#This Row],[1st hour III Sem]]</f>
        <v xml:space="preserve"> </v>
      </c>
      <c r="S6" s="55" t="str">
        <f>Table32[[#This Row],[2nd hour III Sem]]</f>
        <v>EVS (J)</v>
      </c>
      <c r="T6" s="55" t="str">
        <f>Table32[[#This Row],[3rd hour III Sem]]</f>
        <v xml:space="preserve"> </v>
      </c>
      <c r="U6" s="58" t="str">
        <f>Table32[[#This Row],[4th hour III Sem]]</f>
        <v xml:space="preserve"> </v>
      </c>
      <c r="V6" s="74" t="str">
        <f>Table32[[#This Row],[1st hour I Sem]]</f>
        <v>BM (K)</v>
      </c>
      <c r="W6" s="55" t="str">
        <f>Table32[[#This Row],[2nd hour I Sem]]</f>
        <v>BM (N)</v>
      </c>
      <c r="X6" s="55" t="str">
        <f>Table32[[#This Row],[3rd hour I Sem]]</f>
        <v xml:space="preserve"> </v>
      </c>
      <c r="Y6" s="64" t="str">
        <f>Table32[[#This Row],[4th hour I Sem]]</f>
        <v xml:space="preserve"> </v>
      </c>
      <c r="Z6" s="56" t="str">
        <f>Table323[[#This Row],[1st hour V sem]]</f>
        <v xml:space="preserve"> </v>
      </c>
      <c r="AA6" s="55" t="str">
        <f>Table323[[#This Row],[2nd hour V sem]]</f>
        <v xml:space="preserve"> </v>
      </c>
      <c r="AB6" s="55" t="str">
        <f>Table323[[#This Row],[3rd hour V sem]]</f>
        <v xml:space="preserve"> </v>
      </c>
      <c r="AC6" s="58" t="str">
        <f>Table323[[#This Row],[4th hour V sem]]</f>
        <v xml:space="preserve"> </v>
      </c>
      <c r="AD6" s="57" t="str">
        <f>Table323[[#This Row],[1st hour III Sem]]</f>
        <v xml:space="preserve"> </v>
      </c>
      <c r="AE6" s="55" t="str">
        <f>Table323[[#This Row],[2nd hour III Sem]]</f>
        <v>EVS (M)</v>
      </c>
      <c r="AF6" s="55" t="str">
        <f>Table323[[#This Row],[3rd hour III Sem]]</f>
        <v xml:space="preserve"> </v>
      </c>
      <c r="AG6" s="58" t="str">
        <f>Table323[[#This Row],[4th hour III Sem]]</f>
        <v xml:space="preserve"> </v>
      </c>
      <c r="AH6" s="57" t="str">
        <f>Table323[[#This Row],[1st hour I Sem]]</f>
        <v>BM (K)</v>
      </c>
      <c r="AI6" s="55" t="str">
        <f>Table323[[#This Row],[2nd hour I Sem]]</f>
        <v>BM (N)</v>
      </c>
      <c r="AJ6" s="55" t="str">
        <f>Table323[[#This Row],[3rd hour I Sem]]</f>
        <v xml:space="preserve"> </v>
      </c>
      <c r="AK6" s="64" t="str">
        <f>Table323[[#This Row],[4th hour I Sem]]</f>
        <v>BM (G)</v>
      </c>
      <c r="AL6" s="56" t="str">
        <f>Table3235[[#This Row],[1st hour V sem]]</f>
        <v xml:space="preserve"> </v>
      </c>
      <c r="AM6" s="55" t="str">
        <f>Table3235[[#This Row],[2nd hour V sem]]</f>
        <v xml:space="preserve"> </v>
      </c>
      <c r="AN6" s="55" t="str">
        <f>Table3235[[#This Row],[3rd hour V sem]]</f>
        <v xml:space="preserve"> </v>
      </c>
      <c r="AO6" s="58" t="str">
        <f>Table3235[[#This Row],[4th hour V sem]]</f>
        <v xml:space="preserve"> </v>
      </c>
      <c r="AP6" s="57" t="str">
        <f>Table3235[[#This Row],[1st hour III Sem]]</f>
        <v>EVS (M)</v>
      </c>
      <c r="AQ6" s="55" t="str">
        <f>Table3235[[#This Row],[2nd hour III Sem]]</f>
        <v>EVS (J)</v>
      </c>
      <c r="AR6" s="55" t="str">
        <f>Table3235[[#This Row],[3rd hour III Sem]]</f>
        <v xml:space="preserve"> </v>
      </c>
      <c r="AS6" s="58" t="str">
        <f>Table3235[[#This Row],[4th hour III Sem]]</f>
        <v>EVS (C)</v>
      </c>
      <c r="AT6" s="57" t="str">
        <f>Table3235[[#This Row],[1st hour I Sem]]</f>
        <v xml:space="preserve"> </v>
      </c>
      <c r="AU6" s="55" t="str">
        <f>Table3235[[#This Row],[2nd hour I Sem]]</f>
        <v xml:space="preserve"> </v>
      </c>
      <c r="AV6" s="55" t="str">
        <f>Table3235[[#This Row],[3rd hour I Sem]]</f>
        <v xml:space="preserve"> </v>
      </c>
      <c r="AW6" s="64" t="str">
        <f>Table3235[[#This Row],[4th hour I Sem]]</f>
        <v xml:space="preserve"> </v>
      </c>
      <c r="AX6" s="56" t="str">
        <f>Table32356[[#This Row],[1st hour V sem]]</f>
        <v xml:space="preserve"> </v>
      </c>
      <c r="AY6" s="55" t="str">
        <f>Table32356[[#This Row],[2nd hour V sem]]</f>
        <v xml:space="preserve"> </v>
      </c>
      <c r="AZ6" s="55" t="str">
        <f>Table32356[[#This Row],[3rd hour V sem]]</f>
        <v xml:space="preserve"> </v>
      </c>
      <c r="BA6" s="58" t="str">
        <f>Table32356[[#This Row],[4th hour V sem]]</f>
        <v xml:space="preserve"> </v>
      </c>
      <c r="BB6" s="57" t="str">
        <f>Table32356[[#This Row],[1st hour III Sem]]</f>
        <v>EVS (C)</v>
      </c>
      <c r="BC6" s="55" t="str">
        <f>Table32356[[#This Row],[2nd hour III Sem]]</f>
        <v xml:space="preserve"> </v>
      </c>
      <c r="BD6" s="55" t="str">
        <f>Table32356[[#This Row],[3rd hour III Sem]]</f>
        <v xml:space="preserve"> </v>
      </c>
      <c r="BE6" s="58" t="str">
        <f>Table32356[[#This Row],[4th hour III Sem]]</f>
        <v xml:space="preserve"> </v>
      </c>
      <c r="BF6" s="57" t="str">
        <f>Table32356[[#This Row],[1st hour I Sem]]</f>
        <v xml:space="preserve"> </v>
      </c>
      <c r="BG6" s="55" t="str">
        <f>Table32356[[#This Row],[2nd hour I Sem]]</f>
        <v>BM (K)</v>
      </c>
      <c r="BH6" s="55" t="str">
        <f>Table32356[[#This Row],[3rd hour I Sem]]</f>
        <v xml:space="preserve"> </v>
      </c>
      <c r="BI6" s="64" t="str">
        <f>Table32356[[#This Row],[4th hour I Sem]]</f>
        <v>BM (G)</v>
      </c>
      <c r="BJ6" s="56" t="str">
        <f>Table323567[[#This Row],[1st hour V sem]]</f>
        <v xml:space="preserve"> </v>
      </c>
      <c r="BK6" s="55" t="str">
        <f>Table323567[[#This Row],[2nd hour V sem]]</f>
        <v xml:space="preserve"> </v>
      </c>
      <c r="BL6" s="55" t="str">
        <f>Table323567[[#This Row],[3rd hour V sem]]</f>
        <v xml:space="preserve"> </v>
      </c>
      <c r="BM6" s="58" t="str">
        <f>Table323567[[#This Row],[4th hour V sem]]</f>
        <v xml:space="preserve"> </v>
      </c>
      <c r="BN6" s="57" t="str">
        <f>Table323567[[#This Row],[1st hour III Sem]]</f>
        <v>EVS (M)</v>
      </c>
      <c r="BO6" s="55" t="str">
        <f>Table323567[[#This Row],[2nd hour III Sem]]</f>
        <v xml:space="preserve"> </v>
      </c>
      <c r="BP6" s="55" t="str">
        <f>Table323567[[#This Row],[3rd hour III Sem]]</f>
        <v>EVS (J)</v>
      </c>
      <c r="BQ6" s="58" t="str">
        <f>Table323567[[#This Row],[4th hour III Sem]]</f>
        <v xml:space="preserve"> </v>
      </c>
      <c r="BR6" s="57" t="str">
        <f>Table323567[[#This Row],[1st hour I Sem]]</f>
        <v xml:space="preserve"> </v>
      </c>
      <c r="BS6" s="55" t="str">
        <f>Table323567[[#This Row],[2nd hour I Sem]]</f>
        <v xml:space="preserve"> </v>
      </c>
      <c r="BT6" s="55" t="str">
        <f>Table323567[[#This Row],[3rd hour I Sem]]</f>
        <v xml:space="preserve"> </v>
      </c>
      <c r="BU6" s="64" t="str">
        <f>Table323567[[#This Row],[Column1]]</f>
        <v xml:space="preserve"> </v>
      </c>
    </row>
    <row r="7" spans="1:73" s="54" customFormat="1" x14ac:dyDescent="0.35">
      <c r="A7" s="165" t="str">
        <f>Mon!U7</f>
        <v>(ANU)</v>
      </c>
      <c r="B7" s="56" t="str">
        <f>Table3[[#This Row],[1st hour V sem]]</f>
        <v xml:space="preserve"> </v>
      </c>
      <c r="C7" s="55" t="str">
        <f>Table3[[#This Row],[2nd hour V sem]]</f>
        <v xml:space="preserve"> </v>
      </c>
      <c r="D7" s="55" t="str">
        <f>Table3[[#This Row],[3rd hour V sem]]</f>
        <v xml:space="preserve"> </v>
      </c>
      <c r="E7" s="58" t="str">
        <f>Table3[[#This Row],[4th hour V sem]]</f>
        <v xml:space="preserve"> </v>
      </c>
      <c r="F7" s="57" t="str">
        <f>Table3[[#This Row],[1st hour III Sem]]</f>
        <v xml:space="preserve"> </v>
      </c>
      <c r="G7" s="55" t="str">
        <f>Table3[[#This Row],[2nd hour III Sem]]</f>
        <v xml:space="preserve"> </v>
      </c>
      <c r="H7" s="55" t="str">
        <f>Table3[[#This Row],[3rd hour III Sem]]</f>
        <v xml:space="preserve"> </v>
      </c>
      <c r="I7" s="58" t="str">
        <f>Table3[[#This Row],[4th hour III Sem]]</f>
        <v xml:space="preserve"> </v>
      </c>
      <c r="J7" s="57" t="str">
        <f>Table3[[#This Row],[1st hour I Sem]]</f>
        <v xml:space="preserve"> </v>
      </c>
      <c r="K7" s="55" t="str">
        <f>Table3[[#This Row],[2nd hour I Sem]]</f>
        <v xml:space="preserve"> </v>
      </c>
      <c r="L7" s="55" t="str">
        <f>Table3[[#This Row],[3rd hour I Sem]]</f>
        <v xml:space="preserve"> </v>
      </c>
      <c r="M7" s="55" t="str">
        <f>Table3[[#This Row],[4th hour I Sem]]</f>
        <v xml:space="preserve"> </v>
      </c>
      <c r="N7" s="56" t="str">
        <f>Table32[[#This Row],[1st hour V sem]]</f>
        <v xml:space="preserve"> </v>
      </c>
      <c r="O7" s="55" t="str">
        <f>Table32[[#This Row],[2nd hour V sem]]</f>
        <v xml:space="preserve"> </v>
      </c>
      <c r="P7" s="55" t="str">
        <f>Table32[[#This Row],[3rd hour V sem]]</f>
        <v xml:space="preserve"> </v>
      </c>
      <c r="Q7" s="73" t="str">
        <f>Table32[[#This Row],[4th hour V sem]]</f>
        <v xml:space="preserve"> </v>
      </c>
      <c r="R7" s="57" t="str">
        <f>Table32[[#This Row],[1st hour III Sem]]</f>
        <v xml:space="preserve"> </v>
      </c>
      <c r="S7" s="55" t="str">
        <f>Table32[[#This Row],[2nd hour III Sem]]</f>
        <v xml:space="preserve"> </v>
      </c>
      <c r="T7" s="55" t="str">
        <f>Table32[[#This Row],[3rd hour III Sem]]</f>
        <v xml:space="preserve"> </v>
      </c>
      <c r="U7" s="58" t="str">
        <f>Table32[[#This Row],[4th hour III Sem]]</f>
        <v xml:space="preserve"> </v>
      </c>
      <c r="V7" s="74" t="str">
        <f>Table32[[#This Row],[1st hour I Sem]]</f>
        <v xml:space="preserve"> </v>
      </c>
      <c r="W7" s="55" t="str">
        <f>Table32[[#This Row],[2nd hour I Sem]]</f>
        <v xml:space="preserve"> </v>
      </c>
      <c r="X7" s="55" t="str">
        <f>Table32[[#This Row],[3rd hour I Sem]]</f>
        <v xml:space="preserve"> </v>
      </c>
      <c r="Y7" s="64" t="str">
        <f>Table32[[#This Row],[4th hour I Sem]]</f>
        <v xml:space="preserve"> </v>
      </c>
      <c r="Z7" s="56" t="str">
        <f>Table323[[#This Row],[1st hour V sem]]</f>
        <v xml:space="preserve"> </v>
      </c>
      <c r="AA7" s="55" t="str">
        <f>Table323[[#This Row],[2nd hour V sem]]</f>
        <v xml:space="preserve"> </v>
      </c>
      <c r="AB7" s="55" t="str">
        <f>Table323[[#This Row],[3rd hour V sem]]</f>
        <v xml:space="preserve"> </v>
      </c>
      <c r="AC7" s="58" t="str">
        <f>Table323[[#This Row],[4th hour V sem]]</f>
        <v xml:space="preserve"> </v>
      </c>
      <c r="AD7" s="57" t="str">
        <f>Table323[[#This Row],[1st hour III Sem]]</f>
        <v xml:space="preserve"> </v>
      </c>
      <c r="AE7" s="55" t="str">
        <f>Table323[[#This Row],[2nd hour III Sem]]</f>
        <v xml:space="preserve"> </v>
      </c>
      <c r="AF7" s="55" t="str">
        <f>Table323[[#This Row],[3rd hour III Sem]]</f>
        <v xml:space="preserve"> </v>
      </c>
      <c r="AG7" s="58" t="str">
        <f>Table323[[#This Row],[4th hour III Sem]]</f>
        <v xml:space="preserve"> </v>
      </c>
      <c r="AH7" s="57" t="str">
        <f>Table323[[#This Row],[1st hour I Sem]]</f>
        <v xml:space="preserve"> </v>
      </c>
      <c r="AI7" s="55" t="str">
        <f>Table323[[#This Row],[2nd hour I Sem]]</f>
        <v xml:space="preserve"> </v>
      </c>
      <c r="AJ7" s="55" t="str">
        <f>Table323[[#This Row],[3rd hour I Sem]]</f>
        <v xml:space="preserve"> </v>
      </c>
      <c r="AK7" s="64" t="str">
        <f>Table323[[#This Row],[4th hour I Sem]]</f>
        <v xml:space="preserve"> </v>
      </c>
      <c r="AL7" s="56" t="str">
        <f>Table3235[[#This Row],[1st hour V sem]]</f>
        <v xml:space="preserve"> </v>
      </c>
      <c r="AM7" s="55" t="str">
        <f>Table3235[[#This Row],[2nd hour V sem]]</f>
        <v xml:space="preserve"> </v>
      </c>
      <c r="AN7" s="55" t="str">
        <f>Table3235[[#This Row],[3rd hour V sem]]</f>
        <v xml:space="preserve"> </v>
      </c>
      <c r="AO7" s="58" t="str">
        <f>Table3235[[#This Row],[4th hour V sem]]</f>
        <v xml:space="preserve"> </v>
      </c>
      <c r="AP7" s="57" t="str">
        <f>Table3235[[#This Row],[1st hour III Sem]]</f>
        <v xml:space="preserve"> </v>
      </c>
      <c r="AQ7" s="55" t="str">
        <f>Table3235[[#This Row],[2nd hour III Sem]]</f>
        <v xml:space="preserve"> </v>
      </c>
      <c r="AR7" s="55" t="str">
        <f>Table3235[[#This Row],[3rd hour III Sem]]</f>
        <v xml:space="preserve"> </v>
      </c>
      <c r="AS7" s="58" t="str">
        <f>Table3235[[#This Row],[4th hour III Sem]]</f>
        <v xml:space="preserve"> </v>
      </c>
      <c r="AT7" s="57" t="str">
        <f>Table3235[[#This Row],[1st hour I Sem]]</f>
        <v xml:space="preserve"> </v>
      </c>
      <c r="AU7" s="55" t="str">
        <f>Table3235[[#This Row],[2nd hour I Sem]]</f>
        <v xml:space="preserve"> </v>
      </c>
      <c r="AV7" s="55" t="str">
        <f>Table3235[[#This Row],[3rd hour I Sem]]</f>
        <v xml:space="preserve"> </v>
      </c>
      <c r="AW7" s="64" t="str">
        <f>Table3235[[#This Row],[4th hour I Sem]]</f>
        <v xml:space="preserve"> </v>
      </c>
      <c r="AX7" s="56" t="str">
        <f>Table32356[[#This Row],[1st hour V sem]]</f>
        <v xml:space="preserve"> </v>
      </c>
      <c r="AY7" s="55" t="str">
        <f>Table32356[[#This Row],[2nd hour V sem]]</f>
        <v xml:space="preserve"> </v>
      </c>
      <c r="AZ7" s="55" t="str">
        <f>Table32356[[#This Row],[3rd hour V sem]]</f>
        <v xml:space="preserve"> </v>
      </c>
      <c r="BA7" s="58" t="str">
        <f>Table32356[[#This Row],[4th hour V sem]]</f>
        <v xml:space="preserve"> </v>
      </c>
      <c r="BB7" s="57" t="str">
        <f>Table32356[[#This Row],[1st hour III Sem]]</f>
        <v xml:space="preserve"> </v>
      </c>
      <c r="BC7" s="55" t="str">
        <f>Table32356[[#This Row],[2nd hour III Sem]]</f>
        <v xml:space="preserve"> </v>
      </c>
      <c r="BD7" s="55" t="str">
        <f>Table32356[[#This Row],[3rd hour III Sem]]</f>
        <v xml:space="preserve"> </v>
      </c>
      <c r="BE7" s="58" t="str">
        <f>Table32356[[#This Row],[4th hour III Sem]]</f>
        <v xml:space="preserve"> </v>
      </c>
      <c r="BF7" s="57" t="str">
        <f>Table32356[[#This Row],[1st hour I Sem]]</f>
        <v xml:space="preserve"> </v>
      </c>
      <c r="BG7" s="55" t="str">
        <f>Table32356[[#This Row],[2nd hour I Sem]]</f>
        <v xml:space="preserve"> </v>
      </c>
      <c r="BH7" s="55" t="str">
        <f>Table32356[[#This Row],[3rd hour I Sem]]</f>
        <v xml:space="preserve"> </v>
      </c>
      <c r="BI7" s="64" t="str">
        <f>Table32356[[#This Row],[4th hour I Sem]]</f>
        <v xml:space="preserve"> </v>
      </c>
      <c r="BJ7" s="56" t="str">
        <f>Table323567[[#This Row],[1st hour V sem]]</f>
        <v xml:space="preserve"> </v>
      </c>
      <c r="BK7" s="55" t="str">
        <f>Table323567[[#This Row],[2nd hour V sem]]</f>
        <v xml:space="preserve"> </v>
      </c>
      <c r="BL7" s="55" t="str">
        <f>Table323567[[#This Row],[3rd hour V sem]]</f>
        <v xml:space="preserve"> </v>
      </c>
      <c r="BM7" s="58" t="str">
        <f>Table323567[[#This Row],[4th hour V sem]]</f>
        <v xml:space="preserve"> </v>
      </c>
      <c r="BN7" s="57" t="str">
        <f>Table323567[[#This Row],[1st hour III Sem]]</f>
        <v xml:space="preserve"> </v>
      </c>
      <c r="BO7" s="55" t="str">
        <f>Table323567[[#This Row],[2nd hour III Sem]]</f>
        <v xml:space="preserve"> </v>
      </c>
      <c r="BP7" s="55" t="str">
        <f>Table323567[[#This Row],[3rd hour III Sem]]</f>
        <v xml:space="preserve"> </v>
      </c>
      <c r="BQ7" s="58" t="str">
        <f>Table323567[[#This Row],[4th hour III Sem]]</f>
        <v xml:space="preserve"> </v>
      </c>
      <c r="BR7" s="57" t="str">
        <f>Table323567[[#This Row],[1st hour I Sem]]</f>
        <v xml:space="preserve"> </v>
      </c>
      <c r="BS7" s="55" t="str">
        <f>Table323567[[#This Row],[2nd hour I Sem]]</f>
        <v xml:space="preserve"> </v>
      </c>
      <c r="BT7" s="55" t="str">
        <f>Table323567[[#This Row],[3rd hour I Sem]]</f>
        <v xml:space="preserve"> </v>
      </c>
      <c r="BU7" s="64" t="str">
        <f>Table323567[[#This Row],[Column1]]</f>
        <v xml:space="preserve"> </v>
      </c>
    </row>
    <row r="8" spans="1:73" s="54" customFormat="1" x14ac:dyDescent="0.35">
      <c r="A8" s="165" t="str">
        <f>Mon!U8</f>
        <v>(AS)</v>
      </c>
      <c r="B8" s="56" t="str">
        <f>Table3[[#This Row],[1st hour V sem]]</f>
        <v xml:space="preserve"> </v>
      </c>
      <c r="C8" s="55" t="str">
        <f>Table3[[#This Row],[2nd hour V sem]]</f>
        <v xml:space="preserve"> </v>
      </c>
      <c r="D8" s="55" t="str">
        <f>Table3[[#This Row],[3rd hour V sem]]</f>
        <v xml:space="preserve"> </v>
      </c>
      <c r="E8" s="58" t="str">
        <f>Table3[[#This Row],[4th hour V sem]]</f>
        <v xml:space="preserve"> </v>
      </c>
      <c r="F8" s="57" t="str">
        <f>Table3[[#This Row],[1st hour III Sem]]</f>
        <v xml:space="preserve">HR </v>
      </c>
      <c r="G8" s="55" t="str">
        <f>Table3[[#This Row],[2nd hour III Sem]]</f>
        <v xml:space="preserve"> </v>
      </c>
      <c r="H8" s="55" t="str">
        <f>Table3[[#This Row],[3rd hour III Sem]]</f>
        <v>HR (G)</v>
      </c>
      <c r="I8" s="58" t="str">
        <f>Table3[[#This Row],[4th hour III Sem]]</f>
        <v xml:space="preserve"> </v>
      </c>
      <c r="J8" s="57" t="str">
        <f>Table3[[#This Row],[1st hour I Sem]]</f>
        <v xml:space="preserve"> </v>
      </c>
      <c r="K8" s="55" t="str">
        <f>Table3[[#This Row],[2nd hour I Sem]]</f>
        <v>BM (A)</v>
      </c>
      <c r="L8" s="55" t="str">
        <f>Table3[[#This Row],[3rd hour I Sem]]</f>
        <v xml:space="preserve"> </v>
      </c>
      <c r="M8" s="55" t="str">
        <f>Table3[[#This Row],[4th hour I Sem]]</f>
        <v xml:space="preserve"> </v>
      </c>
      <c r="N8" s="56" t="str">
        <f>Table32[[#This Row],[1st hour V sem]]</f>
        <v xml:space="preserve"> </v>
      </c>
      <c r="O8" s="55" t="str">
        <f>Table32[[#This Row],[2nd hour V sem]]</f>
        <v xml:space="preserve"> </v>
      </c>
      <c r="P8" s="55" t="str">
        <f>Table32[[#This Row],[3rd hour V sem]]</f>
        <v xml:space="preserve"> </v>
      </c>
      <c r="Q8" s="73" t="str">
        <f>Table32[[#This Row],[4th hour V sem]]</f>
        <v xml:space="preserve"> </v>
      </c>
      <c r="R8" s="57" t="str">
        <f>Table32[[#This Row],[1st hour III Sem]]</f>
        <v>HR (L)</v>
      </c>
      <c r="S8" s="55" t="str">
        <f>Table32[[#This Row],[2nd hour III Sem]]</f>
        <v>HR (K)</v>
      </c>
      <c r="T8" s="55" t="str">
        <f>Table32[[#This Row],[3rd hour III Sem]]</f>
        <v>HR (J)</v>
      </c>
      <c r="U8" s="58" t="str">
        <f>Table32[[#This Row],[4th hour III Sem]]</f>
        <v>HR (C)</v>
      </c>
      <c r="V8" s="74" t="str">
        <f>Table32[[#This Row],[1st hour I Sem]]</f>
        <v xml:space="preserve"> </v>
      </c>
      <c r="W8" s="55" t="str">
        <f>Table32[[#This Row],[2nd hour I Sem]]</f>
        <v xml:space="preserve"> </v>
      </c>
      <c r="X8" s="55" t="str">
        <f>Table32[[#This Row],[3rd hour I Sem]]</f>
        <v xml:space="preserve"> </v>
      </c>
      <c r="Y8" s="64" t="str">
        <f>Table32[[#This Row],[4th hour I Sem]]</f>
        <v xml:space="preserve"> </v>
      </c>
      <c r="Z8" s="56" t="str">
        <f>Table323[[#This Row],[1st hour V sem]]</f>
        <v xml:space="preserve"> </v>
      </c>
      <c r="AA8" s="55" t="str">
        <f>Table323[[#This Row],[2nd hour V sem]]</f>
        <v xml:space="preserve"> </v>
      </c>
      <c r="AB8" s="55" t="str">
        <f>Table323[[#This Row],[3rd hour V sem]]</f>
        <v xml:space="preserve"> </v>
      </c>
      <c r="AC8" s="58" t="str">
        <f>Table323[[#This Row],[4th hour V sem]]</f>
        <v xml:space="preserve"> </v>
      </c>
      <c r="AD8" s="57" t="str">
        <f>Table323[[#This Row],[1st hour III Sem]]</f>
        <v>HR (J)</v>
      </c>
      <c r="AE8" s="55" t="str">
        <f>Table323[[#This Row],[2nd hour III Sem]]</f>
        <v xml:space="preserve"> </v>
      </c>
      <c r="AF8" s="55" t="str">
        <f>Table323[[#This Row],[3rd hour III Sem]]</f>
        <v xml:space="preserve"> </v>
      </c>
      <c r="AG8" s="58" t="str">
        <f>Table323[[#This Row],[4th hour III Sem]]</f>
        <v xml:space="preserve"> </v>
      </c>
      <c r="AH8" s="57" t="str">
        <f>Table323[[#This Row],[1st hour I Sem]]</f>
        <v xml:space="preserve"> </v>
      </c>
      <c r="AI8" s="55" t="str">
        <f>Table323[[#This Row],[2nd hour I Sem]]</f>
        <v xml:space="preserve"> </v>
      </c>
      <c r="AJ8" s="55" t="str">
        <f>Table323[[#This Row],[3rd hour I Sem]]</f>
        <v>BM (A)</v>
      </c>
      <c r="AK8" s="64" t="str">
        <f>Table323[[#This Row],[4th hour I Sem]]</f>
        <v xml:space="preserve"> </v>
      </c>
      <c r="AL8" s="56" t="str">
        <f>Table3235[[#This Row],[1st hour V sem]]</f>
        <v xml:space="preserve"> </v>
      </c>
      <c r="AM8" s="55" t="str">
        <f>Table3235[[#This Row],[2nd hour V sem]]</f>
        <v xml:space="preserve"> </v>
      </c>
      <c r="AN8" s="55" t="str">
        <f>Table3235[[#This Row],[3rd hour V sem]]</f>
        <v xml:space="preserve"> </v>
      </c>
      <c r="AO8" s="58" t="str">
        <f>Table3235[[#This Row],[4th hour V sem]]</f>
        <v xml:space="preserve"> </v>
      </c>
      <c r="AP8" s="57" t="str">
        <f>Table3235[[#This Row],[1st hour III Sem]]</f>
        <v>HR (C)</v>
      </c>
      <c r="AQ8" s="55" t="str">
        <f>Table3235[[#This Row],[2nd hour III Sem]]</f>
        <v>HR (L)</v>
      </c>
      <c r="AR8" s="55" t="str">
        <f>Table3235[[#This Row],[3rd hour III Sem]]</f>
        <v xml:space="preserve"> </v>
      </c>
      <c r="AS8" s="58" t="str">
        <f>Table3235[[#This Row],[4th hour III Sem]]</f>
        <v>HR (G)</v>
      </c>
      <c r="AT8" s="57" t="str">
        <f>Table3235[[#This Row],[1st hour I Sem]]</f>
        <v xml:space="preserve"> </v>
      </c>
      <c r="AU8" s="55" t="str">
        <f>Table3235[[#This Row],[2nd hour I Sem]]</f>
        <v xml:space="preserve"> </v>
      </c>
      <c r="AV8" s="55" t="str">
        <f>Table3235[[#This Row],[3rd hour I Sem]]</f>
        <v xml:space="preserve"> </v>
      </c>
      <c r="AW8" s="64" t="str">
        <f>Table3235[[#This Row],[4th hour I Sem]]</f>
        <v xml:space="preserve"> </v>
      </c>
      <c r="AX8" s="56" t="str">
        <f>Table32356[[#This Row],[1st hour V sem]]</f>
        <v xml:space="preserve"> </v>
      </c>
      <c r="AY8" s="55" t="str">
        <f>Table32356[[#This Row],[2nd hour V sem]]</f>
        <v xml:space="preserve"> </v>
      </c>
      <c r="AZ8" s="55" t="str">
        <f>Table32356[[#This Row],[3rd hour V sem]]</f>
        <v xml:space="preserve"> </v>
      </c>
      <c r="BA8" s="58" t="str">
        <f>Table32356[[#This Row],[4th hour V sem]]</f>
        <v xml:space="preserve"> </v>
      </c>
      <c r="BB8" s="57" t="str">
        <f>Table32356[[#This Row],[1st hour III Sem]]</f>
        <v xml:space="preserve"> </v>
      </c>
      <c r="BC8" s="55" t="str">
        <f>Table32356[[#This Row],[2nd hour III Sem]]</f>
        <v xml:space="preserve"> </v>
      </c>
      <c r="BD8" s="55" t="str">
        <f>Table32356[[#This Row],[3rd hour III Sem]]</f>
        <v>HR (L)</v>
      </c>
      <c r="BE8" s="58" t="str">
        <f>Table32356[[#This Row],[4th hour III Sem]]</f>
        <v>HR (K)</v>
      </c>
      <c r="BF8" s="57" t="str">
        <f>Table32356[[#This Row],[1st hour I Sem]]</f>
        <v xml:space="preserve"> </v>
      </c>
      <c r="BG8" s="55" t="str">
        <f>Table32356[[#This Row],[2nd hour I Sem]]</f>
        <v xml:space="preserve"> </v>
      </c>
      <c r="BH8" s="55" t="str">
        <f>Table32356[[#This Row],[3rd hour I Sem]]</f>
        <v xml:space="preserve"> </v>
      </c>
      <c r="BI8" s="64" t="str">
        <f>Table32356[[#This Row],[4th hour I Sem]]</f>
        <v xml:space="preserve"> </v>
      </c>
      <c r="BJ8" s="56" t="str">
        <f>Table323567[[#This Row],[1st hour V sem]]</f>
        <v xml:space="preserve"> </v>
      </c>
      <c r="BK8" s="55" t="str">
        <f>Table323567[[#This Row],[2nd hour V sem]]</f>
        <v xml:space="preserve"> </v>
      </c>
      <c r="BL8" s="55" t="str">
        <f>Table323567[[#This Row],[3rd hour V sem]]</f>
        <v xml:space="preserve"> </v>
      </c>
      <c r="BM8" s="58" t="str">
        <f>Table323567[[#This Row],[4th hour V sem]]</f>
        <v xml:space="preserve"> </v>
      </c>
      <c r="BN8" s="57" t="str">
        <f>Table323567[[#This Row],[1st hour III Sem]]</f>
        <v>HR (C)</v>
      </c>
      <c r="BO8" s="55" t="str">
        <f>Table323567[[#This Row],[2nd hour III Sem]]</f>
        <v>HR (G)</v>
      </c>
      <c r="BP8" s="55" t="str">
        <f>Table323567[[#This Row],[3rd hour III Sem]]</f>
        <v xml:space="preserve"> </v>
      </c>
      <c r="BQ8" s="58" t="str">
        <f>Table323567[[#This Row],[4th hour III Sem]]</f>
        <v xml:space="preserve"> </v>
      </c>
      <c r="BR8" s="57" t="str">
        <f>Table323567[[#This Row],[1st hour I Sem]]</f>
        <v xml:space="preserve"> </v>
      </c>
      <c r="BS8" s="55" t="str">
        <f>Table323567[[#This Row],[2nd hour I Sem]]</f>
        <v>BM (A)</v>
      </c>
      <c r="BT8" s="55" t="str">
        <f>Table323567[[#This Row],[3rd hour I Sem]]</f>
        <v xml:space="preserve"> </v>
      </c>
      <c r="BU8" s="64" t="str">
        <f>Table323567[[#This Row],[Column1]]</f>
        <v xml:space="preserve"> </v>
      </c>
    </row>
    <row r="9" spans="1:73" s="54" customFormat="1" x14ac:dyDescent="0.35">
      <c r="A9" s="165" t="str">
        <f>Mon!U9</f>
        <v>(AV)</v>
      </c>
      <c r="B9" s="56" t="str">
        <f>Table3[[#This Row],[1st hour V sem]]</f>
        <v>IB (L)</v>
      </c>
      <c r="C9" s="55" t="str">
        <f>Table3[[#This Row],[2nd hour V sem]]</f>
        <v xml:space="preserve"> </v>
      </c>
      <c r="D9" s="55" t="str">
        <f>Table3[[#This Row],[3rd hour V sem]]</f>
        <v>MIP (J)</v>
      </c>
      <c r="E9" s="58" t="str">
        <f>Table3[[#This Row],[4th hour V sem]]</f>
        <v xml:space="preserve"> </v>
      </c>
      <c r="F9" s="57" t="str">
        <f>Table3[[#This Row],[1st hour III Sem]]</f>
        <v xml:space="preserve"> </v>
      </c>
      <c r="G9" s="55" t="str">
        <f>Table3[[#This Row],[2nd hour III Sem]]</f>
        <v xml:space="preserve"> </v>
      </c>
      <c r="H9" s="55" t="str">
        <f>Table3[[#This Row],[3rd hour III Sem]]</f>
        <v xml:space="preserve"> </v>
      </c>
      <c r="I9" s="58" t="str">
        <f>Table3[[#This Row],[4th hour III Sem]]</f>
        <v xml:space="preserve"> </v>
      </c>
      <c r="J9" s="57" t="str">
        <f>Table3[[#This Row],[1st hour I Sem]]</f>
        <v xml:space="preserve"> </v>
      </c>
      <c r="K9" s="55" t="str">
        <f>Table3[[#This Row],[2nd hour I Sem]]</f>
        <v xml:space="preserve"> </v>
      </c>
      <c r="L9" s="55" t="str">
        <f>Table3[[#This Row],[3rd hour I Sem]]</f>
        <v xml:space="preserve"> </v>
      </c>
      <c r="M9" s="55" t="str">
        <f>Table3[[#This Row],[4th hour I Sem]]</f>
        <v xml:space="preserve"> </v>
      </c>
      <c r="N9" s="56" t="str">
        <f>Table32[[#This Row],[1st hour V sem]]</f>
        <v>IB (A)</v>
      </c>
      <c r="O9" s="55" t="str">
        <f>Table32[[#This Row],[2nd hour V sem]]</f>
        <v>IB (I)</v>
      </c>
      <c r="P9" s="55" t="str">
        <f>Table32[[#This Row],[3rd hour V sem]]</f>
        <v xml:space="preserve"> </v>
      </c>
      <c r="Q9" s="73" t="str">
        <f>Table32[[#This Row],[4th hour V sem]]</f>
        <v xml:space="preserve"> </v>
      </c>
      <c r="R9" s="57" t="str">
        <f>Table32[[#This Row],[1st hour III Sem]]</f>
        <v xml:space="preserve"> </v>
      </c>
      <c r="S9" s="55" t="str">
        <f>Table32[[#This Row],[2nd hour III Sem]]</f>
        <v xml:space="preserve"> </v>
      </c>
      <c r="T9" s="55" t="str">
        <f>Table32[[#This Row],[3rd hour III Sem]]</f>
        <v>CM (K)</v>
      </c>
      <c r="U9" s="58" t="str">
        <f>Table32[[#This Row],[4th hour III Sem]]</f>
        <v>CM (A)</v>
      </c>
      <c r="V9" s="74" t="str">
        <f>Table32[[#This Row],[1st hour I Sem]]</f>
        <v xml:space="preserve"> </v>
      </c>
      <c r="W9" s="55" t="str">
        <f>Table32[[#This Row],[2nd hour I Sem]]</f>
        <v xml:space="preserve"> </v>
      </c>
      <c r="X9" s="55" t="str">
        <f>Table32[[#This Row],[3rd hour I Sem]]</f>
        <v xml:space="preserve"> </v>
      </c>
      <c r="Y9" s="64" t="str">
        <f>Table32[[#This Row],[4th hour I Sem]]</f>
        <v xml:space="preserve"> </v>
      </c>
      <c r="Z9" s="56" t="str">
        <f>Table323[[#This Row],[1st hour V sem]]</f>
        <v>IB (A)</v>
      </c>
      <c r="AA9" s="55" t="str">
        <f>Table323[[#This Row],[2nd hour V sem]]</f>
        <v>IB (L)</v>
      </c>
      <c r="AB9" s="55" t="str">
        <f>Table323[[#This Row],[3rd hour V sem]]</f>
        <v>MIP (J)</v>
      </c>
      <c r="AC9" s="58" t="str">
        <f>Table323[[#This Row],[4th hour V sem]]</f>
        <v xml:space="preserve"> </v>
      </c>
      <c r="AD9" s="57" t="str">
        <f>Table323[[#This Row],[1st hour III Sem]]</f>
        <v xml:space="preserve"> </v>
      </c>
      <c r="AE9" s="55" t="str">
        <f>Table323[[#This Row],[2nd hour III Sem]]</f>
        <v xml:space="preserve"> </v>
      </c>
      <c r="AF9" s="55" t="str">
        <f>Table323[[#This Row],[3rd hour III Sem]]</f>
        <v xml:space="preserve"> </v>
      </c>
      <c r="AG9" s="58" t="str">
        <f>Table323[[#This Row],[4th hour III Sem]]</f>
        <v xml:space="preserve"> </v>
      </c>
      <c r="AH9" s="57" t="str">
        <f>Table323[[#This Row],[1st hour I Sem]]</f>
        <v xml:space="preserve"> </v>
      </c>
      <c r="AI9" s="55" t="str">
        <f>Table323[[#This Row],[2nd hour I Sem]]</f>
        <v xml:space="preserve"> </v>
      </c>
      <c r="AJ9" s="55" t="str">
        <f>Table323[[#This Row],[3rd hour I Sem]]</f>
        <v xml:space="preserve"> </v>
      </c>
      <c r="AK9" s="64" t="str">
        <f>Table323[[#This Row],[4th hour I Sem]]</f>
        <v xml:space="preserve"> </v>
      </c>
      <c r="AL9" s="56" t="str">
        <f>Table3235[[#This Row],[1st hour V sem]]</f>
        <v xml:space="preserve"> </v>
      </c>
      <c r="AM9" s="55" t="str">
        <f>Table3235[[#This Row],[2nd hour V sem]]</f>
        <v>IB (I)</v>
      </c>
      <c r="AN9" s="55" t="str">
        <f>Table3235[[#This Row],[3rd hour V sem]]</f>
        <v>MIP (J)</v>
      </c>
      <c r="AO9" s="58" t="str">
        <f>Table3235[[#This Row],[4th hour V sem]]</f>
        <v xml:space="preserve"> </v>
      </c>
      <c r="AP9" s="57" t="str">
        <f>Table3235[[#This Row],[1st hour III Sem]]</f>
        <v xml:space="preserve">CM </v>
      </c>
      <c r="AQ9" s="55" t="str">
        <f>Table3235[[#This Row],[2nd hour III Sem]]</f>
        <v xml:space="preserve"> </v>
      </c>
      <c r="AR9" s="55" t="str">
        <f>Table3235[[#This Row],[3rd hour III Sem]]</f>
        <v xml:space="preserve"> </v>
      </c>
      <c r="AS9" s="58" t="str">
        <f>Table3235[[#This Row],[4th hour III Sem]]</f>
        <v xml:space="preserve"> </v>
      </c>
      <c r="AT9" s="57" t="str">
        <f>Table3235[[#This Row],[1st hour I Sem]]</f>
        <v xml:space="preserve"> </v>
      </c>
      <c r="AU9" s="55" t="str">
        <f>Table3235[[#This Row],[2nd hour I Sem]]</f>
        <v xml:space="preserve"> </v>
      </c>
      <c r="AV9" s="55" t="str">
        <f>Table3235[[#This Row],[3rd hour I Sem]]</f>
        <v xml:space="preserve"> </v>
      </c>
      <c r="AW9" s="64" t="str">
        <f>Table3235[[#This Row],[4th hour I Sem]]</f>
        <v xml:space="preserve"> </v>
      </c>
      <c r="AX9" s="56" t="str">
        <f>Table32356[[#This Row],[1st hour V sem]]</f>
        <v>IB (I)</v>
      </c>
      <c r="AY9" s="55" t="str">
        <f>Table32356[[#This Row],[2nd hour V sem]]</f>
        <v xml:space="preserve"> </v>
      </c>
      <c r="AZ9" s="55" t="str">
        <f>Table32356[[#This Row],[3rd hour V sem]]</f>
        <v xml:space="preserve"> </v>
      </c>
      <c r="BA9" s="58" t="str">
        <f>Table32356[[#This Row],[4th hour V sem]]</f>
        <v>IB (L)</v>
      </c>
      <c r="BB9" s="57" t="str">
        <f>Table32356[[#This Row],[1st hour III Sem]]</f>
        <v xml:space="preserve"> </v>
      </c>
      <c r="BC9" s="55" t="str">
        <f>Table32356[[#This Row],[2nd hour III Sem]]</f>
        <v>CM (A)</v>
      </c>
      <c r="BD9" s="55" t="str">
        <f>Table32356[[#This Row],[3rd hour III Sem]]</f>
        <v xml:space="preserve"> </v>
      </c>
      <c r="BE9" s="58" t="str">
        <f>Table32356[[#This Row],[4th hour III Sem]]</f>
        <v xml:space="preserve"> </v>
      </c>
      <c r="BF9" s="57" t="str">
        <f>Table32356[[#This Row],[1st hour I Sem]]</f>
        <v xml:space="preserve"> </v>
      </c>
      <c r="BG9" s="55" t="str">
        <f>Table32356[[#This Row],[2nd hour I Sem]]</f>
        <v xml:space="preserve"> </v>
      </c>
      <c r="BH9" s="55" t="str">
        <f>Table32356[[#This Row],[3rd hour I Sem]]</f>
        <v xml:space="preserve"> </v>
      </c>
      <c r="BI9" s="64" t="str">
        <f>Table32356[[#This Row],[4th hour I Sem]]</f>
        <v xml:space="preserve"> </v>
      </c>
      <c r="BJ9" s="56" t="str">
        <f>Table323567[[#This Row],[1st hour V sem]]</f>
        <v xml:space="preserve"> </v>
      </c>
      <c r="BK9" s="55" t="str">
        <f>Table323567[[#This Row],[2nd hour V sem]]</f>
        <v xml:space="preserve"> </v>
      </c>
      <c r="BL9" s="55" t="str">
        <f>Table323567[[#This Row],[3rd hour V sem]]</f>
        <v xml:space="preserve"> </v>
      </c>
      <c r="BM9" s="58" t="str">
        <f>Table323567[[#This Row],[4th hour V sem]]</f>
        <v xml:space="preserve"> (F)</v>
      </c>
      <c r="BN9" s="57" t="str">
        <f>Table323567[[#This Row],[1st hour III Sem]]</f>
        <v xml:space="preserve"> </v>
      </c>
      <c r="BO9" s="55" t="str">
        <f>Table323567[[#This Row],[2nd hour III Sem]]</f>
        <v>CM (A)</v>
      </c>
      <c r="BP9" s="55" t="str">
        <f>Table323567[[#This Row],[3rd hour III Sem]]</f>
        <v>CM (K)</v>
      </c>
      <c r="BQ9" s="58" t="str">
        <f>Table323567[[#This Row],[4th hour III Sem]]</f>
        <v xml:space="preserve"> </v>
      </c>
      <c r="BR9" s="57" t="str">
        <f>Table323567[[#This Row],[1st hour I Sem]]</f>
        <v xml:space="preserve"> </v>
      </c>
      <c r="BS9" s="55" t="str">
        <f>Table323567[[#This Row],[2nd hour I Sem]]</f>
        <v xml:space="preserve"> </v>
      </c>
      <c r="BT9" s="55" t="str">
        <f>Table323567[[#This Row],[3rd hour I Sem]]</f>
        <v xml:space="preserve"> </v>
      </c>
      <c r="BU9" s="64" t="str">
        <f>Table323567[[#This Row],[Column1]]</f>
        <v xml:space="preserve"> </v>
      </c>
    </row>
    <row r="10" spans="1:73" s="54" customFormat="1" x14ac:dyDescent="0.35">
      <c r="A10" s="165" t="str">
        <f>Mon!U10</f>
        <v>(AW)</v>
      </c>
      <c r="B10" s="56" t="str">
        <f>Table3[[#This Row],[1st hour V sem]]</f>
        <v>ECOM (C)</v>
      </c>
      <c r="C10" s="55" t="str">
        <f>Table3[[#This Row],[2nd hour V sem]]</f>
        <v xml:space="preserve"> </v>
      </c>
      <c r="D10" s="55" t="str">
        <f>Table3[[#This Row],[3rd hour V sem]]</f>
        <v xml:space="preserve"> </v>
      </c>
      <c r="E10" s="58" t="str">
        <f>Table3[[#This Row],[4th hour V sem]]</f>
        <v xml:space="preserve"> </v>
      </c>
      <c r="F10" s="57" t="str">
        <f>Table3[[#This Row],[1st hour III Sem]]</f>
        <v xml:space="preserve"> </v>
      </c>
      <c r="G10" s="55" t="str">
        <f>Table3[[#This Row],[2nd hour III Sem]]</f>
        <v xml:space="preserve"> </v>
      </c>
      <c r="H10" s="55" t="str">
        <f>Table3[[#This Row],[3rd hour III Sem]]</f>
        <v xml:space="preserve"> </v>
      </c>
      <c r="I10" s="58" t="str">
        <f>Table3[[#This Row],[4th hour III Sem]]</f>
        <v xml:space="preserve"> </v>
      </c>
      <c r="J10" s="57" t="str">
        <f>Table3[[#This Row],[1st hour I Sem]]</f>
        <v>BT (K)</v>
      </c>
      <c r="K10" s="55" t="str">
        <f>Table3[[#This Row],[2nd hour I Sem]]</f>
        <v xml:space="preserve"> </v>
      </c>
      <c r="L10" s="55" t="str">
        <f>Table3[[#This Row],[3rd hour I Sem]]</f>
        <v>BT (A)</v>
      </c>
      <c r="M10" s="55" t="str">
        <f>Table3[[#This Row],[4th hour I Sem]]</f>
        <v xml:space="preserve"> </v>
      </c>
      <c r="N10" s="56" t="str">
        <f>Table32[[#This Row],[1st hour V sem]]</f>
        <v>ECOM (C)</v>
      </c>
      <c r="O10" s="55" t="str">
        <f>Table32[[#This Row],[2nd hour V sem]]</f>
        <v xml:space="preserve"> </v>
      </c>
      <c r="P10" s="55" t="str">
        <f>Table32[[#This Row],[3rd hour V sem]]</f>
        <v xml:space="preserve"> </v>
      </c>
      <c r="Q10" s="73" t="str">
        <f>Table32[[#This Row],[4th hour V sem]]</f>
        <v xml:space="preserve"> </v>
      </c>
      <c r="R10" s="57" t="str">
        <f>Table32[[#This Row],[1st hour III Sem]]</f>
        <v xml:space="preserve"> </v>
      </c>
      <c r="S10" s="55" t="str">
        <f>Table32[[#This Row],[2nd hour III Sem]]</f>
        <v xml:space="preserve"> </v>
      </c>
      <c r="T10" s="55" t="str">
        <f>Table32[[#This Row],[3rd hour III Sem]]</f>
        <v xml:space="preserve"> </v>
      </c>
      <c r="U10" s="58" t="str">
        <f>Table32[[#This Row],[4th hour III Sem]]</f>
        <v xml:space="preserve"> </v>
      </c>
      <c r="V10" s="74" t="str">
        <f>Table32[[#This Row],[1st hour I Sem]]</f>
        <v xml:space="preserve"> </v>
      </c>
      <c r="W10" s="55" t="str">
        <f>Table32[[#This Row],[2nd hour I Sem]]</f>
        <v xml:space="preserve"> </v>
      </c>
      <c r="X10" s="55" t="str">
        <f>Table32[[#This Row],[3rd hour I Sem]]</f>
        <v>BT (C)</v>
      </c>
      <c r="Y10" s="64" t="str">
        <f>Table32[[#This Row],[4th hour I Sem]]</f>
        <v>BT (A)</v>
      </c>
      <c r="Z10" s="56" t="str">
        <f>Table323[[#This Row],[1st hour V sem]]</f>
        <v xml:space="preserve"> </v>
      </c>
      <c r="AA10" s="55" t="str">
        <f>Table323[[#This Row],[2nd hour V sem]]</f>
        <v xml:space="preserve"> </v>
      </c>
      <c r="AB10" s="55" t="str">
        <f>Table323[[#This Row],[3rd hour V sem]]</f>
        <v>ECOM (A)</v>
      </c>
      <c r="AC10" s="58" t="str">
        <f>Table323[[#This Row],[4th hour V sem]]</f>
        <v xml:space="preserve"> </v>
      </c>
      <c r="AD10" s="57" t="str">
        <f>Table323[[#This Row],[1st hour III Sem]]</f>
        <v xml:space="preserve"> </v>
      </c>
      <c r="AE10" s="55" t="str">
        <f>Table323[[#This Row],[2nd hour III Sem]]</f>
        <v xml:space="preserve"> </v>
      </c>
      <c r="AF10" s="55" t="str">
        <f>Table323[[#This Row],[3rd hour III Sem]]</f>
        <v xml:space="preserve"> </v>
      </c>
      <c r="AG10" s="58" t="str">
        <f>Table323[[#This Row],[4th hour III Sem]]</f>
        <v xml:space="preserve"> </v>
      </c>
      <c r="AH10" s="57" t="str">
        <f>Table323[[#This Row],[1st hour I Sem]]</f>
        <v>BT (H)</v>
      </c>
      <c r="AI10" s="55" t="str">
        <f>Table323[[#This Row],[2nd hour I Sem]]</f>
        <v xml:space="preserve"> </v>
      </c>
      <c r="AJ10" s="55" t="str">
        <f>Table323[[#This Row],[3rd hour I Sem]]</f>
        <v>BT (K)</v>
      </c>
      <c r="AK10" s="64" t="str">
        <f>Table323[[#This Row],[4th hour I Sem]]</f>
        <v xml:space="preserve"> </v>
      </c>
      <c r="AL10" s="56" t="str">
        <f>Table3235[[#This Row],[1st hour V sem]]</f>
        <v xml:space="preserve"> </v>
      </c>
      <c r="AM10" s="55" t="str">
        <f>Table3235[[#This Row],[2nd hour V sem]]</f>
        <v xml:space="preserve"> </v>
      </c>
      <c r="AN10" s="55" t="str">
        <f>Table3235[[#This Row],[3rd hour V sem]]</f>
        <v>ECOM (A)</v>
      </c>
      <c r="AO10" s="58" t="str">
        <f>Table3235[[#This Row],[4th hour V sem]]</f>
        <v xml:space="preserve"> </v>
      </c>
      <c r="AP10" s="57" t="str">
        <f>Table3235[[#This Row],[1st hour III Sem]]</f>
        <v xml:space="preserve"> </v>
      </c>
      <c r="AQ10" s="55" t="str">
        <f>Table3235[[#This Row],[2nd hour III Sem]]</f>
        <v xml:space="preserve"> </v>
      </c>
      <c r="AR10" s="55" t="str">
        <f>Table3235[[#This Row],[3rd hour III Sem]]</f>
        <v xml:space="preserve"> </v>
      </c>
      <c r="AS10" s="58" t="str">
        <f>Table3235[[#This Row],[4th hour III Sem]]</f>
        <v xml:space="preserve"> </v>
      </c>
      <c r="AT10" s="57" t="str">
        <f>Table3235[[#This Row],[1st hour I Sem]]</f>
        <v xml:space="preserve"> </v>
      </c>
      <c r="AU10" s="55" t="str">
        <f>Table3235[[#This Row],[2nd hour I Sem]]</f>
        <v xml:space="preserve"> </v>
      </c>
      <c r="AV10" s="55" t="str">
        <f>Table3235[[#This Row],[3rd hour I Sem]]</f>
        <v>BT (A)</v>
      </c>
      <c r="AW10" s="64" t="str">
        <f>Table3235[[#This Row],[4th hour I Sem]]</f>
        <v>BT (C)</v>
      </c>
      <c r="AX10" s="56" t="str">
        <f>Table32356[[#This Row],[1st hour V sem]]</f>
        <v xml:space="preserve"> </v>
      </c>
      <c r="AY10" s="55" t="str">
        <f>Table32356[[#This Row],[2nd hour V sem]]</f>
        <v xml:space="preserve"> </v>
      </c>
      <c r="AZ10" s="55" t="str">
        <f>Table32356[[#This Row],[3rd hour V sem]]</f>
        <v>ECOM (A)</v>
      </c>
      <c r="BA10" s="58" t="str">
        <f>Table32356[[#This Row],[4th hour V sem]]</f>
        <v>ECOM (C)</v>
      </c>
      <c r="BB10" s="57" t="str">
        <f>Table32356[[#This Row],[1st hour III Sem]]</f>
        <v xml:space="preserve"> </v>
      </c>
      <c r="BC10" s="55" t="str">
        <f>Table32356[[#This Row],[2nd hour III Sem]]</f>
        <v xml:space="preserve"> </v>
      </c>
      <c r="BD10" s="55" t="str">
        <f>Table32356[[#This Row],[3rd hour III Sem]]</f>
        <v xml:space="preserve"> </v>
      </c>
      <c r="BE10" s="58" t="str">
        <f>Table32356[[#This Row],[4th hour III Sem]]</f>
        <v xml:space="preserve"> </v>
      </c>
      <c r="BF10" s="57" t="str">
        <f>Table32356[[#This Row],[1st hour I Sem]]</f>
        <v>BT (K)</v>
      </c>
      <c r="BG10" s="55" t="str">
        <f>Table32356[[#This Row],[2nd hour I Sem]]</f>
        <v>BT (H)</v>
      </c>
      <c r="BH10" s="55" t="str">
        <f>Table32356[[#This Row],[3rd hour I Sem]]</f>
        <v xml:space="preserve"> </v>
      </c>
      <c r="BI10" s="64" t="str">
        <f>Table32356[[#This Row],[4th hour I Sem]]</f>
        <v xml:space="preserve"> </v>
      </c>
      <c r="BJ10" s="56" t="str">
        <f>Table323567[[#This Row],[1st hour V sem]]</f>
        <v xml:space="preserve"> </v>
      </c>
      <c r="BK10" s="55" t="str">
        <f>Table323567[[#This Row],[2nd hour V sem]]</f>
        <v xml:space="preserve"> </v>
      </c>
      <c r="BL10" s="55" t="str">
        <f>Table323567[[#This Row],[3rd hour V sem]]</f>
        <v xml:space="preserve"> </v>
      </c>
      <c r="BM10" s="58" t="str">
        <f>Table323567[[#This Row],[4th hour V sem]]</f>
        <v xml:space="preserve"> </v>
      </c>
      <c r="BN10" s="57" t="str">
        <f>Table323567[[#This Row],[1st hour III Sem]]</f>
        <v xml:space="preserve"> </v>
      </c>
      <c r="BO10" s="55" t="str">
        <f>Table323567[[#This Row],[2nd hour III Sem]]</f>
        <v xml:space="preserve"> </v>
      </c>
      <c r="BP10" s="55" t="str">
        <f>Table323567[[#This Row],[3rd hour III Sem]]</f>
        <v xml:space="preserve"> </v>
      </c>
      <c r="BQ10" s="58" t="str">
        <f>Table323567[[#This Row],[4th hour III Sem]]</f>
        <v xml:space="preserve"> </v>
      </c>
      <c r="BR10" s="57" t="str">
        <f>Table323567[[#This Row],[1st hour I Sem]]</f>
        <v xml:space="preserve"> </v>
      </c>
      <c r="BS10" s="55" t="str">
        <f>Table323567[[#This Row],[2nd hour I Sem]]</f>
        <v>BT (H)</v>
      </c>
      <c r="BT10" s="55" t="str">
        <f>Table323567[[#This Row],[3rd hour I Sem]]</f>
        <v xml:space="preserve"> </v>
      </c>
      <c r="BU10" s="64" t="str">
        <f>Table323567[[#This Row],[Column1]]</f>
        <v xml:space="preserve"> </v>
      </c>
    </row>
    <row r="11" spans="1:73" s="54" customFormat="1" x14ac:dyDescent="0.35">
      <c r="A11" s="165" t="str">
        <f>Mon!U11</f>
        <v>(BB)</v>
      </c>
      <c r="B11" s="56" t="str">
        <f>Table3[[#This Row],[1st hour V sem]]</f>
        <v xml:space="preserve"> </v>
      </c>
      <c r="C11" s="55" t="str">
        <f>Table3[[#This Row],[2nd hour V sem]]</f>
        <v xml:space="preserve"> </v>
      </c>
      <c r="D11" s="55" t="str">
        <f>Table3[[#This Row],[3rd hour V sem]]</f>
        <v xml:space="preserve"> </v>
      </c>
      <c r="E11" s="58" t="str">
        <f>Table3[[#This Row],[4th hour V sem]]</f>
        <v>ECOM (L)</v>
      </c>
      <c r="F11" s="57" t="str">
        <f>Table3[[#This Row],[1st hour III Sem]]</f>
        <v xml:space="preserve"> </v>
      </c>
      <c r="G11" s="55" t="str">
        <f>Table3[[#This Row],[2nd hour III Sem]]</f>
        <v xml:space="preserve"> </v>
      </c>
      <c r="H11" s="55" t="str">
        <f>Table3[[#This Row],[3rd hour III Sem]]</f>
        <v xml:space="preserve"> </v>
      </c>
      <c r="I11" s="58" t="str">
        <f>Table3[[#This Row],[4th hour III Sem]]</f>
        <v xml:space="preserve"> </v>
      </c>
      <c r="J11" s="57" t="str">
        <f>Table3[[#This Row],[1st hour I Sem]]</f>
        <v>QT (G)</v>
      </c>
      <c r="K11" s="55" t="str">
        <f>Table3[[#This Row],[2nd hour I Sem]]</f>
        <v xml:space="preserve"> </v>
      </c>
      <c r="L11" s="55" t="str">
        <f>Table3[[#This Row],[3rd hour I Sem]]</f>
        <v xml:space="preserve"> </v>
      </c>
      <c r="M11" s="55" t="str">
        <f>Table3[[#This Row],[4th hour I Sem]]</f>
        <v>QT (C)</v>
      </c>
      <c r="N11" s="56" t="str">
        <f>Table32[[#This Row],[1st hour V sem]]</f>
        <v xml:space="preserve"> </v>
      </c>
      <c r="O11" s="55" t="str">
        <f>Table32[[#This Row],[2nd hour V sem]]</f>
        <v xml:space="preserve"> </v>
      </c>
      <c r="P11" s="55" t="str">
        <f>Table32[[#This Row],[3rd hour V sem]]</f>
        <v xml:space="preserve"> </v>
      </c>
      <c r="Q11" s="73" t="str">
        <f>Table32[[#This Row],[4th hour V sem]]</f>
        <v xml:space="preserve"> </v>
      </c>
      <c r="R11" s="57" t="str">
        <f>Table32[[#This Row],[1st hour III Sem]]</f>
        <v xml:space="preserve"> </v>
      </c>
      <c r="S11" s="55" t="str">
        <f>Table32[[#This Row],[2nd hour III Sem]]</f>
        <v xml:space="preserve"> </v>
      </c>
      <c r="T11" s="55" t="str">
        <f>Table32[[#This Row],[3rd hour III Sem]]</f>
        <v xml:space="preserve"> </v>
      </c>
      <c r="U11" s="58" t="str">
        <f>Table32[[#This Row],[4th hour III Sem]]</f>
        <v xml:space="preserve"> </v>
      </c>
      <c r="V11" s="74" t="str">
        <f>Table32[[#This Row],[1st hour I Sem]]</f>
        <v>QT (C)</v>
      </c>
      <c r="W11" s="55" t="str">
        <f>Table32[[#This Row],[2nd hour I Sem]]</f>
        <v>QT (B)</v>
      </c>
      <c r="X11" s="55" t="str">
        <f>Table32[[#This Row],[3rd hour I Sem]]</f>
        <v>QT (L)</v>
      </c>
      <c r="Y11" s="64" t="str">
        <f>Table32[[#This Row],[4th hour I Sem]]</f>
        <v>QT (G)</v>
      </c>
      <c r="Z11" s="56" t="str">
        <f>Table323[[#This Row],[1st hour V sem]]</f>
        <v xml:space="preserve"> </v>
      </c>
      <c r="AA11" s="55" t="str">
        <f>Table323[[#This Row],[2nd hour V sem]]</f>
        <v xml:space="preserve"> </v>
      </c>
      <c r="AB11" s="55" t="str">
        <f>Table323[[#This Row],[3rd hour V sem]]</f>
        <v xml:space="preserve"> </v>
      </c>
      <c r="AC11" s="58" t="str">
        <f>Table323[[#This Row],[4th hour V sem]]</f>
        <v xml:space="preserve"> </v>
      </c>
      <c r="AD11" s="57" t="str">
        <f>Table323[[#This Row],[1st hour III Sem]]</f>
        <v xml:space="preserve"> </v>
      </c>
      <c r="AE11" s="55" t="str">
        <f>Table323[[#This Row],[2nd hour III Sem]]</f>
        <v xml:space="preserve"> </v>
      </c>
      <c r="AF11" s="55" t="str">
        <f>Table323[[#This Row],[3rd hour III Sem]]</f>
        <v xml:space="preserve"> </v>
      </c>
      <c r="AG11" s="58" t="str">
        <f>Table323[[#This Row],[4th hour III Sem]]</f>
        <v xml:space="preserve"> </v>
      </c>
      <c r="AH11" s="57" t="str">
        <f>Table323[[#This Row],[1st hour I Sem]]</f>
        <v>QT (G)</v>
      </c>
      <c r="AI11" s="55" t="str">
        <f>Table323[[#This Row],[2nd hour I Sem]]</f>
        <v>QT (C)</v>
      </c>
      <c r="AJ11" s="55" t="str">
        <f>Table323[[#This Row],[3rd hour I Sem]]</f>
        <v xml:space="preserve"> </v>
      </c>
      <c r="AK11" s="64" t="str">
        <f>Table323[[#This Row],[4th hour I Sem]]</f>
        <v>QT (B)</v>
      </c>
      <c r="AL11" s="56" t="str">
        <f>Table3235[[#This Row],[1st hour V sem]]</f>
        <v xml:space="preserve"> </v>
      </c>
      <c r="AM11" s="55" t="str">
        <f>Table3235[[#This Row],[2nd hour V sem]]</f>
        <v xml:space="preserve"> </v>
      </c>
      <c r="AN11" s="55" t="str">
        <f>Table3235[[#This Row],[3rd hour V sem]]</f>
        <v xml:space="preserve"> </v>
      </c>
      <c r="AO11" s="58" t="str">
        <f>Table3235[[#This Row],[4th hour V sem]]</f>
        <v>ECOM (L)</v>
      </c>
      <c r="AP11" s="57" t="str">
        <f>Table3235[[#This Row],[1st hour III Sem]]</f>
        <v xml:space="preserve"> </v>
      </c>
      <c r="AQ11" s="55" t="str">
        <f>Table3235[[#This Row],[2nd hour III Sem]]</f>
        <v xml:space="preserve"> </v>
      </c>
      <c r="AR11" s="55" t="str">
        <f>Table3235[[#This Row],[3rd hour III Sem]]</f>
        <v xml:space="preserve"> </v>
      </c>
      <c r="AS11" s="58" t="str">
        <f>Table3235[[#This Row],[4th hour III Sem]]</f>
        <v xml:space="preserve"> </v>
      </c>
      <c r="AT11" s="57" t="str">
        <f>Table3235[[#This Row],[1st hour I Sem]]</f>
        <v xml:space="preserve"> </v>
      </c>
      <c r="AU11" s="55" t="str">
        <f>Table3235[[#This Row],[2nd hour I Sem]]</f>
        <v xml:space="preserve"> </v>
      </c>
      <c r="AV11" s="55" t="str">
        <f>Table3235[[#This Row],[3rd hour I Sem]]</f>
        <v>QT (G)</v>
      </c>
      <c r="AW11" s="64" t="str">
        <f>Table3235[[#This Row],[4th hour I Sem]]</f>
        <v xml:space="preserve"> </v>
      </c>
      <c r="AX11" s="56" t="str">
        <f>Table32356[[#This Row],[1st hour V sem]]</f>
        <v xml:space="preserve"> </v>
      </c>
      <c r="AY11" s="55" t="str">
        <f>Table32356[[#This Row],[2nd hour V sem]]</f>
        <v>ECOM (L)</v>
      </c>
      <c r="AZ11" s="55" t="str">
        <f>Table32356[[#This Row],[3rd hour V sem]]</f>
        <v xml:space="preserve"> </v>
      </c>
      <c r="BA11" s="58" t="str">
        <f>Table32356[[#This Row],[4th hour V sem]]</f>
        <v xml:space="preserve"> </v>
      </c>
      <c r="BB11" s="57" t="str">
        <f>Table32356[[#This Row],[1st hour III Sem]]</f>
        <v xml:space="preserve"> </v>
      </c>
      <c r="BC11" s="55" t="str">
        <f>Table32356[[#This Row],[2nd hour III Sem]]</f>
        <v xml:space="preserve"> </v>
      </c>
      <c r="BD11" s="55" t="str">
        <f>Table32356[[#This Row],[3rd hour III Sem]]</f>
        <v xml:space="preserve"> </v>
      </c>
      <c r="BE11" s="58" t="str">
        <f>Table32356[[#This Row],[4th hour III Sem]]</f>
        <v xml:space="preserve"> </v>
      </c>
      <c r="BF11" s="57" t="str">
        <f>Table32356[[#This Row],[1st hour I Sem]]</f>
        <v>QT (B)</v>
      </c>
      <c r="BG11" s="55" t="str">
        <f>Table32356[[#This Row],[2nd hour I Sem]]</f>
        <v>QT (L)</v>
      </c>
      <c r="BH11" s="55" t="str">
        <f>Table32356[[#This Row],[3rd hour I Sem]]</f>
        <v>QT (C)</v>
      </c>
      <c r="BI11" s="64" t="str">
        <f>Table32356[[#This Row],[4th hour I Sem]]</f>
        <v xml:space="preserve"> </v>
      </c>
      <c r="BJ11" s="56" t="str">
        <f>Table323567[[#This Row],[1st hour V sem]]</f>
        <v xml:space="preserve"> </v>
      </c>
      <c r="BK11" s="55" t="str">
        <f>Table323567[[#This Row],[2nd hour V sem]]</f>
        <v xml:space="preserve"> </v>
      </c>
      <c r="BL11" s="55" t="str">
        <f>Table323567[[#This Row],[3rd hour V sem]]</f>
        <v xml:space="preserve"> </v>
      </c>
      <c r="BM11" s="58" t="str">
        <f>Table323567[[#This Row],[4th hour V sem]]</f>
        <v xml:space="preserve"> </v>
      </c>
      <c r="BN11" s="57" t="str">
        <f>Table323567[[#This Row],[1st hour III Sem]]</f>
        <v xml:space="preserve"> </v>
      </c>
      <c r="BO11" s="55" t="str">
        <f>Table323567[[#This Row],[2nd hour III Sem]]</f>
        <v xml:space="preserve"> </v>
      </c>
      <c r="BP11" s="55" t="str">
        <f>Table323567[[#This Row],[3rd hour III Sem]]</f>
        <v xml:space="preserve"> </v>
      </c>
      <c r="BQ11" s="58" t="str">
        <f>Table323567[[#This Row],[4th hour III Sem]]</f>
        <v xml:space="preserve"> </v>
      </c>
      <c r="BR11" s="57" t="str">
        <f>Table323567[[#This Row],[1st hour I Sem]]</f>
        <v xml:space="preserve"> </v>
      </c>
      <c r="BS11" s="55" t="str">
        <f>Table323567[[#This Row],[2nd hour I Sem]]</f>
        <v>QT (B)</v>
      </c>
      <c r="BT11" s="55" t="str">
        <f>Table323567[[#This Row],[3rd hour I Sem]]</f>
        <v xml:space="preserve"> </v>
      </c>
      <c r="BU11" s="64" t="str">
        <f>Table323567[[#This Row],[Column1]]</f>
        <v xml:space="preserve"> </v>
      </c>
    </row>
    <row r="12" spans="1:73" s="54" customFormat="1" x14ac:dyDescent="0.35">
      <c r="A12" s="165" t="str">
        <f>Mon!U12</f>
        <v>(BD)</v>
      </c>
      <c r="B12" s="56" t="str">
        <f>Table3[[#This Row],[1st hour V sem]]</f>
        <v xml:space="preserve"> </v>
      </c>
      <c r="C12" s="55" t="str">
        <f>Table3[[#This Row],[2nd hour V sem]]</f>
        <v xml:space="preserve"> </v>
      </c>
      <c r="D12" s="55" t="str">
        <f>Table3[[#This Row],[3rd hour V sem]]</f>
        <v xml:space="preserve"> </v>
      </c>
      <c r="E12" s="58" t="str">
        <f>Table3[[#This Row],[4th hour V sem]]</f>
        <v xml:space="preserve"> </v>
      </c>
      <c r="F12" s="57" t="str">
        <f>Table3[[#This Row],[1st hour III Sem]]</f>
        <v xml:space="preserve"> </v>
      </c>
      <c r="G12" s="55" t="str">
        <f>Table3[[#This Row],[2nd hour III Sem]]</f>
        <v xml:space="preserve"> </v>
      </c>
      <c r="H12" s="55" t="str">
        <f>Table3[[#This Row],[3rd hour III Sem]]</f>
        <v xml:space="preserve"> </v>
      </c>
      <c r="I12" s="58" t="str">
        <f>Table3[[#This Row],[4th hour III Sem]]</f>
        <v>HR (N)</v>
      </c>
      <c r="J12" s="57" t="str">
        <f>Table3[[#This Row],[1st hour I Sem]]</f>
        <v>QT (J)</v>
      </c>
      <c r="K12" s="55" t="str">
        <f>Table3[[#This Row],[2nd hour I Sem]]</f>
        <v>QT (K)</v>
      </c>
      <c r="L12" s="55" t="str">
        <f>Table3[[#This Row],[3rd hour I Sem]]</f>
        <v xml:space="preserve"> </v>
      </c>
      <c r="M12" s="55" t="str">
        <f>Table3[[#This Row],[4th hour I Sem]]</f>
        <v xml:space="preserve"> </v>
      </c>
      <c r="N12" s="56" t="str">
        <f>Table32[[#This Row],[1st hour V sem]]</f>
        <v xml:space="preserve"> </v>
      </c>
      <c r="O12" s="55" t="str">
        <f>Table32[[#This Row],[2nd hour V sem]]</f>
        <v xml:space="preserve"> </v>
      </c>
      <c r="P12" s="55" t="str">
        <f>Table32[[#This Row],[3rd hour V sem]]</f>
        <v xml:space="preserve"> </v>
      </c>
      <c r="Q12" s="73" t="str">
        <f>Table32[[#This Row],[4th hour V sem]]</f>
        <v xml:space="preserve"> </v>
      </c>
      <c r="R12" s="57" t="str">
        <f>Table32[[#This Row],[1st hour III Sem]]</f>
        <v>HR (N)</v>
      </c>
      <c r="S12" s="55" t="str">
        <f>Table32[[#This Row],[2nd hour III Sem]]</f>
        <v>HR (F)</v>
      </c>
      <c r="T12" s="55" t="str">
        <f>Table32[[#This Row],[3rd hour III Sem]]</f>
        <v xml:space="preserve"> </v>
      </c>
      <c r="U12" s="58" t="str">
        <f>Table32[[#This Row],[4th hour III Sem]]</f>
        <v xml:space="preserve"> </v>
      </c>
      <c r="V12" s="74" t="str">
        <f>Table32[[#This Row],[1st hour I Sem]]</f>
        <v xml:space="preserve"> </v>
      </c>
      <c r="W12" s="55" t="str">
        <f>Table32[[#This Row],[2nd hour I Sem]]</f>
        <v xml:space="preserve"> </v>
      </c>
      <c r="X12" s="55" t="str">
        <f>Table32[[#This Row],[3rd hour I Sem]]</f>
        <v>QT (K)</v>
      </c>
      <c r="Y12" s="64" t="str">
        <f>Table32[[#This Row],[4th hour I Sem]]</f>
        <v>QT (J)</v>
      </c>
      <c r="Z12" s="56" t="str">
        <f>Table323[[#This Row],[1st hour V sem]]</f>
        <v xml:space="preserve"> </v>
      </c>
      <c r="AA12" s="55" t="str">
        <f>Table323[[#This Row],[2nd hour V sem]]</f>
        <v xml:space="preserve"> </v>
      </c>
      <c r="AB12" s="55" t="str">
        <f>Table323[[#This Row],[3rd hour V sem]]</f>
        <v xml:space="preserve"> </v>
      </c>
      <c r="AC12" s="58" t="str">
        <f>Table323[[#This Row],[4th hour V sem]]</f>
        <v xml:space="preserve"> </v>
      </c>
      <c r="AD12" s="57" t="str">
        <f>Table323[[#This Row],[1st hour III Sem]]</f>
        <v>HR (B)</v>
      </c>
      <c r="AE12" s="55" t="str">
        <f>Table323[[#This Row],[2nd hour III Sem]]</f>
        <v xml:space="preserve"> </v>
      </c>
      <c r="AF12" s="55" t="str">
        <f>Table323[[#This Row],[3rd hour III Sem]]</f>
        <v>HR (F)</v>
      </c>
      <c r="AG12" s="58" t="str">
        <f>Table323[[#This Row],[4th hour III Sem]]</f>
        <v xml:space="preserve"> </v>
      </c>
      <c r="AH12" s="57" t="str">
        <f>Table323[[#This Row],[1st hour I Sem]]</f>
        <v>QT (J)</v>
      </c>
      <c r="AI12" s="55" t="str">
        <f>Table323[[#This Row],[2nd hour I Sem]]</f>
        <v xml:space="preserve"> </v>
      </c>
      <c r="AJ12" s="55" t="str">
        <f>Table323[[#This Row],[3rd hour I Sem]]</f>
        <v xml:space="preserve"> </v>
      </c>
      <c r="AK12" s="64" t="str">
        <f>Table323[[#This Row],[4th hour I Sem]]</f>
        <v xml:space="preserve"> </v>
      </c>
      <c r="AL12" s="56" t="str">
        <f>Table3235[[#This Row],[1st hour V sem]]</f>
        <v xml:space="preserve"> </v>
      </c>
      <c r="AM12" s="55" t="str">
        <f>Table3235[[#This Row],[2nd hour V sem]]</f>
        <v xml:space="preserve"> </v>
      </c>
      <c r="AN12" s="55" t="str">
        <f>Table3235[[#This Row],[3rd hour V sem]]</f>
        <v xml:space="preserve"> </v>
      </c>
      <c r="AO12" s="58" t="str">
        <f>Table3235[[#This Row],[4th hour V sem]]</f>
        <v xml:space="preserve"> </v>
      </c>
      <c r="AP12" s="57" t="str">
        <f>Table3235[[#This Row],[1st hour III Sem]]</f>
        <v>HR (B)</v>
      </c>
      <c r="AQ12" s="55" t="str">
        <f>Table3235[[#This Row],[2nd hour III Sem]]</f>
        <v xml:space="preserve"> </v>
      </c>
      <c r="AR12" s="55" t="str">
        <f>Table3235[[#This Row],[3rd hour III Sem]]</f>
        <v xml:space="preserve"> </v>
      </c>
      <c r="AS12" s="58" t="str">
        <f>Table3235[[#This Row],[4th hour III Sem]]</f>
        <v xml:space="preserve"> </v>
      </c>
      <c r="AT12" s="57" t="str">
        <f>Table3235[[#This Row],[1st hour I Sem]]</f>
        <v xml:space="preserve"> </v>
      </c>
      <c r="AU12" s="55" t="str">
        <f>Table3235[[#This Row],[2nd hour I Sem]]</f>
        <v xml:space="preserve"> </v>
      </c>
      <c r="AV12" s="55" t="str">
        <f>Table3235[[#This Row],[3rd hour I Sem]]</f>
        <v xml:space="preserve"> </v>
      </c>
      <c r="AW12" s="64" t="str">
        <f>Table3235[[#This Row],[4th hour I Sem]]</f>
        <v>QT (K)</v>
      </c>
      <c r="AX12" s="56" t="str">
        <f>Table32356[[#This Row],[1st hour V sem]]</f>
        <v xml:space="preserve"> </v>
      </c>
      <c r="AY12" s="55" t="str">
        <f>Table32356[[#This Row],[2nd hour V sem]]</f>
        <v xml:space="preserve"> </v>
      </c>
      <c r="AZ12" s="55" t="str">
        <f>Table32356[[#This Row],[3rd hour V sem]]</f>
        <v xml:space="preserve"> </v>
      </c>
      <c r="BA12" s="58" t="str">
        <f>Table32356[[#This Row],[4th hour V sem]]</f>
        <v xml:space="preserve"> </v>
      </c>
      <c r="BB12" s="57" t="str">
        <f>Table32356[[#This Row],[1st hour III Sem]]</f>
        <v>HR (B)</v>
      </c>
      <c r="BC12" s="55" t="str">
        <f>Table32356[[#This Row],[2nd hour III Sem]]</f>
        <v>HR (N)</v>
      </c>
      <c r="BD12" s="55" t="str">
        <f>Table32356[[#This Row],[3rd hour III Sem]]</f>
        <v xml:space="preserve"> </v>
      </c>
      <c r="BE12" s="58" t="str">
        <f>Table32356[[#This Row],[4th hour III Sem]]</f>
        <v>HR (F)</v>
      </c>
      <c r="BF12" s="57" t="str">
        <f>Table32356[[#This Row],[1st hour I Sem]]</f>
        <v xml:space="preserve"> </v>
      </c>
      <c r="BG12" s="55" t="str">
        <f>Table32356[[#This Row],[2nd hour I Sem]]</f>
        <v xml:space="preserve"> </v>
      </c>
      <c r="BH12" s="55" t="str">
        <f>Table32356[[#This Row],[3rd hour I Sem]]</f>
        <v xml:space="preserve"> </v>
      </c>
      <c r="BI12" s="64" t="str">
        <f>Table32356[[#This Row],[4th hour I Sem]]</f>
        <v xml:space="preserve"> </v>
      </c>
      <c r="BJ12" s="56" t="str">
        <f>Table323567[[#This Row],[1st hour V sem]]</f>
        <v xml:space="preserve"> </v>
      </c>
      <c r="BK12" s="55" t="str">
        <f>Table323567[[#This Row],[2nd hour V sem]]</f>
        <v xml:space="preserve"> </v>
      </c>
      <c r="BL12" s="55" t="str">
        <f>Table323567[[#This Row],[3rd hour V sem]]</f>
        <v xml:space="preserve"> </v>
      </c>
      <c r="BM12" s="58" t="str">
        <f>Table323567[[#This Row],[4th hour V sem]]</f>
        <v xml:space="preserve"> </v>
      </c>
      <c r="BN12" s="57" t="str">
        <f>Table323567[[#This Row],[1st hour III Sem]]</f>
        <v xml:space="preserve"> </v>
      </c>
      <c r="BO12" s="55" t="str">
        <f>Table323567[[#This Row],[2nd hour III Sem]]</f>
        <v xml:space="preserve"> </v>
      </c>
      <c r="BP12" s="55" t="str">
        <f>Table323567[[#This Row],[3rd hour III Sem]]</f>
        <v xml:space="preserve"> </v>
      </c>
      <c r="BQ12" s="58" t="str">
        <f>Table323567[[#This Row],[4th hour III Sem]]</f>
        <v xml:space="preserve"> </v>
      </c>
      <c r="BR12" s="57" t="str">
        <f>Table323567[[#This Row],[1st hour I Sem]]</f>
        <v xml:space="preserve"> </v>
      </c>
      <c r="BS12" s="55" t="str">
        <f>Table323567[[#This Row],[2nd hour I Sem]]</f>
        <v>QT (J)</v>
      </c>
      <c r="BT12" s="55" t="str">
        <f>Table323567[[#This Row],[3rd hour I Sem]]</f>
        <v xml:space="preserve"> </v>
      </c>
      <c r="BU12" s="64" t="str">
        <f>Table323567[[#This Row],[Column1]]</f>
        <v xml:space="preserve"> </v>
      </c>
    </row>
    <row r="13" spans="1:73" s="54" customFormat="1" x14ac:dyDescent="0.35">
      <c r="A13" s="165" t="str">
        <f>Mon!U13</f>
        <v>(CG)</v>
      </c>
      <c r="B13" s="56" t="str">
        <f>Table3[[#This Row],[1st hour V sem]]</f>
        <v xml:space="preserve"> </v>
      </c>
      <c r="C13" s="55" t="str">
        <f>Table3[[#This Row],[2nd hour V sem]]</f>
        <v xml:space="preserve"> </v>
      </c>
      <c r="D13" s="55" t="str">
        <f>Table3[[#This Row],[3rd hour V sem]]</f>
        <v xml:space="preserve"> </v>
      </c>
      <c r="E13" s="58" t="str">
        <f>Table3[[#This Row],[4th hour V sem]]</f>
        <v xml:space="preserve"> </v>
      </c>
      <c r="F13" s="57" t="str">
        <f>Table3[[#This Row],[1st hour III Sem]]</f>
        <v xml:space="preserve"> </v>
      </c>
      <c r="G13" s="55" t="str">
        <f>Table3[[#This Row],[2nd hour III Sem]]</f>
        <v xml:space="preserve"> </v>
      </c>
      <c r="H13" s="55" t="str">
        <f>Table3[[#This Row],[3rd hour III Sem]]</f>
        <v xml:space="preserve"> </v>
      </c>
      <c r="I13" s="58" t="str">
        <f>Table3[[#This Row],[4th hour III Sem]]</f>
        <v xml:space="preserve"> </v>
      </c>
      <c r="J13" s="57" t="str">
        <f>Table3[[#This Row],[1st hour I Sem]]</f>
        <v xml:space="preserve"> </v>
      </c>
      <c r="K13" s="55" t="str">
        <f>Table3[[#This Row],[2nd hour I Sem]]</f>
        <v>GE (I)</v>
      </c>
      <c r="L13" s="55" t="str">
        <f>Table3[[#This Row],[3rd hour I Sem]]</f>
        <v xml:space="preserve"> </v>
      </c>
      <c r="M13" s="55" t="str">
        <f>Table3[[#This Row],[4th hour I Sem]]</f>
        <v>GE (E)</v>
      </c>
      <c r="N13" s="56" t="str">
        <f>Table32[[#This Row],[1st hour V sem]]</f>
        <v xml:space="preserve"> </v>
      </c>
      <c r="O13" s="55" t="str">
        <f>Table32[[#This Row],[2nd hour V sem]]</f>
        <v xml:space="preserve"> </v>
      </c>
      <c r="P13" s="55" t="str">
        <f>Table32[[#This Row],[3rd hour V sem]]</f>
        <v xml:space="preserve"> </v>
      </c>
      <c r="Q13" s="73" t="str">
        <f>Table32[[#This Row],[4th hour V sem]]</f>
        <v xml:space="preserve"> </v>
      </c>
      <c r="R13" s="57" t="str">
        <f>Table32[[#This Row],[1st hour III Sem]]</f>
        <v xml:space="preserve"> </v>
      </c>
      <c r="S13" s="55" t="str">
        <f>Table32[[#This Row],[2nd hour III Sem]]</f>
        <v xml:space="preserve"> </v>
      </c>
      <c r="T13" s="55" t="str">
        <f>Table32[[#This Row],[3rd hour III Sem]]</f>
        <v xml:space="preserve"> </v>
      </c>
      <c r="U13" s="58" t="str">
        <f>Table32[[#This Row],[4th hour III Sem]]</f>
        <v xml:space="preserve"> </v>
      </c>
      <c r="V13" s="74" t="str">
        <f>Table32[[#This Row],[1st hour I Sem]]</f>
        <v>GE (I)</v>
      </c>
      <c r="W13" s="55" t="str">
        <f>Table32[[#This Row],[2nd hour I Sem]]</f>
        <v xml:space="preserve"> </v>
      </c>
      <c r="X13" s="55" t="str">
        <f>Table32[[#This Row],[3rd hour I Sem]]</f>
        <v>GE (E)</v>
      </c>
      <c r="Y13" s="64" t="str">
        <f>Table32[[#This Row],[4th hour I Sem]]</f>
        <v xml:space="preserve"> </v>
      </c>
      <c r="Z13" s="56" t="str">
        <f>Table323[[#This Row],[1st hour V sem]]</f>
        <v xml:space="preserve"> </v>
      </c>
      <c r="AA13" s="55" t="str">
        <f>Table323[[#This Row],[2nd hour V sem]]</f>
        <v xml:space="preserve"> </v>
      </c>
      <c r="AB13" s="55" t="str">
        <f>Table323[[#This Row],[3rd hour V sem]]</f>
        <v xml:space="preserve"> </v>
      </c>
      <c r="AC13" s="58" t="str">
        <f>Table323[[#This Row],[4th hour V sem]]</f>
        <v xml:space="preserve"> </v>
      </c>
      <c r="AD13" s="57" t="str">
        <f>Table323[[#This Row],[1st hour III Sem]]</f>
        <v xml:space="preserve"> </v>
      </c>
      <c r="AE13" s="55" t="str">
        <f>Table323[[#This Row],[2nd hour III Sem]]</f>
        <v xml:space="preserve"> </v>
      </c>
      <c r="AF13" s="55" t="str">
        <f>Table323[[#This Row],[3rd hour III Sem]]</f>
        <v xml:space="preserve"> </v>
      </c>
      <c r="AG13" s="58" t="str">
        <f>Table323[[#This Row],[4th hour III Sem]]</f>
        <v xml:space="preserve"> </v>
      </c>
      <c r="AH13" s="57" t="str">
        <f>Table323[[#This Row],[1st hour I Sem]]</f>
        <v xml:space="preserve"> </v>
      </c>
      <c r="AI13" s="55" t="str">
        <f>Table323[[#This Row],[2nd hour I Sem]]</f>
        <v xml:space="preserve"> </v>
      </c>
      <c r="AJ13" s="55" t="str">
        <f>Table323[[#This Row],[3rd hour I Sem]]</f>
        <v xml:space="preserve"> </v>
      </c>
      <c r="AK13" s="64" t="str">
        <f>Table323[[#This Row],[4th hour I Sem]]</f>
        <v xml:space="preserve"> </v>
      </c>
      <c r="AL13" s="56" t="str">
        <f>Table3235[[#This Row],[1st hour V sem]]</f>
        <v xml:space="preserve"> </v>
      </c>
      <c r="AM13" s="55" t="str">
        <f>Table3235[[#This Row],[2nd hour V sem]]</f>
        <v xml:space="preserve"> </v>
      </c>
      <c r="AN13" s="55" t="str">
        <f>Table3235[[#This Row],[3rd hour V sem]]</f>
        <v xml:space="preserve"> </v>
      </c>
      <c r="AO13" s="58" t="str">
        <f>Table3235[[#This Row],[4th hour V sem]]</f>
        <v xml:space="preserve"> </v>
      </c>
      <c r="AP13" s="57" t="str">
        <f>Table3235[[#This Row],[1st hour III Sem]]</f>
        <v xml:space="preserve"> </v>
      </c>
      <c r="AQ13" s="55" t="str">
        <f>Table3235[[#This Row],[2nd hour III Sem]]</f>
        <v xml:space="preserve"> </v>
      </c>
      <c r="AR13" s="55" t="str">
        <f>Table3235[[#This Row],[3rd hour III Sem]]</f>
        <v xml:space="preserve"> </v>
      </c>
      <c r="AS13" s="58" t="str">
        <f>Table3235[[#This Row],[4th hour III Sem]]</f>
        <v xml:space="preserve"> </v>
      </c>
      <c r="AT13" s="57" t="str">
        <f>Table3235[[#This Row],[1st hour I Sem]]</f>
        <v xml:space="preserve"> </v>
      </c>
      <c r="AU13" s="55" t="str">
        <f>Table3235[[#This Row],[2nd hour I Sem]]</f>
        <v xml:space="preserve"> </v>
      </c>
      <c r="AV13" s="55" t="str">
        <f>Table3235[[#This Row],[3rd hour I Sem]]</f>
        <v xml:space="preserve"> </v>
      </c>
      <c r="AW13" s="64" t="str">
        <f>Table3235[[#This Row],[4th hour I Sem]]</f>
        <v xml:space="preserve"> </v>
      </c>
      <c r="AX13" s="56" t="str">
        <f>Table32356[[#This Row],[1st hour V sem]]</f>
        <v xml:space="preserve"> </v>
      </c>
      <c r="AY13" s="55" t="str">
        <f>Table32356[[#This Row],[2nd hour V sem]]</f>
        <v xml:space="preserve"> </v>
      </c>
      <c r="AZ13" s="55" t="str">
        <f>Table32356[[#This Row],[3rd hour V sem]]</f>
        <v xml:space="preserve"> </v>
      </c>
      <c r="BA13" s="58" t="str">
        <f>Table32356[[#This Row],[4th hour V sem]]</f>
        <v xml:space="preserve"> </v>
      </c>
      <c r="BB13" s="57" t="str">
        <f>Table32356[[#This Row],[1st hour III Sem]]</f>
        <v xml:space="preserve"> </v>
      </c>
      <c r="BC13" s="55" t="str">
        <f>Table32356[[#This Row],[2nd hour III Sem]]</f>
        <v xml:space="preserve"> </v>
      </c>
      <c r="BD13" s="55" t="str">
        <f>Table32356[[#This Row],[3rd hour III Sem]]</f>
        <v xml:space="preserve"> </v>
      </c>
      <c r="BE13" s="58" t="str">
        <f>Table32356[[#This Row],[4th hour III Sem]]</f>
        <v xml:space="preserve"> </v>
      </c>
      <c r="BF13" s="57" t="str">
        <f>Table32356[[#This Row],[1st hour I Sem]]</f>
        <v xml:space="preserve"> </v>
      </c>
      <c r="BG13" s="55" t="str">
        <f>Table32356[[#This Row],[2nd hour I Sem]]</f>
        <v xml:space="preserve"> </v>
      </c>
      <c r="BH13" s="55" t="str">
        <f>Table32356[[#This Row],[3rd hour I Sem]]</f>
        <v>GE (I)</v>
      </c>
      <c r="BI13" s="64" t="str">
        <f>Table32356[[#This Row],[4th hour I Sem]]</f>
        <v xml:space="preserve"> </v>
      </c>
      <c r="BJ13" s="56" t="str">
        <f>Table323567[[#This Row],[1st hour V sem]]</f>
        <v xml:space="preserve"> </v>
      </c>
      <c r="BK13" s="55" t="str">
        <f>Table323567[[#This Row],[2nd hour V sem]]</f>
        <v xml:space="preserve"> </v>
      </c>
      <c r="BL13" s="55" t="str">
        <f>Table323567[[#This Row],[3rd hour V sem]]</f>
        <v xml:space="preserve"> </v>
      </c>
      <c r="BM13" s="58" t="str">
        <f>Table323567[[#This Row],[4th hour V sem]]</f>
        <v xml:space="preserve"> </v>
      </c>
      <c r="BN13" s="57" t="str">
        <f>Table323567[[#This Row],[1st hour III Sem]]</f>
        <v xml:space="preserve"> </v>
      </c>
      <c r="BO13" s="55" t="str">
        <f>Table323567[[#This Row],[2nd hour III Sem]]</f>
        <v xml:space="preserve"> </v>
      </c>
      <c r="BP13" s="55" t="str">
        <f>Table323567[[#This Row],[3rd hour III Sem]]</f>
        <v xml:space="preserve"> </v>
      </c>
      <c r="BQ13" s="58" t="str">
        <f>Table323567[[#This Row],[4th hour III Sem]]</f>
        <v xml:space="preserve"> </v>
      </c>
      <c r="BR13" s="57" t="str">
        <f>Table323567[[#This Row],[1st hour I Sem]]</f>
        <v xml:space="preserve"> </v>
      </c>
      <c r="BS13" s="55" t="str">
        <f>Table323567[[#This Row],[2nd hour I Sem]]</f>
        <v xml:space="preserve"> </v>
      </c>
      <c r="BT13" s="55" t="str">
        <f>Table323567[[#This Row],[3rd hour I Sem]]</f>
        <v xml:space="preserve"> </v>
      </c>
      <c r="BU13" s="64" t="str">
        <f>Table323567[[#This Row],[Column1]]</f>
        <v xml:space="preserve"> </v>
      </c>
    </row>
    <row r="14" spans="1:73" s="54" customFormat="1" x14ac:dyDescent="0.35">
      <c r="A14" s="165" t="str">
        <f>Mon!U14</f>
        <v>(DT)</v>
      </c>
      <c r="B14" s="56" t="str">
        <f>Table3[[#This Row],[1st hour V sem]]</f>
        <v>MIP (G)</v>
      </c>
      <c r="C14" s="55" t="str">
        <f>Table3[[#This Row],[2nd hour V sem]]</f>
        <v>EBO (L)</v>
      </c>
      <c r="D14" s="55" t="str">
        <f>Table3[[#This Row],[3rd hour V sem]]</f>
        <v>ECOM (E)</v>
      </c>
      <c r="E14" s="58" t="str">
        <f>Table3[[#This Row],[4th hour V sem]]</f>
        <v xml:space="preserve"> </v>
      </c>
      <c r="F14" s="57" t="str">
        <f>Table3[[#This Row],[1st hour III Sem]]</f>
        <v xml:space="preserve"> </v>
      </c>
      <c r="G14" s="55" t="str">
        <f>Table3[[#This Row],[2nd hour III Sem]]</f>
        <v xml:space="preserve"> </v>
      </c>
      <c r="H14" s="55" t="str">
        <f>Table3[[#This Row],[3rd hour III Sem]]</f>
        <v xml:space="preserve"> </v>
      </c>
      <c r="I14" s="58" t="str">
        <f>Table3[[#This Row],[4th hour III Sem]]</f>
        <v xml:space="preserve"> </v>
      </c>
      <c r="J14" s="57" t="str">
        <f>Table3[[#This Row],[1st hour I Sem]]</f>
        <v xml:space="preserve"> </v>
      </c>
      <c r="K14" s="55" t="str">
        <f>Table3[[#This Row],[2nd hour I Sem]]</f>
        <v xml:space="preserve"> </v>
      </c>
      <c r="L14" s="55" t="str">
        <f>Table3[[#This Row],[3rd hour I Sem]]</f>
        <v xml:space="preserve"> </v>
      </c>
      <c r="M14" s="55" t="str">
        <f>Table3[[#This Row],[4th hour I Sem]]</f>
        <v xml:space="preserve"> </v>
      </c>
      <c r="N14" s="56" t="str">
        <f>Table32[[#This Row],[1st hour V sem]]</f>
        <v>EBO (L)</v>
      </c>
      <c r="O14" s="55" t="str">
        <f>Table32[[#This Row],[2nd hour V sem]]</f>
        <v xml:space="preserve"> </v>
      </c>
      <c r="P14" s="55" t="str">
        <f>Table32[[#This Row],[3rd hour V sem]]</f>
        <v>ECOM (I)</v>
      </c>
      <c r="Q14" s="73" t="str">
        <f>Table32[[#This Row],[4th hour V sem]]</f>
        <v>ECOM (E)</v>
      </c>
      <c r="R14" s="57" t="str">
        <f>Table32[[#This Row],[1st hour III Sem]]</f>
        <v xml:space="preserve"> </v>
      </c>
      <c r="S14" s="55" t="str">
        <f>Table32[[#This Row],[2nd hour III Sem]]</f>
        <v xml:space="preserve"> </v>
      </c>
      <c r="T14" s="55" t="str">
        <f>Table32[[#This Row],[3rd hour III Sem]]</f>
        <v xml:space="preserve"> </v>
      </c>
      <c r="U14" s="58" t="str">
        <f>Table32[[#This Row],[4th hour III Sem]]</f>
        <v xml:space="preserve"> </v>
      </c>
      <c r="V14" s="74" t="str">
        <f>Table32[[#This Row],[1st hour I Sem]]</f>
        <v xml:space="preserve"> </v>
      </c>
      <c r="W14" s="55" t="str">
        <f>Table32[[#This Row],[2nd hour I Sem]]</f>
        <v xml:space="preserve"> </v>
      </c>
      <c r="X14" s="55" t="str">
        <f>Table32[[#This Row],[3rd hour I Sem]]</f>
        <v xml:space="preserve"> </v>
      </c>
      <c r="Y14" s="64" t="str">
        <f>Table32[[#This Row],[4th hour I Sem]]</f>
        <v xml:space="preserve"> </v>
      </c>
      <c r="Z14" s="56" t="str">
        <f>Table323[[#This Row],[1st hour V sem]]</f>
        <v>MIP (G)</v>
      </c>
      <c r="AA14" s="55" t="str">
        <f>Table323[[#This Row],[2nd hour V sem]]</f>
        <v>ECOM (I)</v>
      </c>
      <c r="AB14" s="55" t="str">
        <f>Table323[[#This Row],[3rd hour V sem]]</f>
        <v>MIP (K)</v>
      </c>
      <c r="AC14" s="58" t="str">
        <f>Table323[[#This Row],[4th hour V sem]]</f>
        <v xml:space="preserve"> </v>
      </c>
      <c r="AD14" s="57" t="str">
        <f>Table323[[#This Row],[1st hour III Sem]]</f>
        <v xml:space="preserve"> </v>
      </c>
      <c r="AE14" s="55" t="str">
        <f>Table323[[#This Row],[2nd hour III Sem]]</f>
        <v xml:space="preserve"> </v>
      </c>
      <c r="AF14" s="55" t="str">
        <f>Table323[[#This Row],[3rd hour III Sem]]</f>
        <v xml:space="preserve"> </v>
      </c>
      <c r="AG14" s="58" t="str">
        <f>Table323[[#This Row],[4th hour III Sem]]</f>
        <v xml:space="preserve"> </v>
      </c>
      <c r="AH14" s="57" t="str">
        <f>Table323[[#This Row],[1st hour I Sem]]</f>
        <v xml:space="preserve"> </v>
      </c>
      <c r="AI14" s="55" t="str">
        <f>Table323[[#This Row],[2nd hour I Sem]]</f>
        <v xml:space="preserve"> </v>
      </c>
      <c r="AJ14" s="55" t="str">
        <f>Table323[[#This Row],[3rd hour I Sem]]</f>
        <v xml:space="preserve"> </v>
      </c>
      <c r="AK14" s="64" t="str">
        <f>Table323[[#This Row],[4th hour I Sem]]</f>
        <v xml:space="preserve"> </v>
      </c>
      <c r="AL14" s="56" t="str">
        <f>Table3235[[#This Row],[1st hour V sem]]</f>
        <v>ECOM (E)</v>
      </c>
      <c r="AM14" s="55" t="str">
        <f>Table3235[[#This Row],[2nd hour V sem]]</f>
        <v xml:space="preserve"> </v>
      </c>
      <c r="AN14" s="55" t="str">
        <f>Table3235[[#This Row],[3rd hour V sem]]</f>
        <v>EBO (L)</v>
      </c>
      <c r="AO14" s="58" t="str">
        <f>Table3235[[#This Row],[4th hour V sem]]</f>
        <v>ECOM (I)</v>
      </c>
      <c r="AP14" s="57" t="str">
        <f>Table3235[[#This Row],[1st hour III Sem]]</f>
        <v xml:space="preserve"> </v>
      </c>
      <c r="AQ14" s="55" t="str">
        <f>Table3235[[#This Row],[2nd hour III Sem]]</f>
        <v xml:space="preserve"> </v>
      </c>
      <c r="AR14" s="55" t="str">
        <f>Table3235[[#This Row],[3rd hour III Sem]]</f>
        <v xml:space="preserve"> </v>
      </c>
      <c r="AS14" s="58" t="str">
        <f>Table3235[[#This Row],[4th hour III Sem]]</f>
        <v xml:space="preserve"> </v>
      </c>
      <c r="AT14" s="57" t="str">
        <f>Table3235[[#This Row],[1st hour I Sem]]</f>
        <v xml:space="preserve"> </v>
      </c>
      <c r="AU14" s="55" t="str">
        <f>Table3235[[#This Row],[2nd hour I Sem]]</f>
        <v xml:space="preserve"> </v>
      </c>
      <c r="AV14" s="55" t="str">
        <f>Table3235[[#This Row],[3rd hour I Sem]]</f>
        <v xml:space="preserve"> </v>
      </c>
      <c r="AW14" s="64" t="str">
        <f>Table3235[[#This Row],[4th hour I Sem]]</f>
        <v xml:space="preserve"> </v>
      </c>
      <c r="AX14" s="56" t="str">
        <f>Table32356[[#This Row],[1st hour V sem]]</f>
        <v>MIP (G)</v>
      </c>
      <c r="AY14" s="55" t="str">
        <f>Table32356[[#This Row],[2nd hour V sem]]</f>
        <v xml:space="preserve"> </v>
      </c>
      <c r="AZ14" s="55" t="str">
        <f>Table32356[[#This Row],[3rd hour V sem]]</f>
        <v>MIP (K)</v>
      </c>
      <c r="BA14" s="58" t="str">
        <f>Table32356[[#This Row],[4th hour V sem]]</f>
        <v xml:space="preserve"> </v>
      </c>
      <c r="BB14" s="57" t="str">
        <f>Table32356[[#This Row],[1st hour III Sem]]</f>
        <v xml:space="preserve"> </v>
      </c>
      <c r="BC14" s="55" t="str">
        <f>Table32356[[#This Row],[2nd hour III Sem]]</f>
        <v xml:space="preserve"> </v>
      </c>
      <c r="BD14" s="55" t="str">
        <f>Table32356[[#This Row],[3rd hour III Sem]]</f>
        <v xml:space="preserve"> </v>
      </c>
      <c r="BE14" s="58" t="str">
        <f>Table32356[[#This Row],[4th hour III Sem]]</f>
        <v xml:space="preserve"> </v>
      </c>
      <c r="BF14" s="57" t="str">
        <f>Table32356[[#This Row],[1st hour I Sem]]</f>
        <v xml:space="preserve"> </v>
      </c>
      <c r="BG14" s="55" t="str">
        <f>Table32356[[#This Row],[2nd hour I Sem]]</f>
        <v xml:space="preserve"> </v>
      </c>
      <c r="BH14" s="55" t="str">
        <f>Table32356[[#This Row],[3rd hour I Sem]]</f>
        <v xml:space="preserve"> </v>
      </c>
      <c r="BI14" s="64" t="str">
        <f>Table32356[[#This Row],[4th hour I Sem]]</f>
        <v xml:space="preserve"> </v>
      </c>
      <c r="BJ14" s="56" t="str">
        <f>Table323567[[#This Row],[1st hour V sem]]</f>
        <v>MIP (K)</v>
      </c>
      <c r="BK14" s="55" t="str">
        <f>Table323567[[#This Row],[2nd hour V sem]]</f>
        <v xml:space="preserve"> </v>
      </c>
      <c r="BL14" s="55" t="str">
        <f>Table323567[[#This Row],[3rd hour V sem]]</f>
        <v xml:space="preserve"> </v>
      </c>
      <c r="BM14" s="58" t="str">
        <f>Table323567[[#This Row],[4th hour V sem]]</f>
        <v xml:space="preserve"> </v>
      </c>
      <c r="BN14" s="57" t="str">
        <f>Table323567[[#This Row],[1st hour III Sem]]</f>
        <v xml:space="preserve"> </v>
      </c>
      <c r="BO14" s="55" t="str">
        <f>Table323567[[#This Row],[2nd hour III Sem]]</f>
        <v xml:space="preserve"> </v>
      </c>
      <c r="BP14" s="55" t="str">
        <f>Table323567[[#This Row],[3rd hour III Sem]]</f>
        <v xml:space="preserve"> </v>
      </c>
      <c r="BQ14" s="58" t="str">
        <f>Table323567[[#This Row],[4th hour III Sem]]</f>
        <v xml:space="preserve"> </v>
      </c>
      <c r="BR14" s="57" t="str">
        <f>Table323567[[#This Row],[1st hour I Sem]]</f>
        <v xml:space="preserve"> </v>
      </c>
      <c r="BS14" s="55" t="str">
        <f>Table323567[[#This Row],[2nd hour I Sem]]</f>
        <v xml:space="preserve"> </v>
      </c>
      <c r="BT14" s="55" t="str">
        <f>Table323567[[#This Row],[3rd hour I Sem]]</f>
        <v xml:space="preserve"> </v>
      </c>
      <c r="BU14" s="64" t="str">
        <f>Table323567[[#This Row],[Column1]]</f>
        <v xml:space="preserve"> </v>
      </c>
    </row>
    <row r="15" spans="1:73" s="54" customFormat="1" x14ac:dyDescent="0.35">
      <c r="A15" s="165" t="str">
        <f>Mon!U15</f>
        <v>(EC)</v>
      </c>
      <c r="B15" s="56" t="str">
        <f>Table3[[#This Row],[1st hour V sem]]</f>
        <v>IB (K)</v>
      </c>
      <c r="C15" s="55" t="str">
        <f>Table3[[#This Row],[2nd hour V sem]]</f>
        <v>HRD (L)</v>
      </c>
      <c r="D15" s="55" t="str">
        <f>Table3[[#This Row],[3rd hour V sem]]</f>
        <v xml:space="preserve"> </v>
      </c>
      <c r="E15" s="58" t="str">
        <f>Table3[[#This Row],[4th hour V sem]]</f>
        <v>IB (E)</v>
      </c>
      <c r="F15" s="57" t="str">
        <f>Table3[[#This Row],[1st hour III Sem]]</f>
        <v xml:space="preserve"> </v>
      </c>
      <c r="G15" s="55" t="str">
        <f>Table3[[#This Row],[2nd hour III Sem]]</f>
        <v xml:space="preserve"> </v>
      </c>
      <c r="H15" s="55" t="str">
        <f>Table3[[#This Row],[3rd hour III Sem]]</f>
        <v>ED (E)</v>
      </c>
      <c r="I15" s="58" t="str">
        <f>Table3[[#This Row],[4th hour III Sem]]</f>
        <v xml:space="preserve"> </v>
      </c>
      <c r="J15" s="57" t="str">
        <f>Table3[[#This Row],[1st hour I Sem]]</f>
        <v xml:space="preserve"> </v>
      </c>
      <c r="K15" s="55" t="str">
        <f>Table3[[#This Row],[2nd hour I Sem]]</f>
        <v xml:space="preserve"> </v>
      </c>
      <c r="L15" s="55" t="str">
        <f>Table3[[#This Row],[3rd hour I Sem]]</f>
        <v xml:space="preserve"> </v>
      </c>
      <c r="M15" s="55" t="str">
        <f>Table3[[#This Row],[4th hour I Sem]]</f>
        <v xml:space="preserve"> </v>
      </c>
      <c r="N15" s="56" t="str">
        <f>Table32[[#This Row],[1st hour V sem]]</f>
        <v>HRD (L)</v>
      </c>
      <c r="O15" s="55" t="str">
        <f>Table32[[#This Row],[2nd hour V sem]]</f>
        <v xml:space="preserve"> </v>
      </c>
      <c r="P15" s="55" t="str">
        <f>Table32[[#This Row],[3rd hour V sem]]</f>
        <v>IB (J)</v>
      </c>
      <c r="Q15" s="73" t="str">
        <f>Table32[[#This Row],[4th hour V sem]]</f>
        <v>IB (G)</v>
      </c>
      <c r="R15" s="57" t="str">
        <f>Table32[[#This Row],[1st hour III Sem]]</f>
        <v xml:space="preserve"> </v>
      </c>
      <c r="S15" s="55" t="str">
        <f>Table32[[#This Row],[2nd hour III Sem]]</f>
        <v xml:space="preserve"> </v>
      </c>
      <c r="T15" s="55" t="str">
        <f>Table32[[#This Row],[3rd hour III Sem]]</f>
        <v xml:space="preserve"> </v>
      </c>
      <c r="U15" s="58" t="str">
        <f>Table32[[#This Row],[4th hour III Sem]]</f>
        <v xml:space="preserve"> </v>
      </c>
      <c r="V15" s="74" t="str">
        <f>Table32[[#This Row],[1st hour I Sem]]</f>
        <v xml:space="preserve"> </v>
      </c>
      <c r="W15" s="55" t="str">
        <f>Table32[[#This Row],[2nd hour I Sem]]</f>
        <v xml:space="preserve"> </v>
      </c>
      <c r="X15" s="55" t="str">
        <f>Table32[[#This Row],[3rd hour I Sem]]</f>
        <v xml:space="preserve"> </v>
      </c>
      <c r="Y15" s="64" t="str">
        <f>Table32[[#This Row],[4th hour I Sem]]</f>
        <v xml:space="preserve"> </v>
      </c>
      <c r="Z15" s="56" t="str">
        <f>Table323[[#This Row],[1st hour V sem]]</f>
        <v>IB (J)</v>
      </c>
      <c r="AA15" s="55" t="str">
        <f>Table323[[#This Row],[2nd hour V sem]]</f>
        <v xml:space="preserve"> </v>
      </c>
      <c r="AB15" s="55" t="str">
        <f>Table323[[#This Row],[3rd hour V sem]]</f>
        <v xml:space="preserve"> </v>
      </c>
      <c r="AC15" s="58" t="str">
        <f>Table323[[#This Row],[4th hour V sem]]</f>
        <v>IB (E)</v>
      </c>
      <c r="AD15" s="57" t="str">
        <f>Table323[[#This Row],[1st hour III Sem]]</f>
        <v xml:space="preserve"> </v>
      </c>
      <c r="AE15" s="55" t="str">
        <f>Table323[[#This Row],[2nd hour III Sem]]</f>
        <v xml:space="preserve"> </v>
      </c>
      <c r="AF15" s="55" t="str">
        <f>Table323[[#This Row],[3rd hour III Sem]]</f>
        <v xml:space="preserve"> </v>
      </c>
      <c r="AG15" s="58" t="str">
        <f>Table323[[#This Row],[4th hour III Sem]]</f>
        <v xml:space="preserve"> </v>
      </c>
      <c r="AH15" s="57" t="str">
        <f>Table323[[#This Row],[1st hour I Sem]]</f>
        <v xml:space="preserve"> </v>
      </c>
      <c r="AI15" s="55" t="str">
        <f>Table323[[#This Row],[2nd hour I Sem]]</f>
        <v xml:space="preserve"> </v>
      </c>
      <c r="AJ15" s="55" t="str">
        <f>Table323[[#This Row],[3rd hour I Sem]]</f>
        <v xml:space="preserve"> </v>
      </c>
      <c r="AK15" s="64" t="str">
        <f>Table323[[#This Row],[4th hour I Sem]]</f>
        <v xml:space="preserve"> </v>
      </c>
      <c r="AL15" s="56" t="str">
        <f>Table3235[[#This Row],[1st hour V sem]]</f>
        <v xml:space="preserve"> </v>
      </c>
      <c r="AM15" s="55" t="str">
        <f>Table3235[[#This Row],[2nd hour V sem]]</f>
        <v>IB (G)</v>
      </c>
      <c r="AN15" s="55" t="str">
        <f>Table3235[[#This Row],[3rd hour V sem]]</f>
        <v>HRD (L)</v>
      </c>
      <c r="AO15" s="58" t="str">
        <f>Table3235[[#This Row],[4th hour V sem]]</f>
        <v>IB (K)</v>
      </c>
      <c r="AP15" s="57" t="str">
        <f>Table3235[[#This Row],[1st hour III Sem]]</f>
        <v xml:space="preserve"> </v>
      </c>
      <c r="AQ15" s="55" t="str">
        <f>Table3235[[#This Row],[2nd hour III Sem]]</f>
        <v xml:space="preserve"> </v>
      </c>
      <c r="AR15" s="55" t="str">
        <f>Table3235[[#This Row],[3rd hour III Sem]]</f>
        <v xml:space="preserve"> </v>
      </c>
      <c r="AS15" s="58" t="str">
        <f>Table3235[[#This Row],[4th hour III Sem]]</f>
        <v xml:space="preserve"> </v>
      </c>
      <c r="AT15" s="57" t="str">
        <f>Table3235[[#This Row],[1st hour I Sem]]</f>
        <v xml:space="preserve"> </v>
      </c>
      <c r="AU15" s="55" t="str">
        <f>Table3235[[#This Row],[2nd hour I Sem]]</f>
        <v xml:space="preserve"> </v>
      </c>
      <c r="AV15" s="55" t="str">
        <f>Table3235[[#This Row],[3rd hour I Sem]]</f>
        <v xml:space="preserve"> </v>
      </c>
      <c r="AW15" s="64" t="str">
        <f>Table3235[[#This Row],[4th hour I Sem]]</f>
        <v xml:space="preserve"> </v>
      </c>
      <c r="AX15" s="56" t="str">
        <f>Table32356[[#This Row],[1st hour V sem]]</f>
        <v xml:space="preserve"> </v>
      </c>
      <c r="AY15" s="55" t="str">
        <f>Table32356[[#This Row],[2nd hour V sem]]</f>
        <v>IB (G)</v>
      </c>
      <c r="AZ15" s="55" t="str">
        <f>Table32356[[#This Row],[3rd hour V sem]]</f>
        <v>IB (E)</v>
      </c>
      <c r="BA15" s="58" t="str">
        <f>Table32356[[#This Row],[4th hour V sem]]</f>
        <v xml:space="preserve"> </v>
      </c>
      <c r="BB15" s="57" t="str">
        <f>Table32356[[#This Row],[1st hour III Sem]]</f>
        <v xml:space="preserve"> </v>
      </c>
      <c r="BC15" s="55" t="str">
        <f>Table32356[[#This Row],[2nd hour III Sem]]</f>
        <v xml:space="preserve"> </v>
      </c>
      <c r="BD15" s="55" t="str">
        <f>Table32356[[#This Row],[3rd hour III Sem]]</f>
        <v xml:space="preserve"> </v>
      </c>
      <c r="BE15" s="58" t="str">
        <f>Table32356[[#This Row],[4th hour III Sem]]</f>
        <v>ED (E)</v>
      </c>
      <c r="BF15" s="57" t="str">
        <f>Table32356[[#This Row],[1st hour I Sem]]</f>
        <v xml:space="preserve"> </v>
      </c>
      <c r="BG15" s="55" t="str">
        <f>Table32356[[#This Row],[2nd hour I Sem]]</f>
        <v xml:space="preserve"> </v>
      </c>
      <c r="BH15" s="55" t="str">
        <f>Table32356[[#This Row],[3rd hour I Sem]]</f>
        <v xml:space="preserve"> </v>
      </c>
      <c r="BI15" s="64" t="str">
        <f>Table32356[[#This Row],[4th hour I Sem]]</f>
        <v xml:space="preserve"> </v>
      </c>
      <c r="BJ15" s="56" t="str">
        <f>Table323567[[#This Row],[1st hour V sem]]</f>
        <v>IB (J)</v>
      </c>
      <c r="BK15" s="55" t="str">
        <f>Table323567[[#This Row],[2nd hour V sem]]</f>
        <v xml:space="preserve"> </v>
      </c>
      <c r="BL15" s="55" t="str">
        <f>Table323567[[#This Row],[3rd hour V sem]]</f>
        <v>IB (K)</v>
      </c>
      <c r="BM15" s="58" t="str">
        <f>Table323567[[#This Row],[4th hour V sem]]</f>
        <v xml:space="preserve"> </v>
      </c>
      <c r="BN15" s="57" t="str">
        <f>Table323567[[#This Row],[1st hour III Sem]]</f>
        <v xml:space="preserve"> </v>
      </c>
      <c r="BO15" s="55" t="str">
        <f>Table323567[[#This Row],[2nd hour III Sem]]</f>
        <v>ED (E)</v>
      </c>
      <c r="BP15" s="55" t="str">
        <f>Table323567[[#This Row],[3rd hour III Sem]]</f>
        <v xml:space="preserve"> </v>
      </c>
      <c r="BQ15" s="58" t="str">
        <f>Table323567[[#This Row],[4th hour III Sem]]</f>
        <v xml:space="preserve"> </v>
      </c>
      <c r="BR15" s="57" t="str">
        <f>Table323567[[#This Row],[1st hour I Sem]]</f>
        <v xml:space="preserve"> </v>
      </c>
      <c r="BS15" s="55" t="str">
        <f>Table323567[[#This Row],[2nd hour I Sem]]</f>
        <v xml:space="preserve"> </v>
      </c>
      <c r="BT15" s="55" t="str">
        <f>Table323567[[#This Row],[3rd hour I Sem]]</f>
        <v xml:space="preserve"> </v>
      </c>
      <c r="BU15" s="64" t="str">
        <f>Table323567[[#This Row],[Column1]]</f>
        <v xml:space="preserve"> </v>
      </c>
    </row>
    <row r="16" spans="1:73" s="54" customFormat="1" x14ac:dyDescent="0.35">
      <c r="A16" s="165" t="str">
        <f>Mon!U16</f>
        <v>(HEM)</v>
      </c>
      <c r="B16" s="56" t="str">
        <f>Table3[[#This Row],[1st hour V sem]]</f>
        <v xml:space="preserve"> </v>
      </c>
      <c r="C16" s="55" t="str">
        <f>Table3[[#This Row],[2nd hour V sem]]</f>
        <v xml:space="preserve"> </v>
      </c>
      <c r="D16" s="55" t="str">
        <f>Table3[[#This Row],[3rd hour V sem]]</f>
        <v xml:space="preserve"> </v>
      </c>
      <c r="E16" s="58" t="str">
        <f>Table3[[#This Row],[4th hour V sem]]</f>
        <v xml:space="preserve"> </v>
      </c>
      <c r="F16" s="57" t="str">
        <f>Table3[[#This Row],[1st hour III Sem]]</f>
        <v xml:space="preserve"> </v>
      </c>
      <c r="G16" s="55" t="str">
        <f>Table3[[#This Row],[2nd hour III Sem]]</f>
        <v xml:space="preserve"> </v>
      </c>
      <c r="H16" s="55" t="str">
        <f>Table3[[#This Row],[3rd hour III Sem]]</f>
        <v xml:space="preserve"> </v>
      </c>
      <c r="I16" s="58" t="str">
        <f>Table3[[#This Row],[4th hour III Sem]]</f>
        <v xml:space="preserve"> </v>
      </c>
      <c r="J16" s="57" t="str">
        <f>Table3[[#This Row],[1st hour I Sem]]</f>
        <v xml:space="preserve"> </v>
      </c>
      <c r="K16" s="55" t="str">
        <f>Table3[[#This Row],[2nd hour I Sem]]</f>
        <v xml:space="preserve"> </v>
      </c>
      <c r="L16" s="55" t="str">
        <f>Table3[[#This Row],[3rd hour I Sem]]</f>
        <v xml:space="preserve"> </v>
      </c>
      <c r="M16" s="55" t="str">
        <f>Table3[[#This Row],[4th hour I Sem]]</f>
        <v xml:space="preserve"> </v>
      </c>
      <c r="N16" s="56" t="str">
        <f>Table32[[#This Row],[1st hour V sem]]</f>
        <v xml:space="preserve"> </v>
      </c>
      <c r="O16" s="55" t="str">
        <f>Table32[[#This Row],[2nd hour V sem]]</f>
        <v xml:space="preserve"> </v>
      </c>
      <c r="P16" s="55" t="str">
        <f>Table32[[#This Row],[3rd hour V sem]]</f>
        <v xml:space="preserve"> </v>
      </c>
      <c r="Q16" s="73" t="str">
        <f>Table32[[#This Row],[4th hour V sem]]</f>
        <v xml:space="preserve"> </v>
      </c>
      <c r="R16" s="57" t="str">
        <f>Table32[[#This Row],[1st hour III Sem]]</f>
        <v xml:space="preserve"> </v>
      </c>
      <c r="S16" s="55" t="str">
        <f>Table32[[#This Row],[2nd hour III Sem]]</f>
        <v xml:space="preserve"> </v>
      </c>
      <c r="T16" s="55" t="str">
        <f>Table32[[#This Row],[3rd hour III Sem]]</f>
        <v xml:space="preserve"> </v>
      </c>
      <c r="U16" s="58" t="str">
        <f>Table32[[#This Row],[4th hour III Sem]]</f>
        <v xml:space="preserve"> </v>
      </c>
      <c r="V16" s="74" t="str">
        <f>Table32[[#This Row],[1st hour I Sem]]</f>
        <v xml:space="preserve"> </v>
      </c>
      <c r="W16" s="55" t="str">
        <f>Table32[[#This Row],[2nd hour I Sem]]</f>
        <v>KAN (M)</v>
      </c>
      <c r="X16" s="55" t="str">
        <f>Table32[[#This Row],[3rd hour I Sem]]</f>
        <v xml:space="preserve"> </v>
      </c>
      <c r="Y16" s="64" t="str">
        <f>Table32[[#This Row],[4th hour I Sem]]</f>
        <v xml:space="preserve"> </v>
      </c>
      <c r="Z16" s="56" t="str">
        <f>Table323[[#This Row],[1st hour V sem]]</f>
        <v xml:space="preserve"> </v>
      </c>
      <c r="AA16" s="55" t="str">
        <f>Table323[[#This Row],[2nd hour V sem]]</f>
        <v xml:space="preserve"> </v>
      </c>
      <c r="AB16" s="55" t="str">
        <f>Table323[[#This Row],[3rd hour V sem]]</f>
        <v xml:space="preserve"> </v>
      </c>
      <c r="AC16" s="58" t="str">
        <f>Table323[[#This Row],[4th hour V sem]]</f>
        <v xml:space="preserve"> </v>
      </c>
      <c r="AD16" s="57" t="str">
        <f>Table323[[#This Row],[1st hour III Sem]]</f>
        <v xml:space="preserve"> </v>
      </c>
      <c r="AE16" s="55" t="str">
        <f>Table323[[#This Row],[2nd hour III Sem]]</f>
        <v xml:space="preserve"> </v>
      </c>
      <c r="AF16" s="55" t="str">
        <f>Table323[[#This Row],[3rd hour III Sem]]</f>
        <v xml:space="preserve"> </v>
      </c>
      <c r="AG16" s="58" t="str">
        <f>Table323[[#This Row],[4th hour III Sem]]</f>
        <v xml:space="preserve"> </v>
      </c>
      <c r="AH16" s="57" t="str">
        <f>Table323[[#This Row],[1st hour I Sem]]</f>
        <v xml:space="preserve"> </v>
      </c>
      <c r="AI16" s="55" t="str">
        <f>Table323[[#This Row],[2nd hour I Sem]]</f>
        <v>KAN (M)</v>
      </c>
      <c r="AJ16" s="55" t="str">
        <f>Table323[[#This Row],[3rd hour I Sem]]</f>
        <v xml:space="preserve"> </v>
      </c>
      <c r="AK16" s="64" t="str">
        <f>Table323[[#This Row],[4th hour I Sem]]</f>
        <v xml:space="preserve"> </v>
      </c>
      <c r="AL16" s="56" t="str">
        <f>Table3235[[#This Row],[1st hour V sem]]</f>
        <v xml:space="preserve"> </v>
      </c>
      <c r="AM16" s="55" t="str">
        <f>Table3235[[#This Row],[2nd hour V sem]]</f>
        <v xml:space="preserve"> </v>
      </c>
      <c r="AN16" s="55" t="str">
        <f>Table3235[[#This Row],[3rd hour V sem]]</f>
        <v xml:space="preserve"> </v>
      </c>
      <c r="AO16" s="58" t="str">
        <f>Table3235[[#This Row],[4th hour V sem]]</f>
        <v xml:space="preserve"> </v>
      </c>
      <c r="AP16" s="57" t="str">
        <f>Table3235[[#This Row],[1st hour III Sem]]</f>
        <v xml:space="preserve"> </v>
      </c>
      <c r="AQ16" s="55" t="str">
        <f>Table3235[[#This Row],[2nd hour III Sem]]</f>
        <v xml:space="preserve"> </v>
      </c>
      <c r="AR16" s="55" t="str">
        <f>Table3235[[#This Row],[3rd hour III Sem]]</f>
        <v xml:space="preserve"> </v>
      </c>
      <c r="AS16" s="58" t="str">
        <f>Table3235[[#This Row],[4th hour III Sem]]</f>
        <v xml:space="preserve"> </v>
      </c>
      <c r="AT16" s="57" t="str">
        <f>Table3235[[#This Row],[1st hour I Sem]]</f>
        <v xml:space="preserve"> </v>
      </c>
      <c r="AU16" s="55" t="str">
        <f>Table3235[[#This Row],[2nd hour I Sem]]</f>
        <v xml:space="preserve"> </v>
      </c>
      <c r="AV16" s="55" t="str">
        <f>Table3235[[#This Row],[3rd hour I Sem]]</f>
        <v xml:space="preserve"> </v>
      </c>
      <c r="AW16" s="64" t="str">
        <f>Table3235[[#This Row],[4th hour I Sem]]</f>
        <v xml:space="preserve"> </v>
      </c>
      <c r="AX16" s="56" t="str">
        <f>Table32356[[#This Row],[1st hour V sem]]</f>
        <v xml:space="preserve"> </v>
      </c>
      <c r="AY16" s="55" t="str">
        <f>Table32356[[#This Row],[2nd hour V sem]]</f>
        <v xml:space="preserve"> </v>
      </c>
      <c r="AZ16" s="55" t="str">
        <f>Table32356[[#This Row],[3rd hour V sem]]</f>
        <v xml:space="preserve"> </v>
      </c>
      <c r="BA16" s="58" t="str">
        <f>Table32356[[#This Row],[4th hour V sem]]</f>
        <v xml:space="preserve"> </v>
      </c>
      <c r="BB16" s="57" t="str">
        <f>Table32356[[#This Row],[1st hour III Sem]]</f>
        <v xml:space="preserve"> </v>
      </c>
      <c r="BC16" s="55" t="str">
        <f>Table32356[[#This Row],[2nd hour III Sem]]</f>
        <v xml:space="preserve"> </v>
      </c>
      <c r="BD16" s="55" t="str">
        <f>Table32356[[#This Row],[3rd hour III Sem]]</f>
        <v xml:space="preserve"> </v>
      </c>
      <c r="BE16" s="58" t="str">
        <f>Table32356[[#This Row],[4th hour III Sem]]</f>
        <v xml:space="preserve"> </v>
      </c>
      <c r="BF16" s="57" t="str">
        <f>Table32356[[#This Row],[1st hour I Sem]]</f>
        <v xml:space="preserve"> </v>
      </c>
      <c r="BG16" s="55" t="str">
        <f>Table32356[[#This Row],[2nd hour I Sem]]</f>
        <v xml:space="preserve"> </v>
      </c>
      <c r="BH16" s="55" t="str">
        <f>Table32356[[#This Row],[3rd hour I Sem]]</f>
        <v>KAN (M)</v>
      </c>
      <c r="BI16" s="64" t="str">
        <f>Table32356[[#This Row],[4th hour I Sem]]</f>
        <v xml:space="preserve"> </v>
      </c>
      <c r="BJ16" s="56" t="str">
        <f>Table323567[[#This Row],[1st hour V sem]]</f>
        <v xml:space="preserve"> </v>
      </c>
      <c r="BK16" s="55" t="str">
        <f>Table323567[[#This Row],[2nd hour V sem]]</f>
        <v xml:space="preserve"> </v>
      </c>
      <c r="BL16" s="55" t="str">
        <f>Table323567[[#This Row],[3rd hour V sem]]</f>
        <v xml:space="preserve"> </v>
      </c>
      <c r="BM16" s="58" t="str">
        <f>Table323567[[#This Row],[4th hour V sem]]</f>
        <v xml:space="preserve"> </v>
      </c>
      <c r="BN16" s="57" t="str">
        <f>Table323567[[#This Row],[1st hour III Sem]]</f>
        <v xml:space="preserve"> </v>
      </c>
      <c r="BO16" s="55" t="str">
        <f>Table323567[[#This Row],[2nd hour III Sem]]</f>
        <v xml:space="preserve"> </v>
      </c>
      <c r="BP16" s="55" t="str">
        <f>Table323567[[#This Row],[3rd hour III Sem]]</f>
        <v xml:space="preserve"> </v>
      </c>
      <c r="BQ16" s="58" t="str">
        <f>Table323567[[#This Row],[4th hour III Sem]]</f>
        <v xml:space="preserve"> </v>
      </c>
      <c r="BR16" s="57" t="str">
        <f>Table323567[[#This Row],[1st hour I Sem]]</f>
        <v xml:space="preserve"> </v>
      </c>
      <c r="BS16" s="55" t="str">
        <f>Table323567[[#This Row],[2nd hour I Sem]]</f>
        <v xml:space="preserve"> </v>
      </c>
      <c r="BT16" s="55" t="str">
        <f>Table323567[[#This Row],[3rd hour I Sem]]</f>
        <v xml:space="preserve"> </v>
      </c>
      <c r="BU16" s="64" t="str">
        <f>Table323567[[#This Row],[Column1]]</f>
        <v xml:space="preserve"> </v>
      </c>
    </row>
    <row r="17" spans="1:73" s="54" customFormat="1" x14ac:dyDescent="0.35">
      <c r="A17" s="165" t="str">
        <f>Mon!U17</f>
        <v>(HK)</v>
      </c>
      <c r="B17" s="56" t="str">
        <f>Table3[[#This Row],[1st hour V sem]]</f>
        <v xml:space="preserve"> </v>
      </c>
      <c r="C17" s="55" t="str">
        <f>Table3[[#This Row],[2nd hour V sem]]</f>
        <v xml:space="preserve"> </v>
      </c>
      <c r="D17" s="55" t="str">
        <f>Table3[[#This Row],[3rd hour V sem]]</f>
        <v xml:space="preserve"> </v>
      </c>
      <c r="E17" s="58" t="str">
        <f>Table3[[#This Row],[4th hour V sem]]</f>
        <v xml:space="preserve"> </v>
      </c>
      <c r="F17" s="57" t="str">
        <f>Table3[[#This Row],[1st hour III Sem]]</f>
        <v xml:space="preserve"> </v>
      </c>
      <c r="G17" s="55" t="str">
        <f>Table3[[#This Row],[2nd hour III Sem]]</f>
        <v xml:space="preserve"> </v>
      </c>
      <c r="H17" s="55" t="str">
        <f>Table3[[#This Row],[3rd hour III Sem]]</f>
        <v xml:space="preserve"> </v>
      </c>
      <c r="I17" s="58" t="str">
        <f>Table3[[#This Row],[4th hour III Sem]]</f>
        <v xml:space="preserve"> </v>
      </c>
      <c r="J17" s="57" t="str">
        <f>Table3[[#This Row],[1st hour I Sem]]</f>
        <v xml:space="preserve"> </v>
      </c>
      <c r="K17" s="55" t="str">
        <f>Table3[[#This Row],[2nd hour I Sem]]</f>
        <v xml:space="preserve"> </v>
      </c>
      <c r="L17" s="55" t="str">
        <f>Table3[[#This Row],[3rd hour I Sem]]</f>
        <v xml:space="preserve"> </v>
      </c>
      <c r="M17" s="55" t="str">
        <f>Table3[[#This Row],[4th hour I Sem]]</f>
        <v xml:space="preserve"> </v>
      </c>
      <c r="N17" s="56" t="str">
        <f>Table32[[#This Row],[1st hour V sem]]</f>
        <v xml:space="preserve"> </v>
      </c>
      <c r="O17" s="55" t="str">
        <f>Table32[[#This Row],[2nd hour V sem]]</f>
        <v xml:space="preserve"> </v>
      </c>
      <c r="P17" s="55" t="str">
        <f>Table32[[#This Row],[3rd hour V sem]]</f>
        <v xml:space="preserve"> </v>
      </c>
      <c r="Q17" s="73" t="str">
        <f>Table32[[#This Row],[4th hour V sem]]</f>
        <v xml:space="preserve"> </v>
      </c>
      <c r="R17" s="57" t="str">
        <f>Table32[[#This Row],[1st hour III Sem]]</f>
        <v xml:space="preserve"> </v>
      </c>
      <c r="S17" s="55" t="str">
        <f>Table32[[#This Row],[2nd hour III Sem]]</f>
        <v xml:space="preserve"> </v>
      </c>
      <c r="T17" s="55" t="str">
        <f>Table32[[#This Row],[3rd hour III Sem]]</f>
        <v xml:space="preserve"> </v>
      </c>
      <c r="U17" s="58" t="str">
        <f>Table32[[#This Row],[4th hour III Sem]]</f>
        <v xml:space="preserve"> </v>
      </c>
      <c r="V17" s="74" t="str">
        <f>Table32[[#This Row],[1st hour I Sem]]</f>
        <v xml:space="preserve"> </v>
      </c>
      <c r="W17" s="55" t="str">
        <f>Table32[[#This Row],[2nd hour I Sem]]</f>
        <v xml:space="preserve"> </v>
      </c>
      <c r="X17" s="55" t="str">
        <f>Table32[[#This Row],[3rd hour I Sem]]</f>
        <v xml:space="preserve"> </v>
      </c>
      <c r="Y17" s="64" t="str">
        <f>Table32[[#This Row],[4th hour I Sem]]</f>
        <v xml:space="preserve"> </v>
      </c>
      <c r="Z17" s="56" t="str">
        <f>Table323[[#This Row],[1st hour V sem]]</f>
        <v xml:space="preserve"> </v>
      </c>
      <c r="AA17" s="55" t="str">
        <f>Table323[[#This Row],[2nd hour V sem]]</f>
        <v xml:space="preserve"> </v>
      </c>
      <c r="AB17" s="55" t="str">
        <f>Table323[[#This Row],[3rd hour V sem]]</f>
        <v xml:space="preserve"> </v>
      </c>
      <c r="AC17" s="58" t="str">
        <f>Table323[[#This Row],[4th hour V sem]]</f>
        <v xml:space="preserve"> </v>
      </c>
      <c r="AD17" s="57" t="str">
        <f>Table323[[#This Row],[1st hour III Sem]]</f>
        <v xml:space="preserve"> </v>
      </c>
      <c r="AE17" s="55" t="str">
        <f>Table323[[#This Row],[2nd hour III Sem]]</f>
        <v xml:space="preserve"> </v>
      </c>
      <c r="AF17" s="55" t="str">
        <f>Table323[[#This Row],[3rd hour III Sem]]</f>
        <v xml:space="preserve"> </v>
      </c>
      <c r="AG17" s="58" t="str">
        <f>Table323[[#This Row],[4th hour III Sem]]</f>
        <v xml:space="preserve"> </v>
      </c>
      <c r="AH17" s="57" t="str">
        <f>Table323[[#This Row],[1st hour I Sem]]</f>
        <v xml:space="preserve"> </v>
      </c>
      <c r="AI17" s="55" t="str">
        <f>Table323[[#This Row],[2nd hour I Sem]]</f>
        <v xml:space="preserve"> </v>
      </c>
      <c r="AJ17" s="55" t="str">
        <f>Table323[[#This Row],[3rd hour I Sem]]</f>
        <v xml:space="preserve"> </v>
      </c>
      <c r="AK17" s="64" t="str">
        <f>Table323[[#This Row],[4th hour I Sem]]</f>
        <v xml:space="preserve"> </v>
      </c>
      <c r="AL17" s="56" t="str">
        <f>Table3235[[#This Row],[1st hour V sem]]</f>
        <v xml:space="preserve"> </v>
      </c>
      <c r="AM17" s="55" t="str">
        <f>Table3235[[#This Row],[2nd hour V sem]]</f>
        <v xml:space="preserve"> </v>
      </c>
      <c r="AN17" s="55" t="str">
        <f>Table3235[[#This Row],[3rd hour V sem]]</f>
        <v xml:space="preserve"> </v>
      </c>
      <c r="AO17" s="58" t="str">
        <f>Table3235[[#This Row],[4th hour V sem]]</f>
        <v xml:space="preserve"> </v>
      </c>
      <c r="AP17" s="57" t="str">
        <f>Table3235[[#This Row],[1st hour III Sem]]</f>
        <v xml:space="preserve"> </v>
      </c>
      <c r="AQ17" s="55" t="str">
        <f>Table3235[[#This Row],[2nd hour III Sem]]</f>
        <v xml:space="preserve"> </v>
      </c>
      <c r="AR17" s="55" t="str">
        <f>Table3235[[#This Row],[3rd hour III Sem]]</f>
        <v xml:space="preserve"> </v>
      </c>
      <c r="AS17" s="58" t="str">
        <f>Table3235[[#This Row],[4th hour III Sem]]</f>
        <v xml:space="preserve"> </v>
      </c>
      <c r="AT17" s="57" t="str">
        <f>Table3235[[#This Row],[1st hour I Sem]]</f>
        <v xml:space="preserve"> </v>
      </c>
      <c r="AU17" s="55" t="str">
        <f>Table3235[[#This Row],[2nd hour I Sem]]</f>
        <v xml:space="preserve"> </v>
      </c>
      <c r="AV17" s="55" t="str">
        <f>Table3235[[#This Row],[3rd hour I Sem]]</f>
        <v xml:space="preserve"> </v>
      </c>
      <c r="AW17" s="64" t="str">
        <f>Table3235[[#This Row],[4th hour I Sem]]</f>
        <v xml:space="preserve"> </v>
      </c>
      <c r="AX17" s="56" t="str">
        <f>Table32356[[#This Row],[1st hour V sem]]</f>
        <v xml:space="preserve"> </v>
      </c>
      <c r="AY17" s="55" t="str">
        <f>Table32356[[#This Row],[2nd hour V sem]]</f>
        <v xml:space="preserve"> </v>
      </c>
      <c r="AZ17" s="55" t="str">
        <f>Table32356[[#This Row],[3rd hour V sem]]</f>
        <v xml:space="preserve"> </v>
      </c>
      <c r="BA17" s="58" t="str">
        <f>Table32356[[#This Row],[4th hour V sem]]</f>
        <v xml:space="preserve"> </v>
      </c>
      <c r="BB17" s="57" t="str">
        <f>Table32356[[#This Row],[1st hour III Sem]]</f>
        <v xml:space="preserve"> </v>
      </c>
      <c r="BC17" s="55" t="str">
        <f>Table32356[[#This Row],[2nd hour III Sem]]</f>
        <v xml:space="preserve"> </v>
      </c>
      <c r="BD17" s="55" t="str">
        <f>Table32356[[#This Row],[3rd hour III Sem]]</f>
        <v xml:space="preserve"> </v>
      </c>
      <c r="BE17" s="58" t="str">
        <f>Table32356[[#This Row],[4th hour III Sem]]</f>
        <v xml:space="preserve"> </v>
      </c>
      <c r="BF17" s="57" t="str">
        <f>Table32356[[#This Row],[1st hour I Sem]]</f>
        <v xml:space="preserve"> </v>
      </c>
      <c r="BG17" s="55" t="str">
        <f>Table32356[[#This Row],[2nd hour I Sem]]</f>
        <v xml:space="preserve"> </v>
      </c>
      <c r="BH17" s="55" t="str">
        <f>Table32356[[#This Row],[3rd hour I Sem]]</f>
        <v xml:space="preserve"> </v>
      </c>
      <c r="BI17" s="64" t="str">
        <f>Table32356[[#This Row],[4th hour I Sem]]</f>
        <v xml:space="preserve"> </v>
      </c>
      <c r="BJ17" s="56" t="str">
        <f>Table323567[[#This Row],[1st hour V sem]]</f>
        <v xml:space="preserve"> </v>
      </c>
      <c r="BK17" s="55" t="str">
        <f>Table323567[[#This Row],[2nd hour V sem]]</f>
        <v xml:space="preserve"> </v>
      </c>
      <c r="BL17" s="55" t="str">
        <f>Table323567[[#This Row],[3rd hour V sem]]</f>
        <v xml:space="preserve"> </v>
      </c>
      <c r="BM17" s="58" t="str">
        <f>Table323567[[#This Row],[4th hour V sem]]</f>
        <v xml:space="preserve"> </v>
      </c>
      <c r="BN17" s="57" t="str">
        <f>Table323567[[#This Row],[1st hour III Sem]]</f>
        <v xml:space="preserve"> </v>
      </c>
      <c r="BO17" s="55" t="str">
        <f>Table323567[[#This Row],[2nd hour III Sem]]</f>
        <v xml:space="preserve"> </v>
      </c>
      <c r="BP17" s="55" t="str">
        <f>Table323567[[#This Row],[3rd hour III Sem]]</f>
        <v xml:space="preserve"> </v>
      </c>
      <c r="BQ17" s="58" t="str">
        <f>Table323567[[#This Row],[4th hour III Sem]]</f>
        <v xml:space="preserve"> </v>
      </c>
      <c r="BR17" s="57" t="str">
        <f>Table323567[[#This Row],[1st hour I Sem]]</f>
        <v xml:space="preserve"> </v>
      </c>
      <c r="BS17" s="55" t="str">
        <f>Table323567[[#This Row],[2nd hour I Sem]]</f>
        <v xml:space="preserve"> </v>
      </c>
      <c r="BT17" s="55" t="str">
        <f>Table323567[[#This Row],[3rd hour I Sem]]</f>
        <v xml:space="preserve"> </v>
      </c>
      <c r="BU17" s="64" t="str">
        <f>Table323567[[#This Row],[Column1]]</f>
        <v xml:space="preserve"> </v>
      </c>
    </row>
    <row r="18" spans="1:73" s="54" customFormat="1" x14ac:dyDescent="0.35">
      <c r="A18" s="165" t="str">
        <f>Mon!U18</f>
        <v>(JAY)</v>
      </c>
      <c r="B18" s="56" t="str">
        <f>Table3[[#This Row],[1st hour V sem]]</f>
        <v xml:space="preserve"> </v>
      </c>
      <c r="C18" s="55" t="str">
        <f>Table3[[#This Row],[2nd hour V sem]]</f>
        <v xml:space="preserve"> </v>
      </c>
      <c r="D18" s="55" t="str">
        <f>Table3[[#This Row],[3rd hour V sem]]</f>
        <v xml:space="preserve"> </v>
      </c>
      <c r="E18" s="58" t="str">
        <f>Table3[[#This Row],[4th hour V sem]]</f>
        <v xml:space="preserve"> </v>
      </c>
      <c r="F18" s="57" t="str">
        <f>Table3[[#This Row],[1st hour III Sem]]</f>
        <v xml:space="preserve"> </v>
      </c>
      <c r="G18" s="55" t="str">
        <f>Table3[[#This Row],[2nd hour III Sem]]</f>
        <v xml:space="preserve"> </v>
      </c>
      <c r="H18" s="55" t="str">
        <f>Table3[[#This Row],[3rd hour III Sem]]</f>
        <v xml:space="preserve"> </v>
      </c>
      <c r="I18" s="58" t="str">
        <f>Table3[[#This Row],[4th hour III Sem]]</f>
        <v xml:space="preserve"> </v>
      </c>
      <c r="J18" s="57" t="str">
        <f>Table3[[#This Row],[1st hour I Sem]]</f>
        <v>BT (I)</v>
      </c>
      <c r="K18" s="55" t="str">
        <f>Table3[[#This Row],[2nd hour I Sem]]</f>
        <v>BT (N)</v>
      </c>
      <c r="L18" s="55" t="str">
        <f>Table3[[#This Row],[3rd hour I Sem]]</f>
        <v>BT (E)</v>
      </c>
      <c r="M18" s="55" t="str">
        <f>Table3[[#This Row],[4th hour I Sem]]</f>
        <v xml:space="preserve"> </v>
      </c>
      <c r="N18" s="56" t="str">
        <f>Table32[[#This Row],[1st hour V sem]]</f>
        <v xml:space="preserve"> </v>
      </c>
      <c r="O18" s="55" t="str">
        <f>Table32[[#This Row],[2nd hour V sem]]</f>
        <v xml:space="preserve"> </v>
      </c>
      <c r="P18" s="55" t="str">
        <f>Table32[[#This Row],[3rd hour V sem]]</f>
        <v xml:space="preserve"> </v>
      </c>
      <c r="Q18" s="73" t="str">
        <f>Table32[[#This Row],[4th hour V sem]]</f>
        <v xml:space="preserve"> </v>
      </c>
      <c r="R18" s="57" t="str">
        <f>Table32[[#This Row],[1st hour III Sem]]</f>
        <v xml:space="preserve"> </v>
      </c>
      <c r="S18" s="55" t="str">
        <f>Table32[[#This Row],[2nd hour III Sem]]</f>
        <v xml:space="preserve"> </v>
      </c>
      <c r="T18" s="55" t="str">
        <f>Table32[[#This Row],[3rd hour III Sem]]</f>
        <v xml:space="preserve"> </v>
      </c>
      <c r="U18" s="58" t="str">
        <f>Table32[[#This Row],[4th hour III Sem]]</f>
        <v xml:space="preserve"> </v>
      </c>
      <c r="V18" s="74" t="str">
        <f>Table32[[#This Row],[1st hour I Sem]]</f>
        <v>BT (E)</v>
      </c>
      <c r="W18" s="55" t="str">
        <f>Table32[[#This Row],[2nd hour I Sem]]</f>
        <v>BT (D)</v>
      </c>
      <c r="X18" s="55" t="str">
        <f>Table32[[#This Row],[3rd hour I Sem]]</f>
        <v>BT (I)</v>
      </c>
      <c r="Y18" s="64" t="str">
        <f>Table32[[#This Row],[4th hour I Sem]]</f>
        <v>BT (N)</v>
      </c>
      <c r="Z18" s="56" t="str">
        <f>Table323[[#This Row],[1st hour V sem]]</f>
        <v xml:space="preserve"> </v>
      </c>
      <c r="AA18" s="55" t="str">
        <f>Table323[[#This Row],[2nd hour V sem]]</f>
        <v xml:space="preserve"> </v>
      </c>
      <c r="AB18" s="55" t="str">
        <f>Table323[[#This Row],[3rd hour V sem]]</f>
        <v xml:space="preserve"> </v>
      </c>
      <c r="AC18" s="58" t="str">
        <f>Table323[[#This Row],[4th hour V sem]]</f>
        <v xml:space="preserve"> </v>
      </c>
      <c r="AD18" s="57" t="str">
        <f>Table323[[#This Row],[1st hour III Sem]]</f>
        <v xml:space="preserve"> </v>
      </c>
      <c r="AE18" s="55" t="str">
        <f>Table323[[#This Row],[2nd hour III Sem]]</f>
        <v xml:space="preserve"> </v>
      </c>
      <c r="AF18" s="55" t="str">
        <f>Table323[[#This Row],[3rd hour III Sem]]</f>
        <v xml:space="preserve"> </v>
      </c>
      <c r="AG18" s="58" t="str">
        <f>Table323[[#This Row],[4th hour III Sem]]</f>
        <v xml:space="preserve"> </v>
      </c>
      <c r="AH18" s="57" t="str">
        <f>Table323[[#This Row],[1st hour I Sem]]</f>
        <v>BT (D)</v>
      </c>
      <c r="AI18" s="55" t="str">
        <f>Table323[[#This Row],[2nd hour I Sem]]</f>
        <v>BT (F)</v>
      </c>
      <c r="AJ18" s="55" t="str">
        <f>Table323[[#This Row],[3rd hour I Sem]]</f>
        <v xml:space="preserve"> </v>
      </c>
      <c r="AK18" s="64" t="str">
        <f>Table323[[#This Row],[4th hour I Sem]]</f>
        <v>BM (C)</v>
      </c>
      <c r="AL18" s="56" t="str">
        <f>Table3235[[#This Row],[1st hour V sem]]</f>
        <v xml:space="preserve"> </v>
      </c>
      <c r="AM18" s="55" t="str">
        <f>Table3235[[#This Row],[2nd hour V sem]]</f>
        <v xml:space="preserve"> </v>
      </c>
      <c r="AN18" s="55" t="str">
        <f>Table3235[[#This Row],[3rd hour V sem]]</f>
        <v xml:space="preserve"> </v>
      </c>
      <c r="AO18" s="58" t="str">
        <f>Table3235[[#This Row],[4th hour V sem]]</f>
        <v xml:space="preserve"> </v>
      </c>
      <c r="AP18" s="57" t="str">
        <f>Table3235[[#This Row],[1st hour III Sem]]</f>
        <v xml:space="preserve"> </v>
      </c>
      <c r="AQ18" s="55" t="str">
        <f>Table3235[[#This Row],[2nd hour III Sem]]</f>
        <v xml:space="preserve"> </v>
      </c>
      <c r="AR18" s="55" t="str">
        <f>Table3235[[#This Row],[3rd hour III Sem]]</f>
        <v xml:space="preserve"> </v>
      </c>
      <c r="AS18" s="58" t="str">
        <f>Table3235[[#This Row],[4th hour III Sem]]</f>
        <v xml:space="preserve"> </v>
      </c>
      <c r="AT18" s="57" t="str">
        <f>Table3235[[#This Row],[1st hour I Sem]]</f>
        <v xml:space="preserve"> </v>
      </c>
      <c r="AU18" s="55" t="str">
        <f>Table3235[[#This Row],[2nd hour I Sem]]</f>
        <v xml:space="preserve"> </v>
      </c>
      <c r="AV18" s="55" t="str">
        <f>Table3235[[#This Row],[3rd hour I Sem]]</f>
        <v>BM (C)</v>
      </c>
      <c r="AW18" s="64" t="str">
        <f>Table3235[[#This Row],[4th hour I Sem]]</f>
        <v>BT (F)</v>
      </c>
      <c r="AX18" s="56" t="str">
        <f>Table32356[[#This Row],[1st hour V sem]]</f>
        <v xml:space="preserve"> </v>
      </c>
      <c r="AY18" s="55" t="str">
        <f>Table32356[[#This Row],[2nd hour V sem]]</f>
        <v xml:space="preserve"> </v>
      </c>
      <c r="AZ18" s="55" t="str">
        <f>Table32356[[#This Row],[3rd hour V sem]]</f>
        <v xml:space="preserve"> </v>
      </c>
      <c r="BA18" s="58" t="str">
        <f>Table32356[[#This Row],[4th hour V sem]]</f>
        <v xml:space="preserve"> </v>
      </c>
      <c r="BB18" s="57" t="str">
        <f>Table32356[[#This Row],[1st hour III Sem]]</f>
        <v xml:space="preserve"> </v>
      </c>
      <c r="BC18" s="55" t="str">
        <f>Table32356[[#This Row],[2nd hour III Sem]]</f>
        <v xml:space="preserve"> </v>
      </c>
      <c r="BD18" s="55" t="str">
        <f>Table32356[[#This Row],[3rd hour III Sem]]</f>
        <v xml:space="preserve"> </v>
      </c>
      <c r="BE18" s="58" t="str">
        <f>Table32356[[#This Row],[4th hour III Sem]]</f>
        <v xml:space="preserve"> </v>
      </c>
      <c r="BF18" s="57" t="str">
        <f>Table32356[[#This Row],[1st hour I Sem]]</f>
        <v>BT (N)</v>
      </c>
      <c r="BG18" s="55" t="str">
        <f>Table32356[[#This Row],[2nd hour I Sem]]</f>
        <v>BM (C)</v>
      </c>
      <c r="BH18" s="55" t="str">
        <f>Table32356[[#This Row],[3rd hour I Sem]]</f>
        <v>BT (E)</v>
      </c>
      <c r="BI18" s="64" t="str">
        <f>Table32356[[#This Row],[4th hour I Sem]]</f>
        <v>BT (D)</v>
      </c>
      <c r="BJ18" s="56" t="str">
        <f>Table323567[[#This Row],[1st hour V sem]]</f>
        <v xml:space="preserve"> </v>
      </c>
      <c r="BK18" s="55" t="str">
        <f>Table323567[[#This Row],[2nd hour V sem]]</f>
        <v xml:space="preserve"> </v>
      </c>
      <c r="BL18" s="55" t="str">
        <f>Table323567[[#This Row],[3rd hour V sem]]</f>
        <v xml:space="preserve"> </v>
      </c>
      <c r="BM18" s="58" t="str">
        <f>Table323567[[#This Row],[4th hour V sem]]</f>
        <v xml:space="preserve"> </v>
      </c>
      <c r="BN18" s="57" t="str">
        <f>Table323567[[#This Row],[1st hour III Sem]]</f>
        <v xml:space="preserve"> </v>
      </c>
      <c r="BO18" s="55" t="str">
        <f>Table323567[[#This Row],[2nd hour III Sem]]</f>
        <v xml:space="preserve"> </v>
      </c>
      <c r="BP18" s="55" t="str">
        <f>Table323567[[#This Row],[3rd hour III Sem]]</f>
        <v xml:space="preserve"> </v>
      </c>
      <c r="BQ18" s="58" t="str">
        <f>Table323567[[#This Row],[4th hour III Sem]]</f>
        <v xml:space="preserve"> </v>
      </c>
      <c r="BR18" s="57" t="str">
        <f>Table323567[[#This Row],[1st hour I Sem]]</f>
        <v xml:space="preserve"> </v>
      </c>
      <c r="BS18" s="55" t="str">
        <f>Table323567[[#This Row],[2nd hour I Sem]]</f>
        <v>BT (I)</v>
      </c>
      <c r="BT18" s="55" t="str">
        <f>Table323567[[#This Row],[3rd hour I Sem]]</f>
        <v xml:space="preserve"> </v>
      </c>
      <c r="BU18" s="64" t="str">
        <f>Table323567[[#This Row],[Column1]]</f>
        <v xml:space="preserve"> </v>
      </c>
    </row>
    <row r="19" spans="1:73" s="54" customFormat="1" x14ac:dyDescent="0.35">
      <c r="A19" s="165" t="str">
        <f>Mon!U19</f>
        <v>(KM)</v>
      </c>
      <c r="B19" s="56" t="str">
        <f>Table3[[#This Row],[1st hour V sem]]</f>
        <v xml:space="preserve"> </v>
      </c>
      <c r="C19" s="55" t="str">
        <f>Table3[[#This Row],[2nd hour V sem]]</f>
        <v>CB (J)</v>
      </c>
      <c r="D19" s="55" t="str">
        <f>Table3[[#This Row],[3rd hour V sem]]</f>
        <v xml:space="preserve"> </v>
      </c>
      <c r="E19" s="58" t="str">
        <f>Table3[[#This Row],[4th hour V sem]]</f>
        <v>CB (G)</v>
      </c>
      <c r="F19" s="57" t="str">
        <f>Table3[[#This Row],[1st hour III Sem]]</f>
        <v>MM</v>
      </c>
      <c r="G19" s="55" t="str">
        <f>Table3[[#This Row],[2nd hour III Sem]]</f>
        <v xml:space="preserve"> </v>
      </c>
      <c r="H19" s="55" t="str">
        <f>Table3[[#This Row],[3rd hour III Sem]]</f>
        <v>MM (N)</v>
      </c>
      <c r="I19" s="58" t="str">
        <f>Table3[[#This Row],[4th hour III Sem]]</f>
        <v xml:space="preserve"> </v>
      </c>
      <c r="J19" s="57" t="str">
        <f>Table3[[#This Row],[1st hour I Sem]]</f>
        <v xml:space="preserve"> </v>
      </c>
      <c r="K19" s="55" t="str">
        <f>Table3[[#This Row],[2nd hour I Sem]]</f>
        <v xml:space="preserve"> </v>
      </c>
      <c r="L19" s="55" t="str">
        <f>Table3[[#This Row],[3rd hour I Sem]]</f>
        <v xml:space="preserve"> </v>
      </c>
      <c r="M19" s="55" t="str">
        <f>Table3[[#This Row],[4th hour I Sem]]</f>
        <v xml:space="preserve"> </v>
      </c>
      <c r="N19" s="56" t="str">
        <f>Table32[[#This Row],[1st hour V sem]]</f>
        <v>IB (B)</v>
      </c>
      <c r="O19" s="55" t="str">
        <f>Table32[[#This Row],[2nd hour V sem]]</f>
        <v>CB (J)</v>
      </c>
      <c r="P19" s="55" t="str">
        <f>Table32[[#This Row],[3rd hour V sem]]</f>
        <v xml:space="preserve"> </v>
      </c>
      <c r="Q19" s="73" t="str">
        <f>Table32[[#This Row],[4th hour V sem]]</f>
        <v>CB (I)</v>
      </c>
      <c r="R19" s="57" t="str">
        <f>Table32[[#This Row],[1st hour III Sem]]</f>
        <v xml:space="preserve"> </v>
      </c>
      <c r="S19" s="55" t="str">
        <f>Table32[[#This Row],[2nd hour III Sem]]</f>
        <v xml:space="preserve"> </v>
      </c>
      <c r="T19" s="55" t="str">
        <f>Table32[[#This Row],[3rd hour III Sem]]</f>
        <v xml:space="preserve"> </v>
      </c>
      <c r="U19" s="58" t="str">
        <f>Table32[[#This Row],[4th hour III Sem]]</f>
        <v xml:space="preserve"> </v>
      </c>
      <c r="V19" s="74" t="str">
        <f>Table32[[#This Row],[1st hour I Sem]]</f>
        <v xml:space="preserve"> </v>
      </c>
      <c r="W19" s="55" t="str">
        <f>Table32[[#This Row],[2nd hour I Sem]]</f>
        <v xml:space="preserve"> </v>
      </c>
      <c r="X19" s="55" t="str">
        <f>Table32[[#This Row],[3rd hour I Sem]]</f>
        <v xml:space="preserve"> </v>
      </c>
      <c r="Y19" s="64" t="str">
        <f>Table32[[#This Row],[4th hour I Sem]]</f>
        <v xml:space="preserve"> </v>
      </c>
      <c r="Z19" s="56" t="str">
        <f>Table323[[#This Row],[1st hour V sem]]</f>
        <v xml:space="preserve"> </v>
      </c>
      <c r="AA19" s="55" t="str">
        <f>Table323[[#This Row],[2nd hour V sem]]</f>
        <v xml:space="preserve"> </v>
      </c>
      <c r="AB19" s="55" t="str">
        <f>Table323[[#This Row],[3rd hour V sem]]</f>
        <v xml:space="preserve"> </v>
      </c>
      <c r="AC19" s="58" t="str">
        <f>Table323[[#This Row],[4th hour V sem]]</f>
        <v>CB (I)</v>
      </c>
      <c r="AD19" s="57" t="str">
        <f>Table323[[#This Row],[1st hour III Sem]]</f>
        <v>MM (N)</v>
      </c>
      <c r="AE19" s="55" t="str">
        <f>Table323[[#This Row],[2nd hour III Sem]]</f>
        <v xml:space="preserve"> </v>
      </c>
      <c r="AF19" s="55" t="str">
        <f>Table323[[#This Row],[3rd hour III Sem]]</f>
        <v>MM (A)</v>
      </c>
      <c r="AG19" s="58" t="str">
        <f>Table323[[#This Row],[4th hour III Sem]]</f>
        <v xml:space="preserve"> </v>
      </c>
      <c r="AH19" s="57" t="str">
        <f>Table323[[#This Row],[1st hour I Sem]]</f>
        <v xml:space="preserve"> </v>
      </c>
      <c r="AI19" s="55" t="str">
        <f>Table323[[#This Row],[2nd hour I Sem]]</f>
        <v xml:space="preserve"> </v>
      </c>
      <c r="AJ19" s="55" t="str">
        <f>Table323[[#This Row],[3rd hour I Sem]]</f>
        <v xml:space="preserve"> </v>
      </c>
      <c r="AK19" s="64" t="str">
        <f>Table323[[#This Row],[4th hour I Sem]]</f>
        <v xml:space="preserve"> </v>
      </c>
      <c r="AL19" s="56" t="str">
        <f>Table3235[[#This Row],[1st hour V sem]]</f>
        <v xml:space="preserve"> </v>
      </c>
      <c r="AM19" s="55" t="str">
        <f>Table3235[[#This Row],[2nd hour V sem]]</f>
        <v xml:space="preserve"> </v>
      </c>
      <c r="AN19" s="55" t="str">
        <f>Table3235[[#This Row],[3rd hour V sem]]</f>
        <v>IB (B)</v>
      </c>
      <c r="AO19" s="58" t="str">
        <f>Table3235[[#This Row],[4th hour V sem]]</f>
        <v xml:space="preserve"> </v>
      </c>
      <c r="AP19" s="57" t="str">
        <f>Table3235[[#This Row],[1st hour III Sem]]</f>
        <v>MM</v>
      </c>
      <c r="AQ19" s="55" t="str">
        <f>Table3235[[#This Row],[2nd hour III Sem]]</f>
        <v>MM (N)</v>
      </c>
      <c r="AR19" s="55" t="str">
        <f>Table3235[[#This Row],[3rd hour III Sem]]</f>
        <v xml:space="preserve"> </v>
      </c>
      <c r="AS19" s="58" t="str">
        <f>Table3235[[#This Row],[4th hour III Sem]]</f>
        <v xml:space="preserve"> </v>
      </c>
      <c r="AT19" s="57" t="str">
        <f>Table3235[[#This Row],[1st hour I Sem]]</f>
        <v xml:space="preserve"> </v>
      </c>
      <c r="AU19" s="55" t="str">
        <f>Table3235[[#This Row],[2nd hour I Sem]]</f>
        <v xml:space="preserve"> </v>
      </c>
      <c r="AV19" s="55" t="str">
        <f>Table3235[[#This Row],[3rd hour I Sem]]</f>
        <v xml:space="preserve"> </v>
      </c>
      <c r="AW19" s="64" t="str">
        <f>Table3235[[#This Row],[4th hour I Sem]]</f>
        <v xml:space="preserve"> </v>
      </c>
      <c r="AX19" s="56" t="str">
        <f>Table32356[[#This Row],[1st hour V sem]]</f>
        <v>CB (J)</v>
      </c>
      <c r="AY19" s="55" t="str">
        <f>Table32356[[#This Row],[2nd hour V sem]]</f>
        <v>IB (B)</v>
      </c>
      <c r="AZ19" s="55" t="str">
        <f>Table32356[[#This Row],[3rd hour V sem]]</f>
        <v xml:space="preserve"> </v>
      </c>
      <c r="BA19" s="58" t="str">
        <f>Table32356[[#This Row],[4th hour V sem]]</f>
        <v>CB (G)</v>
      </c>
      <c r="BB19" s="57" t="str">
        <f>Table32356[[#This Row],[1st hour III Sem]]</f>
        <v xml:space="preserve"> </v>
      </c>
      <c r="BC19" s="55" t="str">
        <f>Table32356[[#This Row],[2nd hour III Sem]]</f>
        <v xml:space="preserve"> </v>
      </c>
      <c r="BD19" s="55" t="str">
        <f>Table32356[[#This Row],[3rd hour III Sem]]</f>
        <v xml:space="preserve"> </v>
      </c>
      <c r="BE19" s="58" t="str">
        <f>Table32356[[#This Row],[4th hour III Sem]]</f>
        <v xml:space="preserve"> </v>
      </c>
      <c r="BF19" s="57" t="str">
        <f>Table32356[[#This Row],[1st hour I Sem]]</f>
        <v xml:space="preserve"> </v>
      </c>
      <c r="BG19" s="55" t="str">
        <f>Table32356[[#This Row],[2nd hour I Sem]]</f>
        <v xml:space="preserve"> </v>
      </c>
      <c r="BH19" s="55" t="str">
        <f>Table32356[[#This Row],[3rd hour I Sem]]</f>
        <v xml:space="preserve"> </v>
      </c>
      <c r="BI19" s="64" t="str">
        <f>Table32356[[#This Row],[4th hour I Sem]]</f>
        <v xml:space="preserve"> </v>
      </c>
      <c r="BJ19" s="56" t="str">
        <f>Table323567[[#This Row],[1st hour V sem]]</f>
        <v>CB (I)</v>
      </c>
      <c r="BK19" s="55" t="str">
        <f>Table323567[[#This Row],[2nd hour V sem]]</f>
        <v>CB (G)</v>
      </c>
      <c r="BL19" s="55" t="str">
        <f>Table323567[[#This Row],[3rd hour V sem]]</f>
        <v xml:space="preserve"> </v>
      </c>
      <c r="BM19" s="58" t="str">
        <f>Table323567[[#This Row],[4th hour V sem]]</f>
        <v xml:space="preserve"> </v>
      </c>
      <c r="BN19" s="57" t="str">
        <f>Table323567[[#This Row],[1st hour III Sem]]</f>
        <v xml:space="preserve"> </v>
      </c>
      <c r="BO19" s="55" t="str">
        <f>Table323567[[#This Row],[2nd hour III Sem]]</f>
        <v xml:space="preserve"> </v>
      </c>
      <c r="BP19" s="55" t="str">
        <f>Table323567[[#This Row],[3rd hour III Sem]]</f>
        <v xml:space="preserve"> </v>
      </c>
      <c r="BQ19" s="58" t="str">
        <f>Table323567[[#This Row],[4th hour III Sem]]</f>
        <v xml:space="preserve"> </v>
      </c>
      <c r="BR19" s="57" t="str">
        <f>Table323567[[#This Row],[1st hour I Sem]]</f>
        <v xml:space="preserve"> </v>
      </c>
      <c r="BS19" s="55" t="str">
        <f>Table323567[[#This Row],[2nd hour I Sem]]</f>
        <v xml:space="preserve"> </v>
      </c>
      <c r="BT19" s="55" t="str">
        <f>Table323567[[#This Row],[3rd hour I Sem]]</f>
        <v xml:space="preserve"> </v>
      </c>
      <c r="BU19" s="64" t="str">
        <f>Table323567[[#This Row],[Column1]]</f>
        <v xml:space="preserve"> </v>
      </c>
    </row>
    <row r="20" spans="1:73" s="54" customFormat="1" x14ac:dyDescent="0.35">
      <c r="A20" s="165" t="str">
        <f>Mon!U20</f>
        <v>(KR)</v>
      </c>
      <c r="B20" s="56" t="str">
        <f>Table3[[#This Row],[1st hour V sem]]</f>
        <v>MA (A)</v>
      </c>
      <c r="C20" s="55" t="str">
        <f>Table3[[#This Row],[2nd hour V sem]]</f>
        <v>MA (E)</v>
      </c>
      <c r="D20" s="55" t="str">
        <f>Table3[[#This Row],[3rd hour V sem]]</f>
        <v xml:space="preserve"> </v>
      </c>
      <c r="E20" s="58" t="str">
        <f>Table3[[#This Row],[4th hour V sem]]</f>
        <v xml:space="preserve"> </v>
      </c>
      <c r="F20" s="57" t="str">
        <f>Table3[[#This Row],[1st hour III Sem]]</f>
        <v xml:space="preserve"> </v>
      </c>
      <c r="G20" s="55" t="str">
        <f>Table3[[#This Row],[2nd hour III Sem]]</f>
        <v xml:space="preserve"> </v>
      </c>
      <c r="H20" s="55" t="str">
        <f>Table3[[#This Row],[3rd hour III Sem]]</f>
        <v xml:space="preserve"> </v>
      </c>
      <c r="I20" s="58" t="str">
        <f>Table3[[#This Row],[4th hour III Sem]]</f>
        <v>CA (G)</v>
      </c>
      <c r="J20" s="57" t="str">
        <f>Table3[[#This Row],[1st hour I Sem]]</f>
        <v xml:space="preserve"> </v>
      </c>
      <c r="K20" s="55" t="str">
        <f>Table3[[#This Row],[2nd hour I Sem]]</f>
        <v xml:space="preserve"> </v>
      </c>
      <c r="L20" s="55" t="str">
        <f>Table3[[#This Row],[3rd hour I Sem]]</f>
        <v xml:space="preserve"> </v>
      </c>
      <c r="M20" s="55" t="str">
        <f>Table3[[#This Row],[4th hour I Sem]]</f>
        <v xml:space="preserve"> </v>
      </c>
      <c r="N20" s="56" t="str">
        <f>Table32[[#This Row],[1st hour V sem]]</f>
        <v>MA (E)</v>
      </c>
      <c r="O20" s="55" t="str">
        <f>Table32[[#This Row],[2nd hour V sem]]</f>
        <v xml:space="preserve"> </v>
      </c>
      <c r="P20" s="55" t="str">
        <f>Table32[[#This Row],[3rd hour V sem]]</f>
        <v xml:space="preserve"> </v>
      </c>
      <c r="Q20" s="73" t="str">
        <f>Table32[[#This Row],[4th hour V sem]]</f>
        <v>MA (H)</v>
      </c>
      <c r="R20" s="57" t="str">
        <f>Table32[[#This Row],[1st hour III Sem]]</f>
        <v xml:space="preserve"> </v>
      </c>
      <c r="S20" s="55" t="str">
        <f>Table32[[#This Row],[2nd hour III Sem]]</f>
        <v xml:space="preserve"> </v>
      </c>
      <c r="T20" s="55" t="str">
        <f>Table32[[#This Row],[3rd hour III Sem]]</f>
        <v xml:space="preserve"> </v>
      </c>
      <c r="U20" s="58" t="str">
        <f>Table32[[#This Row],[4th hour III Sem]]</f>
        <v xml:space="preserve"> </v>
      </c>
      <c r="V20" s="74" t="str">
        <f>Table32[[#This Row],[1st hour I Sem]]</f>
        <v xml:space="preserve"> </v>
      </c>
      <c r="W20" s="55" t="str">
        <f>Table32[[#This Row],[2nd hour I Sem]]</f>
        <v xml:space="preserve"> </v>
      </c>
      <c r="X20" s="55" t="str">
        <f>Table32[[#This Row],[3rd hour I Sem]]</f>
        <v xml:space="preserve"> </v>
      </c>
      <c r="Y20" s="64" t="str">
        <f>Table32[[#This Row],[4th hour I Sem]]</f>
        <v xml:space="preserve"> </v>
      </c>
      <c r="Z20" s="56" t="str">
        <f>Table323[[#This Row],[1st hour V sem]]</f>
        <v>MA (E)</v>
      </c>
      <c r="AA20" s="55" t="str">
        <f>Table323[[#This Row],[2nd hour V sem]]</f>
        <v xml:space="preserve"> </v>
      </c>
      <c r="AB20" s="55" t="str">
        <f>Table323[[#This Row],[3rd hour V sem]]</f>
        <v xml:space="preserve"> </v>
      </c>
      <c r="AC20" s="58" t="str">
        <f>Table323[[#This Row],[4th hour V sem]]</f>
        <v>MA (A)</v>
      </c>
      <c r="AD20" s="57" t="str">
        <f>Table323[[#This Row],[1st hour III Sem]]</f>
        <v xml:space="preserve"> </v>
      </c>
      <c r="AE20" s="55" t="str">
        <f>Table323[[#This Row],[2nd hour III Sem]]</f>
        <v xml:space="preserve"> </v>
      </c>
      <c r="AF20" s="55" t="str">
        <f>Table323[[#This Row],[3rd hour III Sem]]</f>
        <v>CA (G)</v>
      </c>
      <c r="AG20" s="58" t="str">
        <f>Table323[[#This Row],[4th hour III Sem]]</f>
        <v xml:space="preserve"> </v>
      </c>
      <c r="AH20" s="57" t="str">
        <f>Table323[[#This Row],[1st hour I Sem]]</f>
        <v xml:space="preserve"> </v>
      </c>
      <c r="AI20" s="55" t="str">
        <f>Table323[[#This Row],[2nd hour I Sem]]</f>
        <v xml:space="preserve"> </v>
      </c>
      <c r="AJ20" s="55" t="str">
        <f>Table323[[#This Row],[3rd hour I Sem]]</f>
        <v xml:space="preserve"> </v>
      </c>
      <c r="AK20" s="64" t="str">
        <f>Table323[[#This Row],[4th hour I Sem]]</f>
        <v xml:space="preserve"> </v>
      </c>
      <c r="AL20" s="56" t="str">
        <f>Table3235[[#This Row],[1st hour V sem]]</f>
        <v>MA (H)</v>
      </c>
      <c r="AM20" s="55" t="str">
        <f>Table3235[[#This Row],[2nd hour V sem]]</f>
        <v xml:space="preserve"> </v>
      </c>
      <c r="AN20" s="55" t="str">
        <f>Table3235[[#This Row],[3rd hour V sem]]</f>
        <v xml:space="preserve"> </v>
      </c>
      <c r="AO20" s="58" t="str">
        <f>Table3235[[#This Row],[4th hour V sem]]</f>
        <v>MA (E)</v>
      </c>
      <c r="AP20" s="57" t="str">
        <f>Table3235[[#This Row],[1st hour III Sem]]</f>
        <v xml:space="preserve"> </v>
      </c>
      <c r="AQ20" s="55" t="str">
        <f>Table3235[[#This Row],[2nd hour III Sem]]</f>
        <v xml:space="preserve"> </v>
      </c>
      <c r="AR20" s="55" t="str">
        <f>Table3235[[#This Row],[3rd hour III Sem]]</f>
        <v xml:space="preserve"> </v>
      </c>
      <c r="AS20" s="58" t="str">
        <f>Table3235[[#This Row],[4th hour III Sem]]</f>
        <v xml:space="preserve"> </v>
      </c>
      <c r="AT20" s="57" t="str">
        <f>Table3235[[#This Row],[1st hour I Sem]]</f>
        <v xml:space="preserve"> </v>
      </c>
      <c r="AU20" s="55" t="str">
        <f>Table3235[[#This Row],[2nd hour I Sem]]</f>
        <v xml:space="preserve"> </v>
      </c>
      <c r="AV20" s="55" t="str">
        <f>Table3235[[#This Row],[3rd hour I Sem]]</f>
        <v xml:space="preserve"> </v>
      </c>
      <c r="AW20" s="64" t="str">
        <f>Table3235[[#This Row],[4th hour I Sem]]</f>
        <v xml:space="preserve"> </v>
      </c>
      <c r="AX20" s="56" t="str">
        <f>Table32356[[#This Row],[1st hour V sem]]</f>
        <v>MA (A)</v>
      </c>
      <c r="AY20" s="55" t="str">
        <f>Table32356[[#This Row],[2nd hour V sem]]</f>
        <v xml:space="preserve"> </v>
      </c>
      <c r="AZ20" s="55" t="str">
        <f>Table32356[[#This Row],[3rd hour V sem]]</f>
        <v xml:space="preserve"> </v>
      </c>
      <c r="BA20" s="58" t="str">
        <f>Table32356[[#This Row],[4th hour V sem]]</f>
        <v xml:space="preserve"> </v>
      </c>
      <c r="BB20" s="57" t="str">
        <f>Table32356[[#This Row],[1st hour III Sem]]</f>
        <v xml:space="preserve"> </v>
      </c>
      <c r="BC20" s="55" t="str">
        <f>Table32356[[#This Row],[2nd hour III Sem]]</f>
        <v xml:space="preserve"> </v>
      </c>
      <c r="BD20" s="55" t="str">
        <f>Table32356[[#This Row],[3rd hour III Sem]]</f>
        <v xml:space="preserve"> </v>
      </c>
      <c r="BE20" s="58" t="str">
        <f>Table32356[[#This Row],[4th hour III Sem]]</f>
        <v>CA (G)</v>
      </c>
      <c r="BF20" s="57" t="str">
        <f>Table32356[[#This Row],[1st hour I Sem]]</f>
        <v xml:space="preserve"> </v>
      </c>
      <c r="BG20" s="55" t="str">
        <f>Table32356[[#This Row],[2nd hour I Sem]]</f>
        <v xml:space="preserve"> </v>
      </c>
      <c r="BH20" s="55" t="str">
        <f>Table32356[[#This Row],[3rd hour I Sem]]</f>
        <v xml:space="preserve"> </v>
      </c>
      <c r="BI20" s="64" t="str">
        <f>Table32356[[#This Row],[4th hour I Sem]]</f>
        <v xml:space="preserve"> </v>
      </c>
      <c r="BJ20" s="56" t="str">
        <f>Table323567[[#This Row],[1st hour V sem]]</f>
        <v xml:space="preserve"> </v>
      </c>
      <c r="BK20" s="55" t="str">
        <f>Table323567[[#This Row],[2nd hour V sem]]</f>
        <v>MA (A)</v>
      </c>
      <c r="BL20" s="55" t="str">
        <f>Table323567[[#This Row],[3rd hour V sem]]</f>
        <v xml:space="preserve"> </v>
      </c>
      <c r="BM20" s="58" t="str">
        <f>Table323567[[#This Row],[4th hour V sem]]</f>
        <v xml:space="preserve"> </v>
      </c>
      <c r="BN20" s="57" t="str">
        <f>Table323567[[#This Row],[1st hour III Sem]]</f>
        <v xml:space="preserve"> </v>
      </c>
      <c r="BO20" s="55" t="str">
        <f>Table323567[[#This Row],[2nd hour III Sem]]</f>
        <v xml:space="preserve"> </v>
      </c>
      <c r="BP20" s="55" t="str">
        <f>Table323567[[#This Row],[3rd hour III Sem]]</f>
        <v>CA (G)</v>
      </c>
      <c r="BQ20" s="58" t="str">
        <f>Table323567[[#This Row],[4th hour III Sem]]</f>
        <v xml:space="preserve"> </v>
      </c>
      <c r="BR20" s="57" t="str">
        <f>Table323567[[#This Row],[1st hour I Sem]]</f>
        <v xml:space="preserve"> </v>
      </c>
      <c r="BS20" s="55" t="str">
        <f>Table323567[[#This Row],[2nd hour I Sem]]</f>
        <v xml:space="preserve"> </v>
      </c>
      <c r="BT20" s="55" t="str">
        <f>Table323567[[#This Row],[3rd hour I Sem]]</f>
        <v xml:space="preserve"> </v>
      </c>
      <c r="BU20" s="64" t="s">
        <v>526</v>
      </c>
    </row>
    <row r="21" spans="1:73" s="54" customFormat="1" x14ac:dyDescent="0.35">
      <c r="A21" s="165" t="str">
        <f>Mon!U21</f>
        <v>(LK)</v>
      </c>
      <c r="B21" s="56" t="str">
        <f>Table3[[#This Row],[1st hour V sem]]</f>
        <v>RM (J)</v>
      </c>
      <c r="C21" s="55" t="str">
        <f>Table3[[#This Row],[2nd hour V sem]]</f>
        <v>MIP (H)</v>
      </c>
      <c r="D21" s="55" t="str">
        <f>Table3[[#This Row],[3rd hour V sem]]</f>
        <v>MIP (I)</v>
      </c>
      <c r="E21" s="58" t="str">
        <f>Table3[[#This Row],[4th hour V sem]]</f>
        <v xml:space="preserve"> </v>
      </c>
      <c r="F21" s="57" t="str">
        <f>Table3[[#This Row],[1st hour III Sem]]</f>
        <v xml:space="preserve"> </v>
      </c>
      <c r="G21" s="55" t="str">
        <f>Table3[[#This Row],[2nd hour III Sem]]</f>
        <v xml:space="preserve"> </v>
      </c>
      <c r="H21" s="55" t="str">
        <f>Table3[[#This Row],[3rd hour III Sem]]</f>
        <v xml:space="preserve"> </v>
      </c>
      <c r="I21" s="58" t="str">
        <f>Table3[[#This Row],[4th hour III Sem]]</f>
        <v xml:space="preserve"> </v>
      </c>
      <c r="J21" s="57" t="str">
        <f>Table3[[#This Row],[1st hour I Sem]]</f>
        <v xml:space="preserve"> </v>
      </c>
      <c r="K21" s="55" t="str">
        <f>Table3[[#This Row],[2nd hour I Sem]]</f>
        <v xml:space="preserve"> </v>
      </c>
      <c r="L21" s="55" t="str">
        <f>Table3[[#This Row],[3rd hour I Sem]]</f>
        <v xml:space="preserve"> </v>
      </c>
      <c r="M21" s="55" t="str">
        <f>Table3[[#This Row],[4th hour I Sem]]</f>
        <v xml:space="preserve"> </v>
      </c>
      <c r="N21" s="56" t="str">
        <f>Table32[[#This Row],[1st hour V sem]]</f>
        <v>MIP (I)</v>
      </c>
      <c r="O21" s="55" t="str">
        <f>Table32[[#This Row],[2nd hour V sem]]</f>
        <v>RM (G)</v>
      </c>
      <c r="P21" s="55" t="str">
        <f>Table32[[#This Row],[3rd hour V sem]]</f>
        <v>RM (K)</v>
      </c>
      <c r="Q21" s="73" t="str">
        <f>Table32[[#This Row],[4th hour V sem]]</f>
        <v>LE (L)</v>
      </c>
      <c r="R21" s="57" t="str">
        <f>Table32[[#This Row],[1st hour III Sem]]</f>
        <v xml:space="preserve"> </v>
      </c>
      <c r="S21" s="55" t="str">
        <f>Table32[[#This Row],[2nd hour III Sem]]</f>
        <v xml:space="preserve"> </v>
      </c>
      <c r="T21" s="55" t="str">
        <f>Table32[[#This Row],[3rd hour III Sem]]</f>
        <v xml:space="preserve"> </v>
      </c>
      <c r="U21" s="58" t="str">
        <f>Table32[[#This Row],[4th hour III Sem]]</f>
        <v xml:space="preserve"> </v>
      </c>
      <c r="V21" s="74" t="str">
        <f>Table32[[#This Row],[1st hour I Sem]]</f>
        <v xml:space="preserve"> </v>
      </c>
      <c r="W21" s="55" t="str">
        <f>Table32[[#This Row],[2nd hour I Sem]]</f>
        <v xml:space="preserve"> </v>
      </c>
      <c r="X21" s="55" t="str">
        <f>Table32[[#This Row],[3rd hour I Sem]]</f>
        <v xml:space="preserve"> </v>
      </c>
      <c r="Y21" s="64" t="str">
        <f>Table32[[#This Row],[4th hour I Sem]]</f>
        <v xml:space="preserve"> </v>
      </c>
      <c r="Z21" s="56" t="str">
        <f>Table323[[#This Row],[1st hour V sem]]</f>
        <v xml:space="preserve"> </v>
      </c>
      <c r="AA21" s="55" t="str">
        <f>Table323[[#This Row],[2nd hour V sem]]</f>
        <v>RM (J)</v>
      </c>
      <c r="AB21" s="55" t="str">
        <f>Table323[[#This Row],[3rd hour V sem]]</f>
        <v>LE (L)</v>
      </c>
      <c r="AC21" s="58" t="str">
        <f>Table323[[#This Row],[4th hour V sem]]</f>
        <v>RM (G)</v>
      </c>
      <c r="AD21" s="57" t="str">
        <f>Table323[[#This Row],[1st hour III Sem]]</f>
        <v xml:space="preserve"> </v>
      </c>
      <c r="AE21" s="55" t="str">
        <f>Table323[[#This Row],[2nd hour III Sem]]</f>
        <v xml:space="preserve"> </v>
      </c>
      <c r="AF21" s="55" t="str">
        <f>Table323[[#This Row],[3rd hour III Sem]]</f>
        <v xml:space="preserve"> </v>
      </c>
      <c r="AG21" s="58" t="str">
        <f>Table323[[#This Row],[4th hour III Sem]]</f>
        <v xml:space="preserve"> </v>
      </c>
      <c r="AH21" s="57" t="str">
        <f>Table323[[#This Row],[1st hour I Sem]]</f>
        <v xml:space="preserve"> </v>
      </c>
      <c r="AI21" s="55" t="str">
        <f>Table323[[#This Row],[2nd hour I Sem]]</f>
        <v xml:space="preserve"> </v>
      </c>
      <c r="AJ21" s="55" t="str">
        <f>Table323[[#This Row],[3rd hour I Sem]]</f>
        <v xml:space="preserve"> </v>
      </c>
      <c r="AK21" s="64" t="str">
        <f>Table323[[#This Row],[4th hour I Sem]]</f>
        <v xml:space="preserve"> </v>
      </c>
      <c r="AL21" s="56" t="str">
        <f>Table3235[[#This Row],[1st hour V sem]]</f>
        <v>RM (K)</v>
      </c>
      <c r="AM21" s="55" t="str">
        <f>Table3235[[#This Row],[2nd hour V sem]]</f>
        <v xml:space="preserve"> </v>
      </c>
      <c r="AN21" s="55" t="str">
        <f>Table3235[[#This Row],[3rd hour V sem]]</f>
        <v>RM (G)</v>
      </c>
      <c r="AO21" s="58" t="str">
        <f>Table3235[[#This Row],[4th hour V sem]]</f>
        <v>MIP (H)</v>
      </c>
      <c r="AP21" s="57" t="str">
        <f>Table3235[[#This Row],[1st hour III Sem]]</f>
        <v xml:space="preserve"> </v>
      </c>
      <c r="AQ21" s="55" t="str">
        <f>Table3235[[#This Row],[2nd hour III Sem]]</f>
        <v xml:space="preserve"> </v>
      </c>
      <c r="AR21" s="55" t="str">
        <f>Table3235[[#This Row],[3rd hour III Sem]]</f>
        <v xml:space="preserve"> </v>
      </c>
      <c r="AS21" s="58" t="str">
        <f>Table3235[[#This Row],[4th hour III Sem]]</f>
        <v xml:space="preserve"> </v>
      </c>
      <c r="AT21" s="57" t="str">
        <f>Table3235[[#This Row],[1st hour I Sem]]</f>
        <v xml:space="preserve"> </v>
      </c>
      <c r="AU21" s="55" t="str">
        <f>Table3235[[#This Row],[2nd hour I Sem]]</f>
        <v xml:space="preserve"> </v>
      </c>
      <c r="AV21" s="55" t="str">
        <f>Table3235[[#This Row],[3rd hour I Sem]]</f>
        <v xml:space="preserve"> </v>
      </c>
      <c r="AW21" s="64" t="str">
        <f>Table3235[[#This Row],[4th hour I Sem]]</f>
        <v xml:space="preserve"> </v>
      </c>
      <c r="AX21" s="56" t="str">
        <f>Table32356[[#This Row],[1st hour V sem]]</f>
        <v xml:space="preserve"> </v>
      </c>
      <c r="AY21" s="55" t="str">
        <f>Table32356[[#This Row],[2nd hour V sem]]</f>
        <v>RM (K)</v>
      </c>
      <c r="AZ21" s="55" t="str">
        <f>Table32356[[#This Row],[3rd hour V sem]]</f>
        <v xml:space="preserve"> </v>
      </c>
      <c r="BA21" s="58" t="str">
        <f>Table32356[[#This Row],[4th hour V sem]]</f>
        <v>RM (J)</v>
      </c>
      <c r="BB21" s="57" t="str">
        <f>Table32356[[#This Row],[1st hour III Sem]]</f>
        <v xml:space="preserve"> </v>
      </c>
      <c r="BC21" s="55" t="str">
        <f>Table32356[[#This Row],[2nd hour III Sem]]</f>
        <v xml:space="preserve"> </v>
      </c>
      <c r="BD21" s="55" t="str">
        <f>Table32356[[#This Row],[3rd hour III Sem]]</f>
        <v xml:space="preserve"> </v>
      </c>
      <c r="BE21" s="58" t="str">
        <f>Table32356[[#This Row],[4th hour III Sem]]</f>
        <v xml:space="preserve"> </v>
      </c>
      <c r="BF21" s="57" t="str">
        <f>Table32356[[#This Row],[1st hour I Sem]]</f>
        <v xml:space="preserve"> </v>
      </c>
      <c r="BG21" s="55" t="str">
        <f>Table32356[[#This Row],[2nd hour I Sem]]</f>
        <v xml:space="preserve"> </v>
      </c>
      <c r="BH21" s="55" t="str">
        <f>Table32356[[#This Row],[3rd hour I Sem]]</f>
        <v xml:space="preserve"> </v>
      </c>
      <c r="BI21" s="64" t="str">
        <f>Table32356[[#This Row],[4th hour I Sem]]</f>
        <v xml:space="preserve"> </v>
      </c>
      <c r="BJ21" s="56" t="str">
        <f>Table323567[[#This Row],[1st hour V sem]]</f>
        <v>MIP (H)</v>
      </c>
      <c r="BK21" s="55" t="str">
        <f>Table323567[[#This Row],[2nd hour V sem]]</f>
        <v>LE (L)</v>
      </c>
      <c r="BL21" s="55" t="str">
        <f>Table323567[[#This Row],[3rd hour V sem]]</f>
        <v>MIP (I)</v>
      </c>
      <c r="BM21" s="58" t="str">
        <f>Table323567[[#This Row],[4th hour V sem]]</f>
        <v xml:space="preserve"> </v>
      </c>
      <c r="BN21" s="57" t="str">
        <f>Table323567[[#This Row],[1st hour III Sem]]</f>
        <v xml:space="preserve"> </v>
      </c>
      <c r="BO21" s="55" t="str">
        <f>Table323567[[#This Row],[2nd hour III Sem]]</f>
        <v xml:space="preserve"> </v>
      </c>
      <c r="BP21" s="55" t="str">
        <f>Table323567[[#This Row],[3rd hour III Sem]]</f>
        <v xml:space="preserve"> </v>
      </c>
      <c r="BQ21" s="58" t="str">
        <f>Table323567[[#This Row],[4th hour III Sem]]</f>
        <v xml:space="preserve"> </v>
      </c>
      <c r="BR21" s="57" t="str">
        <f>Table323567[[#This Row],[1st hour I Sem]]</f>
        <v xml:space="preserve"> </v>
      </c>
      <c r="BS21" s="55" t="str">
        <f>Table323567[[#This Row],[2nd hour I Sem]]</f>
        <v xml:space="preserve"> </v>
      </c>
      <c r="BT21" s="55" t="str">
        <f>Table323567[[#This Row],[3rd hour I Sem]]</f>
        <v xml:space="preserve"> </v>
      </c>
      <c r="BU21" s="64" t="str">
        <f>Table323567[[#This Row],[Column1]]</f>
        <v xml:space="preserve"> </v>
      </c>
    </row>
    <row r="22" spans="1:73" s="54" customFormat="1" x14ac:dyDescent="0.35">
      <c r="A22" s="165" t="str">
        <f>Mon!U22</f>
        <v>(LV)</v>
      </c>
      <c r="B22" s="56" t="str">
        <f>Table3[[#This Row],[1st hour V sem]]</f>
        <v xml:space="preserve"> </v>
      </c>
      <c r="C22" s="55" t="str">
        <f>Table3[[#This Row],[2nd hour V sem]]</f>
        <v xml:space="preserve"> </v>
      </c>
      <c r="D22" s="55" t="str">
        <f>Table3[[#This Row],[3rd hour V sem]]</f>
        <v xml:space="preserve"> </v>
      </c>
      <c r="E22" s="58" t="str">
        <f>Table3[[#This Row],[4th hour V sem]]</f>
        <v xml:space="preserve"> </v>
      </c>
      <c r="F22" s="57" t="str">
        <f>Table3[[#This Row],[1st hour III Sem]]</f>
        <v xml:space="preserve"> </v>
      </c>
      <c r="G22" s="55" t="str">
        <f>Table3[[#This Row],[2nd hour III Sem]]</f>
        <v>ED (J)</v>
      </c>
      <c r="H22" s="55" t="str">
        <f>Table3[[#This Row],[3rd hour III Sem]]</f>
        <v>ED (L)</v>
      </c>
      <c r="I22" s="58" t="str">
        <f>Table3[[#This Row],[4th hour III Sem]]</f>
        <v>ED (B)</v>
      </c>
      <c r="J22" s="57" t="str">
        <f>Table3[[#This Row],[1st hour I Sem]]</f>
        <v xml:space="preserve"> </v>
      </c>
      <c r="K22" s="55" t="str">
        <f>Table3[[#This Row],[2nd hour I Sem]]</f>
        <v xml:space="preserve"> </v>
      </c>
      <c r="L22" s="55" t="str">
        <f>Table3[[#This Row],[3rd hour I Sem]]</f>
        <v xml:space="preserve"> </v>
      </c>
      <c r="M22" s="55" t="str">
        <f>Table3[[#This Row],[4th hour I Sem]]</f>
        <v xml:space="preserve"> </v>
      </c>
      <c r="N22" s="56" t="str">
        <f>Table32[[#This Row],[1st hour V sem]]</f>
        <v xml:space="preserve"> </v>
      </c>
      <c r="O22" s="55" t="str">
        <f>Table32[[#This Row],[2nd hour V sem]]</f>
        <v xml:space="preserve"> </v>
      </c>
      <c r="P22" s="55" t="str">
        <f>Table32[[#This Row],[3rd hour V sem]]</f>
        <v xml:space="preserve"> </v>
      </c>
      <c r="Q22" s="73" t="str">
        <f>Table32[[#This Row],[4th hour V sem]]</f>
        <v xml:space="preserve"> </v>
      </c>
      <c r="R22" s="57" t="str">
        <f>Table32[[#This Row],[1st hour III Sem]]</f>
        <v xml:space="preserve"> </v>
      </c>
      <c r="S22" s="55" t="str">
        <f>Table32[[#This Row],[2nd hour III Sem]]</f>
        <v>MM (E)</v>
      </c>
      <c r="T22" s="55" t="str">
        <f>Table32[[#This Row],[3rd hour III Sem]]</f>
        <v>ED (H)</v>
      </c>
      <c r="U22" s="58" t="str">
        <f>Table32[[#This Row],[4th hour III Sem]]</f>
        <v>ED (B)</v>
      </c>
      <c r="V22" s="74" t="str">
        <f>Table32[[#This Row],[1st hour I Sem]]</f>
        <v xml:space="preserve"> </v>
      </c>
      <c r="W22" s="55" t="str">
        <f>Table32[[#This Row],[2nd hour I Sem]]</f>
        <v xml:space="preserve"> </v>
      </c>
      <c r="X22" s="55" t="str">
        <f>Table32[[#This Row],[3rd hour I Sem]]</f>
        <v xml:space="preserve"> </v>
      </c>
      <c r="Y22" s="64" t="str">
        <f>Table32[[#This Row],[4th hour I Sem]]</f>
        <v xml:space="preserve"> </v>
      </c>
      <c r="Z22" s="56" t="str">
        <f>Table323[[#This Row],[1st hour V sem]]</f>
        <v xml:space="preserve"> </v>
      </c>
      <c r="AA22" s="55" t="str">
        <f>Table323[[#This Row],[2nd hour V sem]]</f>
        <v xml:space="preserve"> </v>
      </c>
      <c r="AB22" s="55" t="str">
        <f>Table323[[#This Row],[3rd hour V sem]]</f>
        <v xml:space="preserve"> </v>
      </c>
      <c r="AC22" s="58" t="str">
        <f>Table323[[#This Row],[4th hour V sem]]</f>
        <v xml:space="preserve"> </v>
      </c>
      <c r="AD22" s="57" t="str">
        <f>Table323[[#This Row],[1st hour III Sem]]</f>
        <v>ED (L)</v>
      </c>
      <c r="AE22" s="55" t="str">
        <f>Table323[[#This Row],[2nd hour III Sem]]</f>
        <v>MM (E)</v>
      </c>
      <c r="AF22" s="55" t="str">
        <f>Table323[[#This Row],[3rd hour III Sem]]</f>
        <v>ED (M)</v>
      </c>
      <c r="AG22" s="58" t="str">
        <f>Table323[[#This Row],[4th hour III Sem]]</f>
        <v xml:space="preserve"> </v>
      </c>
      <c r="AH22" s="57" t="str">
        <f>Table323[[#This Row],[1st hour I Sem]]</f>
        <v xml:space="preserve"> </v>
      </c>
      <c r="AI22" s="55" t="str">
        <f>Table323[[#This Row],[2nd hour I Sem]]</f>
        <v xml:space="preserve"> </v>
      </c>
      <c r="AJ22" s="55" t="str">
        <f>Table323[[#This Row],[3rd hour I Sem]]</f>
        <v xml:space="preserve"> </v>
      </c>
      <c r="AK22" s="64" t="str">
        <f>Table323[[#This Row],[4th hour I Sem]]</f>
        <v xml:space="preserve"> </v>
      </c>
      <c r="AL22" s="56" t="str">
        <f>Table3235[[#This Row],[1st hour V sem]]</f>
        <v xml:space="preserve"> </v>
      </c>
      <c r="AM22" s="55" t="str">
        <f>Table3235[[#This Row],[2nd hour V sem]]</f>
        <v xml:space="preserve"> </v>
      </c>
      <c r="AN22" s="55" t="str">
        <f>Table3235[[#This Row],[3rd hour V sem]]</f>
        <v xml:space="preserve"> </v>
      </c>
      <c r="AO22" s="58" t="str">
        <f>Table3235[[#This Row],[4th hour V sem]]</f>
        <v xml:space="preserve"> </v>
      </c>
      <c r="AP22" s="57" t="str">
        <f>Table3235[[#This Row],[1st hour III Sem]]</f>
        <v>ED (J)</v>
      </c>
      <c r="AQ22" s="55" t="str">
        <f>Table3235[[#This Row],[2nd hour III Sem]]</f>
        <v xml:space="preserve"> </v>
      </c>
      <c r="AR22" s="55" t="str">
        <f>Table3235[[#This Row],[3rd hour III Sem]]</f>
        <v>ED (B)</v>
      </c>
      <c r="AS22" s="58" t="str">
        <f>Table3235[[#This Row],[4th hour III Sem]]</f>
        <v>ED (M)</v>
      </c>
      <c r="AT22" s="57" t="str">
        <f>Table3235[[#This Row],[1st hour I Sem]]</f>
        <v xml:space="preserve"> </v>
      </c>
      <c r="AU22" s="55" t="str">
        <f>Table3235[[#This Row],[2nd hour I Sem]]</f>
        <v xml:space="preserve"> </v>
      </c>
      <c r="AV22" s="55" t="str">
        <f>Table3235[[#This Row],[3rd hour I Sem]]</f>
        <v xml:space="preserve"> </v>
      </c>
      <c r="AW22" s="64" t="str">
        <f>Table3235[[#This Row],[4th hour I Sem]]</f>
        <v xml:space="preserve"> </v>
      </c>
      <c r="AX22" s="56" t="str">
        <f>Table32356[[#This Row],[1st hour V sem]]</f>
        <v xml:space="preserve"> </v>
      </c>
      <c r="AY22" s="55" t="str">
        <f>Table32356[[#This Row],[2nd hour V sem]]</f>
        <v xml:space="preserve"> </v>
      </c>
      <c r="AZ22" s="55" t="str">
        <f>Table32356[[#This Row],[3rd hour V sem]]</f>
        <v xml:space="preserve"> </v>
      </c>
      <c r="BA22" s="58" t="str">
        <f>Table32356[[#This Row],[4th hour V sem]]</f>
        <v xml:space="preserve"> </v>
      </c>
      <c r="BB22" s="57" t="str">
        <f>Table32356[[#This Row],[1st hour III Sem]]</f>
        <v>ED (M)</v>
      </c>
      <c r="BC22" s="55" t="str">
        <f>Table32356[[#This Row],[2nd hour III Sem]]</f>
        <v>ED (H)</v>
      </c>
      <c r="BD22" s="55" t="str">
        <f>Table32356[[#This Row],[3rd hour III Sem]]</f>
        <v>ED (J)</v>
      </c>
      <c r="BE22" s="58" t="str">
        <f>Table32356[[#This Row],[4th hour III Sem]]</f>
        <v xml:space="preserve"> </v>
      </c>
      <c r="BF22" s="57" t="str">
        <f>Table32356[[#This Row],[1st hour I Sem]]</f>
        <v xml:space="preserve"> </v>
      </c>
      <c r="BG22" s="55" t="str">
        <f>Table32356[[#This Row],[2nd hour I Sem]]</f>
        <v xml:space="preserve"> </v>
      </c>
      <c r="BH22" s="55" t="str">
        <f>Table32356[[#This Row],[3rd hour I Sem]]</f>
        <v xml:space="preserve"> </v>
      </c>
      <c r="BI22" s="64" t="str">
        <f>Table32356[[#This Row],[4th hour I Sem]]</f>
        <v xml:space="preserve"> </v>
      </c>
      <c r="BJ22" s="56" t="str">
        <f>Table323567[[#This Row],[1st hour V sem]]</f>
        <v xml:space="preserve"> </v>
      </c>
      <c r="BK22" s="55" t="str">
        <f>Table323567[[#This Row],[2nd hour V sem]]</f>
        <v xml:space="preserve"> </v>
      </c>
      <c r="BL22" s="55" t="str">
        <f>Table323567[[#This Row],[3rd hour V sem]]</f>
        <v xml:space="preserve"> </v>
      </c>
      <c r="BM22" s="58" t="str">
        <f>Table323567[[#This Row],[4th hour V sem]]</f>
        <v xml:space="preserve"> </v>
      </c>
      <c r="BN22" s="57" t="str">
        <f>Table323567[[#This Row],[1st hour III Sem]]</f>
        <v>ED (L)</v>
      </c>
      <c r="BO22" s="55" t="str">
        <f>Table323567[[#This Row],[2nd hour III Sem]]</f>
        <v>ED (H)</v>
      </c>
      <c r="BP22" s="55" t="str">
        <f>Table323567[[#This Row],[3rd hour III Sem]]</f>
        <v xml:space="preserve"> </v>
      </c>
      <c r="BQ22" s="58" t="str">
        <f>Table323567[[#This Row],[4th hour III Sem]]</f>
        <v xml:space="preserve"> </v>
      </c>
      <c r="BR22" s="57" t="str">
        <f>Table323567[[#This Row],[1st hour I Sem]]</f>
        <v xml:space="preserve"> </v>
      </c>
      <c r="BS22" s="55" t="str">
        <f>Table323567[[#This Row],[2nd hour I Sem]]</f>
        <v xml:space="preserve"> </v>
      </c>
      <c r="BT22" s="55" t="str">
        <f>Table323567[[#This Row],[3rd hour I Sem]]</f>
        <v xml:space="preserve"> </v>
      </c>
      <c r="BU22" s="64" t="str">
        <f>Table323567[[#This Row],[Column1]]</f>
        <v xml:space="preserve"> </v>
      </c>
    </row>
    <row r="23" spans="1:73" s="54" customFormat="1" x14ac:dyDescent="0.35">
      <c r="A23" s="165" t="str">
        <f>Mon!U23</f>
        <v>(MB)</v>
      </c>
      <c r="B23" s="56" t="str">
        <f>Table3[[#This Row],[1st hour V sem]]</f>
        <v xml:space="preserve"> </v>
      </c>
      <c r="C23" s="55" t="str">
        <f>Table3[[#This Row],[2nd hour V sem]]</f>
        <v xml:space="preserve"> </v>
      </c>
      <c r="D23" s="55" t="str">
        <f>Table3[[#This Row],[3rd hour V sem]]</f>
        <v xml:space="preserve"> </v>
      </c>
      <c r="E23" s="58" t="str">
        <f>Table3[[#This Row],[4th hour V sem]]</f>
        <v xml:space="preserve"> </v>
      </c>
      <c r="F23" s="57" t="str">
        <f>Table3[[#This Row],[1st hour III Sem]]</f>
        <v>EVS (B)</v>
      </c>
      <c r="G23" s="55" t="str">
        <f>Table3[[#This Row],[2nd hour III Sem]]</f>
        <v>EVS (G)</v>
      </c>
      <c r="H23" s="55" t="str">
        <f>Table3[[#This Row],[3rd hour III Sem]]</f>
        <v>CP (J)</v>
      </c>
      <c r="I23" s="58" t="str">
        <f>Table3[[#This Row],[4th hour III Sem]]</f>
        <v>CP (H)</v>
      </c>
      <c r="J23" s="57" t="str">
        <f>Table3[[#This Row],[1st hour I Sem]]</f>
        <v xml:space="preserve"> </v>
      </c>
      <c r="K23" s="55" t="str">
        <f>Table3[[#This Row],[2nd hour I Sem]]</f>
        <v xml:space="preserve"> </v>
      </c>
      <c r="L23" s="55" t="str">
        <f>Table3[[#This Row],[3rd hour I Sem]]</f>
        <v xml:space="preserve"> </v>
      </c>
      <c r="M23" s="55" t="str">
        <f>Table3[[#This Row],[4th hour I Sem]]</f>
        <v xml:space="preserve"> </v>
      </c>
      <c r="N23" s="56" t="str">
        <f>Table32[[#This Row],[1st hour V sem]]</f>
        <v xml:space="preserve"> </v>
      </c>
      <c r="O23" s="55" t="str">
        <f>Table32[[#This Row],[2nd hour V sem]]</f>
        <v xml:space="preserve"> </v>
      </c>
      <c r="P23" s="55" t="str">
        <f>Table32[[#This Row],[3rd hour V sem]]</f>
        <v xml:space="preserve"> </v>
      </c>
      <c r="Q23" s="73" t="str">
        <f>Table32[[#This Row],[4th hour V sem]]</f>
        <v xml:space="preserve"> </v>
      </c>
      <c r="R23" s="57" t="str">
        <f>Table32[[#This Row],[1st hour III Sem]]</f>
        <v xml:space="preserve"> </v>
      </c>
      <c r="S23" s="55" t="str">
        <f>Table32[[#This Row],[2nd hour III Sem]]</f>
        <v>EVS (N)</v>
      </c>
      <c r="T23" s="55" t="str">
        <f>Table32[[#This Row],[3rd hour III Sem]]</f>
        <v>EVS (B)</v>
      </c>
      <c r="U23" s="58" t="str">
        <f>Table32[[#This Row],[4th hour III Sem]]</f>
        <v xml:space="preserve"> </v>
      </c>
      <c r="V23" s="74" t="str">
        <f>Table32[[#This Row],[1st hour I Sem]]</f>
        <v xml:space="preserve"> </v>
      </c>
      <c r="W23" s="55" t="str">
        <f>Table32[[#This Row],[2nd hour I Sem]]</f>
        <v xml:space="preserve"> </v>
      </c>
      <c r="X23" s="55" t="str">
        <f>Table32[[#This Row],[3rd hour I Sem]]</f>
        <v xml:space="preserve"> </v>
      </c>
      <c r="Y23" s="64" t="str">
        <f>Table32[[#This Row],[4th hour I Sem]]</f>
        <v xml:space="preserve"> </v>
      </c>
      <c r="Z23" s="56" t="str">
        <f>Table323[[#This Row],[1st hour V sem]]</f>
        <v xml:space="preserve"> </v>
      </c>
      <c r="AA23" s="55" t="str">
        <f>Table323[[#This Row],[2nd hour V sem]]</f>
        <v xml:space="preserve"> </v>
      </c>
      <c r="AB23" s="55" t="str">
        <f>Table323[[#This Row],[3rd hour V sem]]</f>
        <v xml:space="preserve"> </v>
      </c>
      <c r="AC23" s="58" t="str">
        <f>Table323[[#This Row],[4th hour V sem]]</f>
        <v xml:space="preserve"> </v>
      </c>
      <c r="AD23" s="57" t="str">
        <f>Table323[[#This Row],[1st hour III Sem]]</f>
        <v>EVS (G)</v>
      </c>
      <c r="AE23" s="55" t="str">
        <f>Table323[[#This Row],[2nd hour III Sem]]</f>
        <v>CP (J)</v>
      </c>
      <c r="AF23" s="55" t="str">
        <f>Table323[[#This Row],[3rd hour III Sem]]</f>
        <v>CP (L)</v>
      </c>
      <c r="AG23" s="58" t="str">
        <f>Table323[[#This Row],[4th hour III Sem]]</f>
        <v xml:space="preserve"> </v>
      </c>
      <c r="AH23" s="57" t="str">
        <f>Table323[[#This Row],[1st hour I Sem]]</f>
        <v xml:space="preserve"> </v>
      </c>
      <c r="AI23" s="55" t="str">
        <f>Table323[[#This Row],[2nd hour I Sem]]</f>
        <v xml:space="preserve"> </v>
      </c>
      <c r="AJ23" s="55" t="str">
        <f>Table323[[#This Row],[3rd hour I Sem]]</f>
        <v xml:space="preserve"> </v>
      </c>
      <c r="AK23" s="64" t="str">
        <f>Table323[[#This Row],[4th hour I Sem]]</f>
        <v xml:space="preserve"> </v>
      </c>
      <c r="AL23" s="56" t="str">
        <f>Table3235[[#This Row],[1st hour V sem]]</f>
        <v xml:space="preserve"> </v>
      </c>
      <c r="AM23" s="55" t="str">
        <f>Table3235[[#This Row],[2nd hour V sem]]</f>
        <v xml:space="preserve"> </v>
      </c>
      <c r="AN23" s="55" t="str">
        <f>Table3235[[#This Row],[3rd hour V sem]]</f>
        <v xml:space="preserve"> </v>
      </c>
      <c r="AO23" s="58" t="str">
        <f>Table3235[[#This Row],[4th hour V sem]]</f>
        <v xml:space="preserve"> </v>
      </c>
      <c r="AP23" s="57" t="str">
        <f>Table3235[[#This Row],[1st hour III Sem]]</f>
        <v xml:space="preserve"> </v>
      </c>
      <c r="AQ23" s="55" t="str">
        <f>Table3235[[#This Row],[2nd hour III Sem]]</f>
        <v>EVS (G)</v>
      </c>
      <c r="AR23" s="55" t="str">
        <f>Table3235[[#This Row],[3rd hour III Sem]]</f>
        <v>CP (H)</v>
      </c>
      <c r="AS23" s="58" t="str">
        <f>Table3235[[#This Row],[4th hour III Sem]]</f>
        <v>EVS (N)</v>
      </c>
      <c r="AT23" s="57" t="str">
        <f>Table3235[[#This Row],[1st hour I Sem]]</f>
        <v xml:space="preserve"> </v>
      </c>
      <c r="AU23" s="55" t="str">
        <f>Table3235[[#This Row],[2nd hour I Sem]]</f>
        <v xml:space="preserve"> </v>
      </c>
      <c r="AV23" s="55" t="str">
        <f>Table3235[[#This Row],[3rd hour I Sem]]</f>
        <v xml:space="preserve"> </v>
      </c>
      <c r="AW23" s="64" t="str">
        <f>Table3235[[#This Row],[4th hour I Sem]]</f>
        <v xml:space="preserve"> </v>
      </c>
      <c r="AX23" s="56" t="str">
        <f>Table32356[[#This Row],[1st hour V sem]]</f>
        <v xml:space="preserve"> </v>
      </c>
      <c r="AY23" s="55" t="str">
        <f>Table32356[[#This Row],[2nd hour V sem]]</f>
        <v xml:space="preserve"> </v>
      </c>
      <c r="AZ23" s="55" t="str">
        <f>Table32356[[#This Row],[3rd hour V sem]]</f>
        <v xml:space="preserve"> </v>
      </c>
      <c r="BA23" s="58" t="str">
        <f>Table32356[[#This Row],[4th hour V sem]]</f>
        <v xml:space="preserve"> </v>
      </c>
      <c r="BB23" s="57" t="str">
        <f>Table32356[[#This Row],[1st hour III Sem]]</f>
        <v>CP (J)</v>
      </c>
      <c r="BC23" s="55" t="str">
        <f>Table32356[[#This Row],[2nd hour III Sem]]</f>
        <v xml:space="preserve"> </v>
      </c>
      <c r="BD23" s="55" t="str">
        <f>Table32356[[#This Row],[3rd hour III Sem]]</f>
        <v>EVS (N)</v>
      </c>
      <c r="BE23" s="58" t="str">
        <f>Table32356[[#This Row],[4th hour III Sem]]</f>
        <v>EVS (B)</v>
      </c>
      <c r="BF23" s="57" t="str">
        <f>Table32356[[#This Row],[1st hour I Sem]]</f>
        <v xml:space="preserve"> </v>
      </c>
      <c r="BG23" s="55" t="str">
        <f>Table32356[[#This Row],[2nd hour I Sem]]</f>
        <v xml:space="preserve"> </v>
      </c>
      <c r="BH23" s="55" t="str">
        <f>Table32356[[#This Row],[3rd hour I Sem]]</f>
        <v xml:space="preserve"> </v>
      </c>
      <c r="BI23" s="64" t="str">
        <f>Table32356[[#This Row],[4th hour I Sem]]</f>
        <v xml:space="preserve"> </v>
      </c>
      <c r="BJ23" s="56" t="str">
        <f>Table323567[[#This Row],[1st hour V sem]]</f>
        <v xml:space="preserve"> </v>
      </c>
      <c r="BK23" s="55" t="str">
        <f>Table323567[[#This Row],[2nd hour V sem]]</f>
        <v xml:space="preserve"> </v>
      </c>
      <c r="BL23" s="55" t="str">
        <f>Table323567[[#This Row],[3rd hour V sem]]</f>
        <v xml:space="preserve"> </v>
      </c>
      <c r="BM23" s="58" t="str">
        <f>Table323567[[#This Row],[4th hour V sem]]</f>
        <v xml:space="preserve"> </v>
      </c>
      <c r="BN23" s="57" t="str">
        <f>Table323567[[#This Row],[1st hour III Sem]]</f>
        <v xml:space="preserve"> </v>
      </c>
      <c r="BO23" s="55" t="str">
        <f>Table323567[[#This Row],[2nd hour III Sem]]</f>
        <v>EVS (D)</v>
      </c>
      <c r="BP23" s="55" t="str">
        <f>Table323567[[#This Row],[3rd hour III Sem]]</f>
        <v>CP (H)</v>
      </c>
      <c r="BQ23" s="58" t="str">
        <f>Table323567[[#This Row],[4th hour III Sem]]</f>
        <v xml:space="preserve"> </v>
      </c>
      <c r="BR23" s="57" t="str">
        <f>Table323567[[#This Row],[1st hour I Sem]]</f>
        <v xml:space="preserve"> </v>
      </c>
      <c r="BS23" s="55" t="str">
        <f>Table323567[[#This Row],[2nd hour I Sem]]</f>
        <v xml:space="preserve"> </v>
      </c>
      <c r="BT23" s="55" t="str">
        <f>Table323567[[#This Row],[3rd hour I Sem]]</f>
        <v xml:space="preserve"> </v>
      </c>
      <c r="BU23" s="64" t="str">
        <f>Table323567[[#This Row],[Column1]]</f>
        <v xml:space="preserve"> </v>
      </c>
    </row>
    <row r="24" spans="1:73" s="54" customFormat="1" x14ac:dyDescent="0.35">
      <c r="A24" s="165" t="str">
        <f>Mon!U24</f>
        <v>(MEG)</v>
      </c>
      <c r="B24" s="56" t="str">
        <f>Table3[[#This Row],[1st hour V sem]]</f>
        <v xml:space="preserve"> </v>
      </c>
      <c r="C24" s="55" t="str">
        <f>Table3[[#This Row],[2nd hour V sem]]</f>
        <v xml:space="preserve"> </v>
      </c>
      <c r="D24" s="55" t="str">
        <f>Table3[[#This Row],[3rd hour V sem]]</f>
        <v>MA (D)</v>
      </c>
      <c r="E24" s="58" t="str">
        <f>Table3[[#This Row],[4th hour V sem]]</f>
        <v>MA (J)</v>
      </c>
      <c r="F24" s="57" t="str">
        <f>Table3[[#This Row],[1st hour III Sem]]</f>
        <v>CA (L)</v>
      </c>
      <c r="G24" s="55" t="str">
        <f>Table3[[#This Row],[2nd hour III Sem]]</f>
        <v xml:space="preserve"> </v>
      </c>
      <c r="H24" s="55" t="str">
        <f>Table3[[#This Row],[3rd hour III Sem]]</f>
        <v xml:space="preserve"> </v>
      </c>
      <c r="I24" s="58" t="str">
        <f>Table3[[#This Row],[4th hour III Sem]]</f>
        <v xml:space="preserve"> </v>
      </c>
      <c r="J24" s="57" t="str">
        <f>Table3[[#This Row],[1st hour I Sem]]</f>
        <v xml:space="preserve"> </v>
      </c>
      <c r="K24" s="55" t="str">
        <f>Table3[[#This Row],[2nd hour I Sem]]</f>
        <v xml:space="preserve"> </v>
      </c>
      <c r="L24" s="55" t="str">
        <f>Table3[[#This Row],[3rd hour I Sem]]</f>
        <v xml:space="preserve"> </v>
      </c>
      <c r="M24" s="55" t="str">
        <f>Table3[[#This Row],[4th hour I Sem]]</f>
        <v xml:space="preserve"> </v>
      </c>
      <c r="N24" s="56" t="str">
        <f>Table32[[#This Row],[1st hour V sem]]</f>
        <v xml:space="preserve"> </v>
      </c>
      <c r="O24" s="55" t="str">
        <f>Table32[[#This Row],[2nd hour V sem]]</f>
        <v xml:space="preserve"> </v>
      </c>
      <c r="P24" s="55" t="str">
        <f>Table32[[#This Row],[3rd hour V sem]]</f>
        <v xml:space="preserve"> </v>
      </c>
      <c r="Q24" s="73" t="str">
        <f>Table32[[#This Row],[4th hour V sem]]</f>
        <v>MA (J)</v>
      </c>
      <c r="R24" s="57" t="str">
        <f>Table32[[#This Row],[1st hour III Sem]]</f>
        <v xml:space="preserve"> </v>
      </c>
      <c r="S24" s="55" t="str">
        <f>Table32[[#This Row],[2nd hour III Sem]]</f>
        <v>CA (L)</v>
      </c>
      <c r="T24" s="55" t="str">
        <f>Table32[[#This Row],[3rd hour III Sem]]</f>
        <v>CA (D)</v>
      </c>
      <c r="U24" s="58" t="str">
        <f>Table32[[#This Row],[4th hour III Sem]]</f>
        <v xml:space="preserve"> </v>
      </c>
      <c r="V24" s="74" t="str">
        <f>Table32[[#This Row],[1st hour I Sem]]</f>
        <v xml:space="preserve"> </v>
      </c>
      <c r="W24" s="55" t="str">
        <f>Table32[[#This Row],[2nd hour I Sem]]</f>
        <v xml:space="preserve"> </v>
      </c>
      <c r="X24" s="55" t="str">
        <f>Table32[[#This Row],[3rd hour I Sem]]</f>
        <v xml:space="preserve"> </v>
      </c>
      <c r="Y24" s="64" t="str">
        <f>Table32[[#This Row],[4th hour I Sem]]</f>
        <v xml:space="preserve"> </v>
      </c>
      <c r="Z24" s="56" t="str">
        <f>Table323[[#This Row],[1st hour V sem]]</f>
        <v xml:space="preserve"> </v>
      </c>
      <c r="AA24" s="55" t="str">
        <f>Table323[[#This Row],[2nd hour V sem]]</f>
        <v xml:space="preserve"> </v>
      </c>
      <c r="AB24" s="55" t="str">
        <f>Table323[[#This Row],[3rd hour V sem]]</f>
        <v xml:space="preserve"> </v>
      </c>
      <c r="AC24" s="58" t="str">
        <f>Table323[[#This Row],[4th hour V sem]]</f>
        <v>MA (D)</v>
      </c>
      <c r="AD24" s="57" t="str">
        <f>Table323[[#This Row],[1st hour III Sem]]</f>
        <v xml:space="preserve"> </v>
      </c>
      <c r="AE24" s="55" t="str">
        <f>Table323[[#This Row],[2nd hour III Sem]]</f>
        <v>CA (D)</v>
      </c>
      <c r="AF24" s="55" t="str">
        <f>Table323[[#This Row],[3rd hour III Sem]]</f>
        <v xml:space="preserve"> </v>
      </c>
      <c r="AG24" s="58" t="str">
        <f>Table323[[#This Row],[4th hour III Sem]]</f>
        <v xml:space="preserve"> </v>
      </c>
      <c r="AH24" s="57" t="str">
        <f>Table323[[#This Row],[1st hour I Sem]]</f>
        <v xml:space="preserve"> </v>
      </c>
      <c r="AI24" s="55" t="str">
        <f>Table323[[#This Row],[2nd hour I Sem]]</f>
        <v xml:space="preserve"> </v>
      </c>
      <c r="AJ24" s="55" t="str">
        <f>Table323[[#This Row],[3rd hour I Sem]]</f>
        <v xml:space="preserve"> </v>
      </c>
      <c r="AK24" s="64" t="str">
        <f>Table323[[#This Row],[4th hour I Sem]]</f>
        <v xml:space="preserve"> </v>
      </c>
      <c r="AL24" s="56" t="str">
        <f>Table3235[[#This Row],[1st hour V sem]]</f>
        <v xml:space="preserve"> </v>
      </c>
      <c r="AM24" s="55" t="str">
        <f>Table3235[[#This Row],[2nd hour V sem]]</f>
        <v>MA (J)</v>
      </c>
      <c r="AN24" s="55" t="str">
        <f>Table3235[[#This Row],[3rd hour V sem]]</f>
        <v>MA (D)</v>
      </c>
      <c r="AO24" s="58" t="str">
        <f>Table3235[[#This Row],[4th hour V sem]]</f>
        <v xml:space="preserve"> </v>
      </c>
      <c r="AP24" s="57" t="str">
        <f>Table3235[[#This Row],[1st hour III Sem]]</f>
        <v xml:space="preserve"> </v>
      </c>
      <c r="AQ24" s="55" t="str">
        <f>Table3235[[#This Row],[2nd hour III Sem]]</f>
        <v xml:space="preserve"> </v>
      </c>
      <c r="AR24" s="55" t="str">
        <f>Table3235[[#This Row],[3rd hour III Sem]]</f>
        <v xml:space="preserve"> </v>
      </c>
      <c r="AS24" s="58" t="str">
        <f>Table3235[[#This Row],[4th hour III Sem]]</f>
        <v>CA (L)</v>
      </c>
      <c r="AT24" s="57" t="str">
        <f>Table3235[[#This Row],[1st hour I Sem]]</f>
        <v xml:space="preserve"> </v>
      </c>
      <c r="AU24" s="55" t="str">
        <f>Table3235[[#This Row],[2nd hour I Sem]]</f>
        <v xml:space="preserve"> </v>
      </c>
      <c r="AV24" s="55" t="str">
        <f>Table3235[[#This Row],[3rd hour I Sem]]</f>
        <v xml:space="preserve"> </v>
      </c>
      <c r="AW24" s="64" t="str">
        <f>Table3235[[#This Row],[4th hour I Sem]]</f>
        <v xml:space="preserve"> </v>
      </c>
      <c r="AX24" s="56" t="str">
        <f>Table32356[[#This Row],[1st hour V sem]]</f>
        <v xml:space="preserve"> </v>
      </c>
      <c r="AY24" s="55" t="str">
        <f>Table32356[[#This Row],[2nd hour V sem]]</f>
        <v>MA (J)</v>
      </c>
      <c r="AZ24" s="55" t="str">
        <f>Table32356[[#This Row],[3rd hour V sem]]</f>
        <v xml:space="preserve"> </v>
      </c>
      <c r="BA24" s="58" t="str">
        <f>Table32356[[#This Row],[4th hour V sem]]</f>
        <v xml:space="preserve"> </v>
      </c>
      <c r="BB24" s="57" t="str">
        <f>Table32356[[#This Row],[1st hour III Sem]]</f>
        <v xml:space="preserve"> </v>
      </c>
      <c r="BC24" s="55" t="str">
        <f>Table32356[[#This Row],[2nd hour III Sem]]</f>
        <v xml:space="preserve"> </v>
      </c>
      <c r="BD24" s="55" t="str">
        <f>Table32356[[#This Row],[3rd hour III Sem]]</f>
        <v>CA (D)</v>
      </c>
      <c r="BE24" s="58" t="str">
        <f>Table32356[[#This Row],[4th hour III Sem]]</f>
        <v xml:space="preserve"> </v>
      </c>
      <c r="BF24" s="57" t="str">
        <f>Table32356[[#This Row],[1st hour I Sem]]</f>
        <v xml:space="preserve"> </v>
      </c>
      <c r="BG24" s="55" t="str">
        <f>Table32356[[#This Row],[2nd hour I Sem]]</f>
        <v xml:space="preserve"> </v>
      </c>
      <c r="BH24" s="55" t="str">
        <f>Table32356[[#This Row],[3rd hour I Sem]]</f>
        <v xml:space="preserve"> </v>
      </c>
      <c r="BI24" s="64" t="str">
        <f>Table32356[[#This Row],[4th hour I Sem]]</f>
        <v xml:space="preserve"> </v>
      </c>
      <c r="BJ24" s="56" t="str">
        <f>Table323567[[#This Row],[1st hour V sem]]</f>
        <v xml:space="preserve"> </v>
      </c>
      <c r="BK24" s="55" t="str">
        <f>Table323567[[#This Row],[2nd hour V sem]]</f>
        <v xml:space="preserve"> </v>
      </c>
      <c r="BL24" s="55" t="str">
        <f>Table323567[[#This Row],[3rd hour V sem]]</f>
        <v>MA (D)</v>
      </c>
      <c r="BM24" s="58" t="str">
        <f>Table323567[[#This Row],[4th hour V sem]]</f>
        <v xml:space="preserve"> </v>
      </c>
      <c r="BN24" s="57" t="str">
        <f>Table323567[[#This Row],[1st hour III Sem]]</f>
        <v>CA (D)</v>
      </c>
      <c r="BO24" s="55" t="str">
        <f>Table323567[[#This Row],[2nd hour III Sem]]</f>
        <v>CA (L)</v>
      </c>
      <c r="BP24" s="55" t="str">
        <f>Table323567[[#This Row],[3rd hour III Sem]]</f>
        <v xml:space="preserve"> </v>
      </c>
      <c r="BQ24" s="58" t="str">
        <f>Table323567[[#This Row],[4th hour III Sem]]</f>
        <v xml:space="preserve"> </v>
      </c>
      <c r="BR24" s="57" t="str">
        <f>Table323567[[#This Row],[1st hour I Sem]]</f>
        <v xml:space="preserve"> </v>
      </c>
      <c r="BS24" s="55" t="str">
        <f>Table323567[[#This Row],[2nd hour I Sem]]</f>
        <v xml:space="preserve"> </v>
      </c>
      <c r="BT24" s="55" t="str">
        <f>Table323567[[#This Row],[3rd hour I Sem]]</f>
        <v xml:space="preserve"> </v>
      </c>
      <c r="BU24" s="64" t="str">
        <f>Table323567[[#This Row],[Column1]]</f>
        <v xml:space="preserve"> </v>
      </c>
    </row>
    <row r="25" spans="1:73" s="54" customFormat="1" x14ac:dyDescent="0.35">
      <c r="A25" s="165" t="str">
        <f>Mon!U25</f>
        <v>(MH)</v>
      </c>
      <c r="B25" s="56" t="str">
        <f>Table3[[#This Row],[1st hour V sem]]</f>
        <v xml:space="preserve"> </v>
      </c>
      <c r="C25" s="55" t="str">
        <f>Table3[[#This Row],[2nd hour V sem]]</f>
        <v xml:space="preserve"> </v>
      </c>
      <c r="D25" s="55" t="str">
        <f>Table3[[#This Row],[3rd hour V sem]]</f>
        <v xml:space="preserve"> </v>
      </c>
      <c r="E25" s="58" t="str">
        <f>Table3[[#This Row],[4th hour V sem]]</f>
        <v xml:space="preserve"> </v>
      </c>
      <c r="F25" s="57" t="str">
        <f>Table3[[#This Row],[1st hour III Sem]]</f>
        <v>SP (M)</v>
      </c>
      <c r="G25" s="55" t="str">
        <f>Table3[[#This Row],[2nd hour III Sem]]</f>
        <v xml:space="preserve"> </v>
      </c>
      <c r="H25" s="55" t="str">
        <f>Table3[[#This Row],[3rd hour III Sem]]</f>
        <v>SP (H)</v>
      </c>
      <c r="I25" s="58" t="str">
        <f>Table3[[#This Row],[4th hour III Sem]]</f>
        <v>EVS (D)</v>
      </c>
      <c r="J25" s="57" t="str">
        <f>Table3[[#This Row],[1st hour I Sem]]</f>
        <v xml:space="preserve"> </v>
      </c>
      <c r="K25" s="55" t="str">
        <f>Table3[[#This Row],[2nd hour I Sem]]</f>
        <v xml:space="preserve"> </v>
      </c>
      <c r="L25" s="55" t="str">
        <f>Table3[[#This Row],[3rd hour I Sem]]</f>
        <v xml:space="preserve"> </v>
      </c>
      <c r="M25" s="55" t="str">
        <f>Table3[[#This Row],[4th hour I Sem]]</f>
        <v xml:space="preserve"> </v>
      </c>
      <c r="N25" s="56" t="str">
        <f>Table32[[#This Row],[1st hour V sem]]</f>
        <v xml:space="preserve"> </v>
      </c>
      <c r="O25" s="55" t="str">
        <f>Table32[[#This Row],[2nd hour V sem]]</f>
        <v xml:space="preserve"> </v>
      </c>
      <c r="P25" s="55" t="str">
        <f>Table32[[#This Row],[3rd hour V sem]]</f>
        <v xml:space="preserve"> </v>
      </c>
      <c r="Q25" s="73" t="str">
        <f>Table32[[#This Row],[4th hour V sem]]</f>
        <v xml:space="preserve"> </v>
      </c>
      <c r="R25" s="57" t="str">
        <f>Table32[[#This Row],[1st hour III Sem]]</f>
        <v>SP (F)</v>
      </c>
      <c r="S25" s="55" t="str">
        <f>Table32[[#This Row],[2nd hour III Sem]]</f>
        <v xml:space="preserve"> </v>
      </c>
      <c r="T25" s="55" t="str">
        <f>Table32[[#This Row],[3rd hour III Sem]]</f>
        <v>SP (M)</v>
      </c>
      <c r="U25" s="58" t="str">
        <f>Table32[[#This Row],[4th hour III Sem]]</f>
        <v>SP (H)</v>
      </c>
      <c r="V25" s="74" t="str">
        <f>Table32[[#This Row],[1st hour I Sem]]</f>
        <v xml:space="preserve"> </v>
      </c>
      <c r="W25" s="55" t="str">
        <f>Table32[[#This Row],[2nd hour I Sem]]</f>
        <v xml:space="preserve"> </v>
      </c>
      <c r="X25" s="55" t="str">
        <f>Table32[[#This Row],[3rd hour I Sem]]</f>
        <v xml:space="preserve"> </v>
      </c>
      <c r="Y25" s="64" t="str">
        <f>Table32[[#This Row],[4th hour I Sem]]</f>
        <v xml:space="preserve"> </v>
      </c>
      <c r="Z25" s="56" t="str">
        <f>Table323[[#This Row],[1st hour V sem]]</f>
        <v xml:space="preserve"> </v>
      </c>
      <c r="AA25" s="55" t="str">
        <f>Table323[[#This Row],[2nd hour V sem]]</f>
        <v xml:space="preserve"> </v>
      </c>
      <c r="AB25" s="55" t="str">
        <f>Table323[[#This Row],[3rd hour V sem]]</f>
        <v xml:space="preserve"> </v>
      </c>
      <c r="AC25" s="58" t="str">
        <f>Table323[[#This Row],[4th hour V sem]]</f>
        <v xml:space="preserve"> </v>
      </c>
      <c r="AD25" s="57" t="str">
        <f>Table323[[#This Row],[1st hour III Sem]]</f>
        <v>SP (F)</v>
      </c>
      <c r="AE25" s="55" t="str">
        <f>Table323[[#This Row],[2nd hour III Sem]]</f>
        <v>SP (N)</v>
      </c>
      <c r="AF25" s="55" t="str">
        <f>Table323[[#This Row],[3rd hour III Sem]]</f>
        <v xml:space="preserve"> </v>
      </c>
      <c r="AG25" s="58" t="str">
        <f>Table323[[#This Row],[4th hour III Sem]]</f>
        <v xml:space="preserve"> </v>
      </c>
      <c r="AH25" s="57" t="str">
        <f>Table323[[#This Row],[1st hour I Sem]]</f>
        <v xml:space="preserve"> </v>
      </c>
      <c r="AI25" s="55" t="str">
        <f>Table323[[#This Row],[2nd hour I Sem]]</f>
        <v xml:space="preserve"> </v>
      </c>
      <c r="AJ25" s="55" t="str">
        <f>Table323[[#This Row],[3rd hour I Sem]]</f>
        <v xml:space="preserve"> </v>
      </c>
      <c r="AK25" s="64" t="str">
        <f>Table323[[#This Row],[4th hour I Sem]]</f>
        <v xml:space="preserve"> </v>
      </c>
      <c r="AL25" s="56" t="str">
        <f>Table3235[[#This Row],[1st hour V sem]]</f>
        <v xml:space="preserve"> </v>
      </c>
      <c r="AM25" s="55" t="str">
        <f>Table3235[[#This Row],[2nd hour V sem]]</f>
        <v xml:space="preserve"> </v>
      </c>
      <c r="AN25" s="55" t="str">
        <f>Table3235[[#This Row],[3rd hour V sem]]</f>
        <v xml:space="preserve"> </v>
      </c>
      <c r="AO25" s="58" t="str">
        <f>Table3235[[#This Row],[4th hour V sem]]</f>
        <v xml:space="preserve"> </v>
      </c>
      <c r="AP25" s="57" t="str">
        <f>Table3235[[#This Row],[1st hour III Sem]]</f>
        <v>SP (F)</v>
      </c>
      <c r="AQ25" s="55" t="str">
        <f>Table3235[[#This Row],[2nd hour III Sem]]</f>
        <v>SP (H)</v>
      </c>
      <c r="AR25" s="55" t="str">
        <f>Table3235[[#This Row],[3rd hour III Sem]]</f>
        <v>SP (N)</v>
      </c>
      <c r="AS25" s="58" t="str">
        <f>Table3235[[#This Row],[4th hour III Sem]]</f>
        <v>EVS (D)</v>
      </c>
      <c r="AT25" s="57" t="str">
        <f>Table3235[[#This Row],[1st hour I Sem]]</f>
        <v xml:space="preserve"> </v>
      </c>
      <c r="AU25" s="55" t="str">
        <f>Table3235[[#This Row],[2nd hour I Sem]]</f>
        <v xml:space="preserve"> </v>
      </c>
      <c r="AV25" s="55" t="str">
        <f>Table3235[[#This Row],[3rd hour I Sem]]</f>
        <v xml:space="preserve"> </v>
      </c>
      <c r="AW25" s="64" t="str">
        <f>Table3235[[#This Row],[4th hour I Sem]]</f>
        <v xml:space="preserve"> </v>
      </c>
      <c r="AX25" s="56" t="str">
        <f>Table32356[[#This Row],[1st hour V sem]]</f>
        <v xml:space="preserve"> </v>
      </c>
      <c r="AY25" s="55" t="str">
        <f>Table32356[[#This Row],[2nd hour V sem]]</f>
        <v xml:space="preserve"> </v>
      </c>
      <c r="AZ25" s="55" t="str">
        <f>Table32356[[#This Row],[3rd hour V sem]]</f>
        <v xml:space="preserve"> </v>
      </c>
      <c r="BA25" s="58" t="str">
        <f>Table32356[[#This Row],[4th hour V sem]]</f>
        <v xml:space="preserve"> </v>
      </c>
      <c r="BB25" s="57" t="str">
        <f>Table32356[[#This Row],[1st hour III Sem]]</f>
        <v xml:space="preserve"> </v>
      </c>
      <c r="BC25" s="55" t="str">
        <f>Table32356[[#This Row],[2nd hour III Sem]]</f>
        <v>SP (M)</v>
      </c>
      <c r="BD25" s="55" t="str">
        <f>Table32356[[#This Row],[3rd hour III Sem]]</f>
        <v xml:space="preserve"> </v>
      </c>
      <c r="BE25" s="58" t="str">
        <f>Table32356[[#This Row],[4th hour III Sem]]</f>
        <v xml:space="preserve"> </v>
      </c>
      <c r="BF25" s="57" t="str">
        <f>Table32356[[#This Row],[1st hour I Sem]]</f>
        <v xml:space="preserve"> </v>
      </c>
      <c r="BG25" s="55" t="str">
        <f>Table32356[[#This Row],[2nd hour I Sem]]</f>
        <v xml:space="preserve"> </v>
      </c>
      <c r="BH25" s="55" t="str">
        <f>Table32356[[#This Row],[3rd hour I Sem]]</f>
        <v xml:space="preserve"> </v>
      </c>
      <c r="BI25" s="64" t="str">
        <f>Table32356[[#This Row],[4th hour I Sem]]</f>
        <v xml:space="preserve"> </v>
      </c>
      <c r="BJ25" s="56" t="str">
        <f>Table323567[[#This Row],[1st hour V sem]]</f>
        <v xml:space="preserve"> </v>
      </c>
      <c r="BK25" s="55" t="str">
        <f>Table323567[[#This Row],[2nd hour V sem]]</f>
        <v xml:space="preserve"> </v>
      </c>
      <c r="BL25" s="55" t="str">
        <f>Table323567[[#This Row],[3rd hour V sem]]</f>
        <v xml:space="preserve"> </v>
      </c>
      <c r="BM25" s="58" t="str">
        <f>Table323567[[#This Row],[4th hour V sem]]</f>
        <v xml:space="preserve"> </v>
      </c>
      <c r="BN25" s="57" t="str">
        <f>Table323567[[#This Row],[1st hour III Sem]]</f>
        <v>SP (N)</v>
      </c>
      <c r="BO25" s="55" t="str">
        <f>Table323567[[#This Row],[2nd hour III Sem]]</f>
        <v xml:space="preserve"> </v>
      </c>
      <c r="BP25" s="55" t="str">
        <f>Table323567[[#This Row],[3rd hour III Sem]]</f>
        <v xml:space="preserve"> </v>
      </c>
      <c r="BQ25" s="58" t="str">
        <f>Table323567[[#This Row],[4th hour III Sem]]</f>
        <v xml:space="preserve"> </v>
      </c>
      <c r="BR25" s="57" t="str">
        <f>Table323567[[#This Row],[1st hour I Sem]]</f>
        <v xml:space="preserve"> </v>
      </c>
      <c r="BS25" s="55" t="str">
        <f>Table323567[[#This Row],[2nd hour I Sem]]</f>
        <v xml:space="preserve"> </v>
      </c>
      <c r="BT25" s="55" t="str">
        <f>Table323567[[#This Row],[3rd hour I Sem]]</f>
        <v xml:space="preserve"> </v>
      </c>
      <c r="BU25" s="64" t="str">
        <f>Table323567[[#This Row],[Column1]]</f>
        <v xml:space="preserve"> </v>
      </c>
    </row>
    <row r="26" spans="1:73" s="54" customFormat="1" x14ac:dyDescent="0.35">
      <c r="A26" s="165" t="str">
        <f>Mon!U26</f>
        <v>(MK)</v>
      </c>
      <c r="B26" s="56" t="str">
        <f>Table3[[#This Row],[1st hour V sem]]</f>
        <v xml:space="preserve"> </v>
      </c>
      <c r="C26" s="55" t="str">
        <f>Table3[[#This Row],[2nd hour V sem]]</f>
        <v xml:space="preserve"> </v>
      </c>
      <c r="D26" s="55" t="str">
        <f>Table3[[#This Row],[3rd hour V sem]]</f>
        <v xml:space="preserve"> </v>
      </c>
      <c r="E26" s="58" t="str">
        <f>Table3[[#This Row],[4th hour V sem]]</f>
        <v xml:space="preserve"> </v>
      </c>
      <c r="F26" s="57" t="str">
        <f>Table3[[#This Row],[1st hour III Sem]]</f>
        <v xml:space="preserve"> </v>
      </c>
      <c r="G26" s="55" t="str">
        <f>Table3[[#This Row],[2nd hour III Sem]]</f>
        <v xml:space="preserve"> </v>
      </c>
      <c r="H26" s="55" t="str">
        <f>Table3[[#This Row],[3rd hour III Sem]]</f>
        <v xml:space="preserve"> </v>
      </c>
      <c r="I26" s="58" t="str">
        <f>Table3[[#This Row],[4th hour III Sem]]</f>
        <v xml:space="preserve"> </v>
      </c>
      <c r="J26" s="57" t="str">
        <f>Table3[[#This Row],[1st hour I Sem]]</f>
        <v>FA (H)</v>
      </c>
      <c r="K26" s="55" t="str">
        <f>Table3[[#This Row],[2nd hour I Sem]]</f>
        <v xml:space="preserve"> </v>
      </c>
      <c r="L26" s="55" t="str">
        <f>Table3[[#This Row],[3rd hour I Sem]]</f>
        <v>FA (C)</v>
      </c>
      <c r="M26" s="55" t="str">
        <f>Table3[[#This Row],[4th hour I Sem]]</f>
        <v>FA (A)</v>
      </c>
      <c r="N26" s="56" t="str">
        <f>Table32[[#This Row],[1st hour V sem]]</f>
        <v xml:space="preserve"> </v>
      </c>
      <c r="O26" s="55" t="str">
        <f>Table32[[#This Row],[2nd hour V sem]]</f>
        <v xml:space="preserve"> </v>
      </c>
      <c r="P26" s="55" t="str">
        <f>Table32[[#This Row],[3rd hour V sem]]</f>
        <v xml:space="preserve"> </v>
      </c>
      <c r="Q26" s="73" t="str">
        <f>Table32[[#This Row],[4th hour V sem]]</f>
        <v xml:space="preserve"> </v>
      </c>
      <c r="R26" s="57" t="str">
        <f>Table32[[#This Row],[1st hour III Sem]]</f>
        <v xml:space="preserve"> </v>
      </c>
      <c r="S26" s="55" t="str">
        <f>Table32[[#This Row],[2nd hour III Sem]]</f>
        <v xml:space="preserve"> </v>
      </c>
      <c r="T26" s="55" t="str">
        <f>Table32[[#This Row],[3rd hour III Sem]]</f>
        <v xml:space="preserve"> </v>
      </c>
      <c r="U26" s="58" t="str">
        <f>Table32[[#This Row],[4th hour III Sem]]</f>
        <v xml:space="preserve"> </v>
      </c>
      <c r="V26" s="74" t="str">
        <f>Table32[[#This Row],[1st hour I Sem]]</f>
        <v>FA (A)</v>
      </c>
      <c r="W26" s="55" t="str">
        <f>Table32[[#This Row],[2nd hour I Sem]]</f>
        <v>FA (H)</v>
      </c>
      <c r="X26" s="55" t="str">
        <f>Table32[[#This Row],[3rd hour I Sem]]</f>
        <v>FA (N)</v>
      </c>
      <c r="Y26" s="64" t="str">
        <f>Table32[[#This Row],[4th hour I Sem]]</f>
        <v>FA (C)</v>
      </c>
      <c r="Z26" s="56" t="str">
        <f>Table323[[#This Row],[1st hour V sem]]</f>
        <v xml:space="preserve"> </v>
      </c>
      <c r="AA26" s="55" t="str">
        <f>Table323[[#This Row],[2nd hour V sem]]</f>
        <v xml:space="preserve"> </v>
      </c>
      <c r="AB26" s="55" t="str">
        <f>Table323[[#This Row],[3rd hour V sem]]</f>
        <v xml:space="preserve"> </v>
      </c>
      <c r="AC26" s="58" t="str">
        <f>Table323[[#This Row],[4th hour V sem]]</f>
        <v xml:space="preserve"> </v>
      </c>
      <c r="AD26" s="57" t="str">
        <f>Table323[[#This Row],[1st hour III Sem]]</f>
        <v xml:space="preserve"> </v>
      </c>
      <c r="AE26" s="55" t="str">
        <f>Table323[[#This Row],[2nd hour III Sem]]</f>
        <v xml:space="preserve"> </v>
      </c>
      <c r="AF26" s="55" t="str">
        <f>Table323[[#This Row],[3rd hour III Sem]]</f>
        <v xml:space="preserve"> </v>
      </c>
      <c r="AG26" s="58" t="str">
        <f>Table323[[#This Row],[4th hour III Sem]]</f>
        <v xml:space="preserve"> </v>
      </c>
      <c r="AH26" s="57" t="str">
        <f>Table323[[#This Row],[1st hour I Sem]]</f>
        <v>FA (C)</v>
      </c>
      <c r="AI26" s="55" t="str">
        <f>Table323[[#This Row],[2nd hour I Sem]]</f>
        <v>FA (K)</v>
      </c>
      <c r="AJ26" s="55" t="str">
        <f>Table323[[#This Row],[3rd hour I Sem]]</f>
        <v>FA (N)</v>
      </c>
      <c r="AK26" s="64" t="str">
        <f>Table323[[#This Row],[4th hour I Sem]]</f>
        <v>FA (H)</v>
      </c>
      <c r="AL26" s="56" t="str">
        <f>Table3235[[#This Row],[1st hour V sem]]</f>
        <v xml:space="preserve"> </v>
      </c>
      <c r="AM26" s="55" t="str">
        <f>Table3235[[#This Row],[2nd hour V sem]]</f>
        <v xml:space="preserve"> </v>
      </c>
      <c r="AN26" s="55" t="str">
        <f>Table3235[[#This Row],[3rd hour V sem]]</f>
        <v xml:space="preserve"> </v>
      </c>
      <c r="AO26" s="58" t="str">
        <f>Table3235[[#This Row],[4th hour V sem]]</f>
        <v xml:space="preserve"> </v>
      </c>
      <c r="AP26" s="57" t="str">
        <f>Table3235[[#This Row],[1st hour III Sem]]</f>
        <v xml:space="preserve"> </v>
      </c>
      <c r="AQ26" s="55" t="str">
        <f>Table3235[[#This Row],[2nd hour III Sem]]</f>
        <v xml:space="preserve"> </v>
      </c>
      <c r="AR26" s="55" t="str">
        <f>Table3235[[#This Row],[3rd hour III Sem]]</f>
        <v xml:space="preserve"> </v>
      </c>
      <c r="AS26" s="58" t="str">
        <f>Table3235[[#This Row],[4th hour III Sem]]</f>
        <v xml:space="preserve"> </v>
      </c>
      <c r="AT26" s="57" t="str">
        <f>Table3235[[#This Row],[1st hour I Sem]]</f>
        <v xml:space="preserve"> </v>
      </c>
      <c r="AU26" s="55" t="str">
        <f>Table3235[[#This Row],[2nd hour I Sem]]</f>
        <v xml:space="preserve"> </v>
      </c>
      <c r="AV26" s="55" t="str">
        <f>Table3235[[#This Row],[3rd hour I Sem]]</f>
        <v>FA (K)</v>
      </c>
      <c r="AW26" s="64" t="str">
        <f>Table3235[[#This Row],[4th hour I Sem]]</f>
        <v>FA (N)</v>
      </c>
      <c r="AX26" s="56" t="str">
        <f>Table32356[[#This Row],[1st hour V sem]]</f>
        <v xml:space="preserve"> </v>
      </c>
      <c r="AY26" s="55" t="str">
        <f>Table32356[[#This Row],[2nd hour V sem]]</f>
        <v xml:space="preserve"> </v>
      </c>
      <c r="AZ26" s="55" t="str">
        <f>Table32356[[#This Row],[3rd hour V sem]]</f>
        <v xml:space="preserve"> </v>
      </c>
      <c r="BA26" s="58" t="str">
        <f>Table32356[[#This Row],[4th hour V sem]]</f>
        <v xml:space="preserve"> </v>
      </c>
      <c r="BB26" s="57" t="str">
        <f>Table32356[[#This Row],[1st hour III Sem]]</f>
        <v xml:space="preserve"> </v>
      </c>
      <c r="BC26" s="55" t="str">
        <f>Table32356[[#This Row],[2nd hour III Sem]]</f>
        <v xml:space="preserve"> </v>
      </c>
      <c r="BD26" s="55" t="str">
        <f>Table32356[[#This Row],[3rd hour III Sem]]</f>
        <v xml:space="preserve"> </v>
      </c>
      <c r="BE26" s="58" t="str">
        <f>Table32356[[#This Row],[4th hour III Sem]]</f>
        <v xml:space="preserve"> </v>
      </c>
      <c r="BF26" s="57" t="str">
        <f>Table32356[[#This Row],[1st hour I Sem]]</f>
        <v>FA (H)</v>
      </c>
      <c r="BG26" s="55" t="str">
        <f>Table32356[[#This Row],[2nd hour I Sem]]</f>
        <v xml:space="preserve"> </v>
      </c>
      <c r="BH26" s="55" t="str">
        <f>Table32356[[#This Row],[3rd hour I Sem]]</f>
        <v>FA (N)</v>
      </c>
      <c r="BI26" s="64" t="str">
        <f>Table32356[[#This Row],[4th hour I Sem]]</f>
        <v>FA (A)</v>
      </c>
      <c r="BJ26" s="56" t="str">
        <f>Table323567[[#This Row],[1st hour V sem]]</f>
        <v xml:space="preserve"> </v>
      </c>
      <c r="BK26" s="55" t="str">
        <f>Table323567[[#This Row],[2nd hour V sem]]</f>
        <v xml:space="preserve"> </v>
      </c>
      <c r="BL26" s="55" t="str">
        <f>Table323567[[#This Row],[3rd hour V sem]]</f>
        <v xml:space="preserve"> </v>
      </c>
      <c r="BM26" s="58" t="str">
        <f>Table323567[[#This Row],[4th hour V sem]]</f>
        <v xml:space="preserve"> </v>
      </c>
      <c r="BN26" s="57" t="str">
        <f>Table323567[[#This Row],[1st hour III Sem]]</f>
        <v xml:space="preserve"> </v>
      </c>
      <c r="BO26" s="55" t="str">
        <f>Table323567[[#This Row],[2nd hour III Sem]]</f>
        <v xml:space="preserve"> </v>
      </c>
      <c r="BP26" s="55" t="str">
        <f>Table323567[[#This Row],[3rd hour III Sem]]</f>
        <v xml:space="preserve"> </v>
      </c>
      <c r="BQ26" s="58" t="str">
        <f>Table323567[[#This Row],[4th hour III Sem]]</f>
        <v xml:space="preserve"> </v>
      </c>
      <c r="BR26" s="57" t="str">
        <f>Table323567[[#This Row],[1st hour I Sem]]</f>
        <v xml:space="preserve"> </v>
      </c>
      <c r="BS26" s="55" t="str">
        <f>Table323567[[#This Row],[2nd hour I Sem]]</f>
        <v>FA (C)</v>
      </c>
      <c r="BT26" s="55" t="str">
        <f>Table323567[[#This Row],[3rd hour I Sem]]</f>
        <v xml:space="preserve"> </v>
      </c>
      <c r="BU26" s="64" t="str">
        <f>Table323567[[#This Row],[Column1]]</f>
        <v xml:space="preserve"> </v>
      </c>
    </row>
    <row r="27" spans="1:73" s="54" customFormat="1" x14ac:dyDescent="0.35">
      <c r="A27" s="165" t="str">
        <f>Mon!U27</f>
        <v>(MS)</v>
      </c>
      <c r="B27" s="56" t="str">
        <f>Table3[[#This Row],[1st hour V sem]]</f>
        <v>AA (F)</v>
      </c>
      <c r="C27" s="55" t="str">
        <f>Table3[[#This Row],[2nd hour V sem]]</f>
        <v xml:space="preserve"> </v>
      </c>
      <c r="D27" s="55" t="str">
        <f>Table3[[#This Row],[3rd hour V sem]]</f>
        <v xml:space="preserve"> </v>
      </c>
      <c r="E27" s="58" t="str">
        <f>Table3[[#This Row],[4th hour V sem]]</f>
        <v>FMS (B)</v>
      </c>
      <c r="F27" s="57" t="str">
        <f>Table3[[#This Row],[1st hour III Sem]]</f>
        <v xml:space="preserve"> </v>
      </c>
      <c r="G27" s="55" t="str">
        <f>Table3[[#This Row],[2nd hour III Sem]]</f>
        <v>ED (I)</v>
      </c>
      <c r="H27" s="55" t="str">
        <f>Table3[[#This Row],[3rd hour III Sem]]</f>
        <v xml:space="preserve"> </v>
      </c>
      <c r="I27" s="58" t="str">
        <f>Table3[[#This Row],[4th hour III Sem]]</f>
        <v xml:space="preserve"> </v>
      </c>
      <c r="J27" s="57" t="str">
        <f>Table3[[#This Row],[1st hour I Sem]]</f>
        <v xml:space="preserve"> </v>
      </c>
      <c r="K27" s="55" t="str">
        <f>Table3[[#This Row],[2nd hour I Sem]]</f>
        <v xml:space="preserve"> </v>
      </c>
      <c r="L27" s="55" t="str">
        <f>Table3[[#This Row],[3rd hour I Sem]]</f>
        <v xml:space="preserve"> </v>
      </c>
      <c r="M27" s="55" t="str">
        <f>Table3[[#This Row],[4th hour I Sem]]</f>
        <v xml:space="preserve"> </v>
      </c>
      <c r="N27" s="56" t="str">
        <f>Table32[[#This Row],[1st hour V sem]]</f>
        <v xml:space="preserve"> </v>
      </c>
      <c r="O27" s="55" t="str">
        <f>Table32[[#This Row],[2nd hour V sem]]</f>
        <v>AA (C)</v>
      </c>
      <c r="P27" s="55" t="str">
        <f>Table32[[#This Row],[3rd hour V sem]]</f>
        <v>FMS (E)</v>
      </c>
      <c r="Q27" s="73" t="str">
        <f>Table32[[#This Row],[4th hour V sem]]</f>
        <v xml:space="preserve"> </v>
      </c>
      <c r="R27" s="57" t="str">
        <f>Table32[[#This Row],[1st hour III Sem]]</f>
        <v>ED (C)</v>
      </c>
      <c r="S27" s="55" t="str">
        <f>Table32[[#This Row],[2nd hour III Sem]]</f>
        <v xml:space="preserve"> </v>
      </c>
      <c r="T27" s="55" t="str">
        <f>Table32[[#This Row],[3rd hour III Sem]]</f>
        <v xml:space="preserve"> </v>
      </c>
      <c r="U27" s="58" t="str">
        <f>Table32[[#This Row],[4th hour III Sem]]</f>
        <v xml:space="preserve"> </v>
      </c>
      <c r="V27" s="74" t="str">
        <f>Table32[[#This Row],[1st hour I Sem]]</f>
        <v xml:space="preserve"> </v>
      </c>
      <c r="W27" s="55" t="str">
        <f>Table32[[#This Row],[2nd hour I Sem]]</f>
        <v xml:space="preserve"> </v>
      </c>
      <c r="X27" s="55" t="str">
        <f>Table32[[#This Row],[3rd hour I Sem]]</f>
        <v xml:space="preserve"> </v>
      </c>
      <c r="Y27" s="64" t="str">
        <f>Table32[[#This Row],[4th hour I Sem]]</f>
        <v xml:space="preserve"> </v>
      </c>
      <c r="Z27" s="56" t="str">
        <f>Table323[[#This Row],[1st hour V sem]]</f>
        <v xml:space="preserve"> </v>
      </c>
      <c r="AA27" s="55" t="str">
        <f>Table323[[#This Row],[2nd hour V sem]]</f>
        <v>FMS (B)</v>
      </c>
      <c r="AB27" s="55" t="str">
        <f>Table323[[#This Row],[3rd hour V sem]]</f>
        <v>AA (C)</v>
      </c>
      <c r="AC27" s="58" t="str">
        <f>Table323[[#This Row],[4th hour V sem]]</f>
        <v xml:space="preserve"> </v>
      </c>
      <c r="AD27" s="57" t="str">
        <f>Table323[[#This Row],[1st hour III Sem]]</f>
        <v xml:space="preserve"> </v>
      </c>
      <c r="AE27" s="55" t="str">
        <f>Table323[[#This Row],[2nd hour III Sem]]</f>
        <v xml:space="preserve"> </v>
      </c>
      <c r="AF27" s="55" t="str">
        <f>Table323[[#This Row],[3rd hour III Sem]]</f>
        <v xml:space="preserve"> </v>
      </c>
      <c r="AG27" s="58" t="str">
        <f>Table323[[#This Row],[4th hour III Sem]]</f>
        <v xml:space="preserve"> </v>
      </c>
      <c r="AH27" s="57" t="str">
        <f>Table323[[#This Row],[1st hour I Sem]]</f>
        <v xml:space="preserve"> </v>
      </c>
      <c r="AI27" s="55" t="str">
        <f>Table323[[#This Row],[2nd hour I Sem]]</f>
        <v xml:space="preserve"> </v>
      </c>
      <c r="AJ27" s="55" t="str">
        <f>Table323[[#This Row],[3rd hour I Sem]]</f>
        <v xml:space="preserve"> </v>
      </c>
      <c r="AK27" s="64" t="str">
        <f>Table323[[#This Row],[4th hour I Sem]]</f>
        <v xml:space="preserve"> </v>
      </c>
      <c r="AL27" s="56" t="str">
        <f>Table3235[[#This Row],[1st hour V sem]]</f>
        <v>AA (F)</v>
      </c>
      <c r="AM27" s="55" t="str">
        <f>Table3235[[#This Row],[2nd hour V sem]]</f>
        <v>AA (C)</v>
      </c>
      <c r="AN27" s="55" t="str">
        <f>Table3235[[#This Row],[3rd hour V sem]]</f>
        <v xml:space="preserve"> </v>
      </c>
      <c r="AO27" s="58" t="str">
        <f>Table3235[[#This Row],[4th hour V sem]]</f>
        <v xml:space="preserve"> </v>
      </c>
      <c r="AP27" s="57" t="str">
        <f>Table3235[[#This Row],[1st hour III Sem]]</f>
        <v xml:space="preserve"> </v>
      </c>
      <c r="AQ27" s="55" t="str">
        <f>Table3235[[#This Row],[2nd hour III Sem]]</f>
        <v xml:space="preserve"> </v>
      </c>
      <c r="AR27" s="55" t="str">
        <f>Table3235[[#This Row],[3rd hour III Sem]]</f>
        <v>ED (C)</v>
      </c>
      <c r="AS27" s="58" t="str">
        <f>Table3235[[#This Row],[4th hour III Sem]]</f>
        <v>ED (I)</v>
      </c>
      <c r="AT27" s="57" t="str">
        <f>Table3235[[#This Row],[1st hour I Sem]]</f>
        <v xml:space="preserve"> </v>
      </c>
      <c r="AU27" s="55" t="str">
        <f>Table3235[[#This Row],[2nd hour I Sem]]</f>
        <v xml:space="preserve"> </v>
      </c>
      <c r="AV27" s="55" t="str">
        <f>Table3235[[#This Row],[3rd hour I Sem]]</f>
        <v xml:space="preserve"> </v>
      </c>
      <c r="AW27" s="64" t="str">
        <f>Table3235[[#This Row],[4th hour I Sem]]</f>
        <v xml:space="preserve"> </v>
      </c>
      <c r="AX27" s="56" t="str">
        <f>Table32356[[#This Row],[1st hour V sem]]</f>
        <v>FMS (B)</v>
      </c>
      <c r="AY27" s="55" t="str">
        <f>Table32356[[#This Row],[2nd hour V sem]]</f>
        <v xml:space="preserve"> </v>
      </c>
      <c r="AZ27" s="55" t="str">
        <f>Table32356[[#This Row],[3rd hour V sem]]</f>
        <v>AA (F)</v>
      </c>
      <c r="BA27" s="58" t="str">
        <f>Table32356[[#This Row],[4th hour V sem]]</f>
        <v xml:space="preserve"> </v>
      </c>
      <c r="BB27" s="57" t="str">
        <f>Table32356[[#This Row],[1st hour III Sem]]</f>
        <v xml:space="preserve"> </v>
      </c>
      <c r="BC27" s="55" t="str">
        <f>Table32356[[#This Row],[2nd hour III Sem]]</f>
        <v>ED (I)</v>
      </c>
      <c r="BD27" s="55" t="str">
        <f>Table32356[[#This Row],[3rd hour III Sem]]</f>
        <v xml:space="preserve"> </v>
      </c>
      <c r="BE27" s="58" t="str">
        <f>Table32356[[#This Row],[4th hour III Sem]]</f>
        <v xml:space="preserve"> </v>
      </c>
      <c r="BF27" s="57" t="str">
        <f>Table32356[[#This Row],[1st hour I Sem]]</f>
        <v xml:space="preserve"> </v>
      </c>
      <c r="BG27" s="55" t="str">
        <f>Table32356[[#This Row],[2nd hour I Sem]]</f>
        <v xml:space="preserve"> </v>
      </c>
      <c r="BH27" s="55" t="str">
        <f>Table32356[[#This Row],[3rd hour I Sem]]</f>
        <v xml:space="preserve"> </v>
      </c>
      <c r="BI27" s="64" t="str">
        <f>Table32356[[#This Row],[4th hour I Sem]]</f>
        <v xml:space="preserve"> </v>
      </c>
      <c r="BJ27" s="56" t="str">
        <f>Table323567[[#This Row],[1st hour V sem]]</f>
        <v>FMS (E)</v>
      </c>
      <c r="BK27" s="55" t="str">
        <f>Table323567[[#This Row],[2nd hour V sem]]</f>
        <v xml:space="preserve"> </v>
      </c>
      <c r="BL27" s="55" t="str">
        <f>Table323567[[#This Row],[3rd hour V sem]]</f>
        <v xml:space="preserve"> </v>
      </c>
      <c r="BM27" s="58" t="str">
        <f>Table323567[[#This Row],[4th hour V sem]]</f>
        <v xml:space="preserve"> </v>
      </c>
      <c r="BN27" s="57" t="str">
        <f>Table323567[[#This Row],[1st hour III Sem]]</f>
        <v xml:space="preserve"> </v>
      </c>
      <c r="BO27" s="55" t="str">
        <f>Table323567[[#This Row],[2nd hour III Sem]]</f>
        <v xml:space="preserve"> </v>
      </c>
      <c r="BP27" s="55" t="str">
        <f>Table323567[[#This Row],[3rd hour III Sem]]</f>
        <v>ED (C)</v>
      </c>
      <c r="BQ27" s="58" t="str">
        <f>Table323567[[#This Row],[4th hour III Sem]]</f>
        <v xml:space="preserve"> </v>
      </c>
      <c r="BR27" s="57" t="str">
        <f>Table323567[[#This Row],[1st hour I Sem]]</f>
        <v xml:space="preserve"> </v>
      </c>
      <c r="BS27" s="55" t="str">
        <f>Table323567[[#This Row],[2nd hour I Sem]]</f>
        <v xml:space="preserve"> </v>
      </c>
      <c r="BT27" s="55" t="str">
        <f>Table323567[[#This Row],[3rd hour I Sem]]</f>
        <v xml:space="preserve"> </v>
      </c>
      <c r="BU27" s="64" t="str">
        <f>Table323567[[#This Row],[Column1]]</f>
        <v xml:space="preserve"> </v>
      </c>
    </row>
    <row r="28" spans="1:73" s="54" customFormat="1" x14ac:dyDescent="0.35">
      <c r="A28" s="165" t="str">
        <f>Mon!U28</f>
        <v>(ND)</v>
      </c>
      <c r="B28" s="56" t="str">
        <f>Table3[[#This Row],[1st hour V sem]]</f>
        <v xml:space="preserve"> </v>
      </c>
      <c r="C28" s="55" t="str">
        <f>Table3[[#This Row],[2nd hour V sem]]</f>
        <v xml:space="preserve"> </v>
      </c>
      <c r="D28" s="55" t="str">
        <f>Table3[[#This Row],[3rd hour V sem]]</f>
        <v xml:space="preserve"> </v>
      </c>
      <c r="E28" s="58" t="str">
        <f>Table3[[#This Row],[4th hour V sem]]</f>
        <v xml:space="preserve"> </v>
      </c>
      <c r="F28" s="57" t="str">
        <f>Table3[[#This Row],[1st hour III Sem]]</f>
        <v>OP (J)</v>
      </c>
      <c r="G28" s="55" t="str">
        <f>Table3[[#This Row],[2nd hour III Sem]]</f>
        <v xml:space="preserve"> </v>
      </c>
      <c r="H28" s="55" t="str">
        <f>Table3[[#This Row],[3rd hour III Sem]]</f>
        <v>OP (K)</v>
      </c>
      <c r="I28" s="58" t="str">
        <f>Table3[[#This Row],[4th hour III Sem]]</f>
        <v>OP (L)</v>
      </c>
      <c r="J28" s="57" t="str">
        <f>Table3[[#This Row],[1st hour I Sem]]</f>
        <v xml:space="preserve"> </v>
      </c>
      <c r="K28" s="55" t="str">
        <f>Table3[[#This Row],[2nd hour I Sem]]</f>
        <v xml:space="preserve"> </v>
      </c>
      <c r="L28" s="55" t="str">
        <f>Table3[[#This Row],[3rd hour I Sem]]</f>
        <v xml:space="preserve"> </v>
      </c>
      <c r="M28" s="55" t="str">
        <f>Table3[[#This Row],[4th hour I Sem]]</f>
        <v xml:space="preserve"> </v>
      </c>
      <c r="N28" s="56" t="str">
        <f>Table32[[#This Row],[1st hour V sem]]</f>
        <v xml:space="preserve"> </v>
      </c>
      <c r="O28" s="55" t="str">
        <f>Table32[[#This Row],[2nd hour V sem]]</f>
        <v xml:space="preserve"> </v>
      </c>
      <c r="P28" s="55" t="str">
        <f>Table32[[#This Row],[3rd hour V sem]]</f>
        <v xml:space="preserve"> </v>
      </c>
      <c r="Q28" s="73" t="str">
        <f>Table32[[#This Row],[4th hour V sem]]</f>
        <v xml:space="preserve"> </v>
      </c>
      <c r="R28" s="57" t="str">
        <f>Table32[[#This Row],[1st hour III Sem]]</f>
        <v xml:space="preserve"> </v>
      </c>
      <c r="S28" s="55" t="str">
        <f>Table32[[#This Row],[2nd hour III Sem]]</f>
        <v>OP (A)</v>
      </c>
      <c r="T28" s="55" t="str">
        <f>Table32[[#This Row],[3rd hour III Sem]]</f>
        <v>OP (C)</v>
      </c>
      <c r="U28" s="58" t="str">
        <f>Table32[[#This Row],[4th hour III Sem]]</f>
        <v>OP (L)</v>
      </c>
      <c r="V28" s="74" t="str">
        <f>Table32[[#This Row],[1st hour I Sem]]</f>
        <v xml:space="preserve"> </v>
      </c>
      <c r="W28" s="55" t="str">
        <f>Table32[[#This Row],[2nd hour I Sem]]</f>
        <v xml:space="preserve"> </v>
      </c>
      <c r="X28" s="55" t="str">
        <f>Table32[[#This Row],[3rd hour I Sem]]</f>
        <v xml:space="preserve"> </v>
      </c>
      <c r="Y28" s="64" t="str">
        <f>Table32[[#This Row],[4th hour I Sem]]</f>
        <v xml:space="preserve"> </v>
      </c>
      <c r="Z28" s="56" t="str">
        <f>Table323[[#This Row],[1st hour V sem]]</f>
        <v>ES (L)</v>
      </c>
      <c r="AA28" s="55" t="str">
        <f>Table323[[#This Row],[2nd hour V sem]]</f>
        <v xml:space="preserve"> </v>
      </c>
      <c r="AB28" s="55" t="str">
        <f>Table323[[#This Row],[3rd hour V sem]]</f>
        <v xml:space="preserve"> </v>
      </c>
      <c r="AC28" s="58" t="str">
        <f>Table323[[#This Row],[4th hour V sem]]</f>
        <v xml:space="preserve"> </v>
      </c>
      <c r="AD28" s="57" t="str">
        <f>Table323[[#This Row],[1st hour III Sem]]</f>
        <v xml:space="preserve"> </v>
      </c>
      <c r="AE28" s="55" t="str">
        <f>Table323[[#This Row],[2nd hour III Sem]]</f>
        <v>OP (C)</v>
      </c>
      <c r="AF28" s="55" t="str">
        <f>Table323[[#This Row],[3rd hour III Sem]]</f>
        <v>OP (K)</v>
      </c>
      <c r="AG28" s="58" t="str">
        <f>Table323[[#This Row],[4th hour III Sem]]</f>
        <v xml:space="preserve"> </v>
      </c>
      <c r="AH28" s="57" t="str">
        <f>Table323[[#This Row],[1st hour I Sem]]</f>
        <v xml:space="preserve"> </v>
      </c>
      <c r="AI28" s="55" t="str">
        <f>Table323[[#This Row],[2nd hour I Sem]]</f>
        <v xml:space="preserve"> </v>
      </c>
      <c r="AJ28" s="55" t="str">
        <f>Table323[[#This Row],[3rd hour I Sem]]</f>
        <v xml:space="preserve"> </v>
      </c>
      <c r="AK28" s="64" t="str">
        <f>Table323[[#This Row],[4th hour I Sem]]</f>
        <v xml:space="preserve"> </v>
      </c>
      <c r="AL28" s="56" t="str">
        <f>Table3235[[#This Row],[1st hour V sem]]</f>
        <v xml:space="preserve"> </v>
      </c>
      <c r="AM28" s="55" t="str">
        <f>Table3235[[#This Row],[2nd hour V sem]]</f>
        <v xml:space="preserve"> </v>
      </c>
      <c r="AN28" s="55" t="str">
        <f>Table3235[[#This Row],[3rd hour V sem]]</f>
        <v xml:space="preserve"> </v>
      </c>
      <c r="AO28" s="58" t="str">
        <f>Table3235[[#This Row],[4th hour V sem]]</f>
        <v xml:space="preserve"> </v>
      </c>
      <c r="AP28" s="57" t="str">
        <f>Table3235[[#This Row],[1st hour III Sem]]</f>
        <v xml:space="preserve"> </v>
      </c>
      <c r="AQ28" s="55" t="str">
        <f>Table3235[[#This Row],[2nd hour III Sem]]</f>
        <v>OP (K)</v>
      </c>
      <c r="AR28" s="55" t="str">
        <f>Table3235[[#This Row],[3rd hour III Sem]]</f>
        <v>OP (A)</v>
      </c>
      <c r="AS28" s="58" t="str">
        <f>Table3235[[#This Row],[4th hour III Sem]]</f>
        <v>OP (J)</v>
      </c>
      <c r="AT28" s="57" t="str">
        <f>Table3235[[#This Row],[1st hour I Sem]]</f>
        <v xml:space="preserve"> </v>
      </c>
      <c r="AU28" s="55" t="str">
        <f>Table3235[[#This Row],[2nd hour I Sem]]</f>
        <v xml:space="preserve"> </v>
      </c>
      <c r="AV28" s="55" t="str">
        <f>Table3235[[#This Row],[3rd hour I Sem]]</f>
        <v xml:space="preserve"> </v>
      </c>
      <c r="AW28" s="64" t="str">
        <f>Table3235[[#This Row],[4th hour I Sem]]</f>
        <v xml:space="preserve"> </v>
      </c>
      <c r="AX28" s="56" t="str">
        <f>Table32356[[#This Row],[1st hour V sem]]</f>
        <v>ES (L)</v>
      </c>
      <c r="AY28" s="55" t="str">
        <f>Table32356[[#This Row],[2nd hour V sem]]</f>
        <v xml:space="preserve"> </v>
      </c>
      <c r="AZ28" s="55" t="str">
        <f>Table32356[[#This Row],[3rd hour V sem]]</f>
        <v xml:space="preserve"> </v>
      </c>
      <c r="BA28" s="58" t="str">
        <f>Table32356[[#This Row],[4th hour V sem]]</f>
        <v xml:space="preserve"> </v>
      </c>
      <c r="BB28" s="57" t="str">
        <f>Table32356[[#This Row],[1st hour III Sem]]</f>
        <v xml:space="preserve"> </v>
      </c>
      <c r="BC28" s="55" t="str">
        <f>Table32356[[#This Row],[2nd hour III Sem]]</f>
        <v>OP (L)</v>
      </c>
      <c r="BD28" s="55" t="str">
        <f>Table32356[[#This Row],[3rd hour III Sem]]</f>
        <v>OP (A)</v>
      </c>
      <c r="BE28" s="58" t="str">
        <f>Table32356[[#This Row],[4th hour III Sem]]</f>
        <v>OP (J)</v>
      </c>
      <c r="BF28" s="57" t="str">
        <f>Table32356[[#This Row],[1st hour I Sem]]</f>
        <v xml:space="preserve"> </v>
      </c>
      <c r="BG28" s="55" t="str">
        <f>Table32356[[#This Row],[2nd hour I Sem]]</f>
        <v xml:space="preserve"> </v>
      </c>
      <c r="BH28" s="55" t="str">
        <f>Table32356[[#This Row],[3rd hour I Sem]]</f>
        <v xml:space="preserve"> </v>
      </c>
      <c r="BI28" s="64" t="str">
        <f>Table32356[[#This Row],[4th hour I Sem]]</f>
        <v xml:space="preserve"> </v>
      </c>
      <c r="BJ28" s="56" t="str">
        <f>Table323567[[#This Row],[1st hour V sem]]</f>
        <v xml:space="preserve"> </v>
      </c>
      <c r="BK28" s="55" t="str">
        <f>Table323567[[#This Row],[2nd hour V sem]]</f>
        <v xml:space="preserve"> </v>
      </c>
      <c r="BL28" s="55" t="str">
        <f>Table323567[[#This Row],[3rd hour V sem]]</f>
        <v>ES (L)</v>
      </c>
      <c r="BM28" s="58" t="str">
        <f>Table323567[[#This Row],[4th hour V sem]]</f>
        <v xml:space="preserve"> </v>
      </c>
      <c r="BN28" s="57" t="str">
        <f>Table323567[[#This Row],[1st hour III Sem]]</f>
        <v xml:space="preserve"> </v>
      </c>
      <c r="BO28" s="55" t="str">
        <f>Table323567[[#This Row],[2nd hour III Sem]]</f>
        <v>OP (C)</v>
      </c>
      <c r="BP28" s="55" t="str">
        <f>Table323567[[#This Row],[3rd hour III Sem]]</f>
        <v xml:space="preserve"> </v>
      </c>
      <c r="BQ28" s="58" t="str">
        <f>Table323567[[#This Row],[4th hour III Sem]]</f>
        <v xml:space="preserve"> </v>
      </c>
      <c r="BR28" s="57" t="str">
        <f>Table323567[[#This Row],[1st hour I Sem]]</f>
        <v xml:space="preserve"> </v>
      </c>
      <c r="BS28" s="55" t="str">
        <f>Table323567[[#This Row],[2nd hour I Sem]]</f>
        <v xml:space="preserve"> </v>
      </c>
      <c r="BT28" s="55" t="str">
        <f>Table323567[[#This Row],[3rd hour I Sem]]</f>
        <v xml:space="preserve"> </v>
      </c>
      <c r="BU28" s="64" t="str">
        <f>Table323567[[#This Row],[Column1]]</f>
        <v xml:space="preserve"> </v>
      </c>
    </row>
    <row r="29" spans="1:73" s="54" customFormat="1" x14ac:dyDescent="0.35">
      <c r="A29" s="165" t="str">
        <f>Mon!U29</f>
        <v>(NG)</v>
      </c>
      <c r="B29" s="56" t="str">
        <f>Table3[[#This Row],[1st hour V sem]]</f>
        <v>MA (I)</v>
      </c>
      <c r="C29" s="55" t="str">
        <f>Table3[[#This Row],[2nd hour V sem]]</f>
        <v>MA (G)</v>
      </c>
      <c r="D29" s="55" t="str">
        <f>Table3[[#This Row],[3rd hour V sem]]</f>
        <v>FMS (F)</v>
      </c>
      <c r="E29" s="58" t="str">
        <f>Table3[[#This Row],[4th hour V sem]]</f>
        <v xml:space="preserve"> </v>
      </c>
      <c r="F29" s="57" t="str">
        <f>Table3[[#This Row],[1st hour III Sem]]</f>
        <v xml:space="preserve"> </v>
      </c>
      <c r="G29" s="55" t="str">
        <f>Table3[[#This Row],[2nd hour III Sem]]</f>
        <v xml:space="preserve"> </v>
      </c>
      <c r="H29" s="55" t="str">
        <f>Table3[[#This Row],[3rd hour III Sem]]</f>
        <v xml:space="preserve"> </v>
      </c>
      <c r="I29" s="58" t="str">
        <f>Table3[[#This Row],[4th hour III Sem]]</f>
        <v xml:space="preserve"> </v>
      </c>
      <c r="J29" s="57" t="str">
        <f>Table3[[#This Row],[1st hour I Sem]]</f>
        <v xml:space="preserve"> </v>
      </c>
      <c r="K29" s="55" t="str">
        <f>Table3[[#This Row],[2nd hour I Sem]]</f>
        <v xml:space="preserve"> </v>
      </c>
      <c r="L29" s="55" t="str">
        <f>Table3[[#This Row],[3rd hour I Sem]]</f>
        <v xml:space="preserve"> </v>
      </c>
      <c r="M29" s="55" t="str">
        <f>Table3[[#This Row],[4th hour I Sem]]</f>
        <v xml:space="preserve"> </v>
      </c>
      <c r="N29" s="56" t="str">
        <f>Table32[[#This Row],[1st hour V sem]]</f>
        <v xml:space="preserve"> </v>
      </c>
      <c r="O29" s="55" t="str">
        <f>Table32[[#This Row],[2nd hour V sem]]</f>
        <v>MA (K)</v>
      </c>
      <c r="P29" s="55" t="str">
        <f>Table32[[#This Row],[3rd hour V sem]]</f>
        <v>FMS (F)</v>
      </c>
      <c r="Q29" s="73" t="str">
        <f>Table32[[#This Row],[4th hour V sem]]</f>
        <v>FMS (C)</v>
      </c>
      <c r="R29" s="57" t="str">
        <f>Table32[[#This Row],[1st hour III Sem]]</f>
        <v xml:space="preserve"> </v>
      </c>
      <c r="S29" s="55" t="str">
        <f>Table32[[#This Row],[2nd hour III Sem]]</f>
        <v xml:space="preserve"> </v>
      </c>
      <c r="T29" s="55" t="str">
        <f>Table32[[#This Row],[3rd hour III Sem]]</f>
        <v xml:space="preserve"> </v>
      </c>
      <c r="U29" s="58" t="str">
        <f>Table32[[#This Row],[4th hour III Sem]]</f>
        <v xml:space="preserve"> </v>
      </c>
      <c r="V29" s="74" t="str">
        <f>Table32[[#This Row],[1st hour I Sem]]</f>
        <v xml:space="preserve"> </v>
      </c>
      <c r="W29" s="55" t="str">
        <f>Table32[[#This Row],[2nd hour I Sem]]</f>
        <v xml:space="preserve"> </v>
      </c>
      <c r="X29" s="55" t="str">
        <f>Table32[[#This Row],[3rd hour I Sem]]</f>
        <v xml:space="preserve"> </v>
      </c>
      <c r="Y29" s="64" t="str">
        <f>Table32[[#This Row],[4th hour I Sem]]</f>
        <v xml:space="preserve"> </v>
      </c>
      <c r="Z29" s="56" t="str">
        <f>Table323[[#This Row],[1st hour V sem]]</f>
        <v>MA (I)</v>
      </c>
      <c r="AA29" s="55" t="str">
        <f>Table323[[#This Row],[2nd hour V sem]]</f>
        <v>MA (K)</v>
      </c>
      <c r="AB29" s="55" t="str">
        <f>Table323[[#This Row],[3rd hour V sem]]</f>
        <v>MA (G)</v>
      </c>
      <c r="AC29" s="58" t="str">
        <f>Table323[[#This Row],[4th hour V sem]]</f>
        <v>FMS (F)</v>
      </c>
      <c r="AD29" s="57" t="str">
        <f>Table323[[#This Row],[1st hour III Sem]]</f>
        <v xml:space="preserve"> </v>
      </c>
      <c r="AE29" s="55" t="str">
        <f>Table323[[#This Row],[2nd hour III Sem]]</f>
        <v xml:space="preserve"> </v>
      </c>
      <c r="AF29" s="55" t="str">
        <f>Table323[[#This Row],[3rd hour III Sem]]</f>
        <v xml:space="preserve"> </v>
      </c>
      <c r="AG29" s="58" t="str">
        <f>Table323[[#This Row],[4th hour III Sem]]</f>
        <v xml:space="preserve"> </v>
      </c>
      <c r="AH29" s="57" t="str">
        <f>Table323[[#This Row],[1st hour I Sem]]</f>
        <v xml:space="preserve"> </v>
      </c>
      <c r="AI29" s="55" t="str">
        <f>Table323[[#This Row],[2nd hour I Sem]]</f>
        <v xml:space="preserve"> </v>
      </c>
      <c r="AJ29" s="55" t="str">
        <f>Table323[[#This Row],[3rd hour I Sem]]</f>
        <v xml:space="preserve"> </v>
      </c>
      <c r="AK29" s="64" t="str">
        <f>Table323[[#This Row],[4th hour I Sem]]</f>
        <v xml:space="preserve"> </v>
      </c>
      <c r="AL29" s="56" t="str">
        <f>Table3235[[#This Row],[1st hour V sem]]</f>
        <v>MA (I)</v>
      </c>
      <c r="AM29" s="55" t="str">
        <f>Table3235[[#This Row],[2nd hour V sem]]</f>
        <v xml:space="preserve"> </v>
      </c>
      <c r="AN29" s="55" t="str">
        <f>Table3235[[#This Row],[3rd hour V sem]]</f>
        <v>FMS (C)</v>
      </c>
      <c r="AO29" s="58" t="str">
        <f>Table3235[[#This Row],[4th hour V sem]]</f>
        <v>MA (G)</v>
      </c>
      <c r="AP29" s="57" t="str">
        <f>Table3235[[#This Row],[1st hour III Sem]]</f>
        <v xml:space="preserve"> </v>
      </c>
      <c r="AQ29" s="55" t="str">
        <f>Table3235[[#This Row],[2nd hour III Sem]]</f>
        <v xml:space="preserve"> </v>
      </c>
      <c r="AR29" s="55" t="str">
        <f>Table3235[[#This Row],[3rd hour III Sem]]</f>
        <v xml:space="preserve"> </v>
      </c>
      <c r="AS29" s="58" t="str">
        <f>Table3235[[#This Row],[4th hour III Sem]]</f>
        <v xml:space="preserve"> </v>
      </c>
      <c r="AT29" s="57" t="str">
        <f>Table3235[[#This Row],[1st hour I Sem]]</f>
        <v xml:space="preserve"> </v>
      </c>
      <c r="AU29" s="55" t="str">
        <f>Table3235[[#This Row],[2nd hour I Sem]]</f>
        <v xml:space="preserve"> </v>
      </c>
      <c r="AV29" s="55" t="str">
        <f>Table3235[[#This Row],[3rd hour I Sem]]</f>
        <v xml:space="preserve"> </v>
      </c>
      <c r="AW29" s="64" t="str">
        <f>Table3235[[#This Row],[4th hour I Sem]]</f>
        <v xml:space="preserve"> </v>
      </c>
      <c r="AX29" s="56" t="str">
        <f>Table32356[[#This Row],[1st hour V sem]]</f>
        <v xml:space="preserve"> </v>
      </c>
      <c r="AY29" s="55" t="str">
        <f>Table32356[[#This Row],[2nd hour V sem]]</f>
        <v>MA (I)</v>
      </c>
      <c r="AZ29" s="55" t="str">
        <f>Table32356[[#This Row],[3rd hour V sem]]</f>
        <v>FMS (C)</v>
      </c>
      <c r="BA29" s="58" t="str">
        <f>Table32356[[#This Row],[4th hour V sem]]</f>
        <v>MA (K)</v>
      </c>
      <c r="BB29" s="57" t="str">
        <f>Table32356[[#This Row],[1st hour III Sem]]</f>
        <v xml:space="preserve"> </v>
      </c>
      <c r="BC29" s="55" t="str">
        <f>Table32356[[#This Row],[2nd hour III Sem]]</f>
        <v xml:space="preserve"> </v>
      </c>
      <c r="BD29" s="55" t="str">
        <f>Table32356[[#This Row],[3rd hour III Sem]]</f>
        <v xml:space="preserve"> </v>
      </c>
      <c r="BE29" s="58" t="str">
        <f>Table32356[[#This Row],[4th hour III Sem]]</f>
        <v xml:space="preserve"> </v>
      </c>
      <c r="BF29" s="57" t="str">
        <f>Table32356[[#This Row],[1st hour I Sem]]</f>
        <v xml:space="preserve"> </v>
      </c>
      <c r="BG29" s="55" t="str">
        <f>Table32356[[#This Row],[2nd hour I Sem]]</f>
        <v xml:space="preserve"> </v>
      </c>
      <c r="BH29" s="55" t="str">
        <f>Table32356[[#This Row],[3rd hour I Sem]]</f>
        <v xml:space="preserve"> </v>
      </c>
      <c r="BI29" s="64" t="str">
        <f>Table32356[[#This Row],[4th hour I Sem]]</f>
        <v xml:space="preserve"> </v>
      </c>
      <c r="BJ29" s="56" t="str">
        <f>Table323567[[#This Row],[1st hour V sem]]</f>
        <v>MA (G)</v>
      </c>
      <c r="BK29" s="55" t="str">
        <f>Table323567[[#This Row],[2nd hour V sem]]</f>
        <v>MA (K)</v>
      </c>
      <c r="BL29" s="55" t="str">
        <f>Table323567[[#This Row],[3rd hour V sem]]</f>
        <v xml:space="preserve"> </v>
      </c>
      <c r="BM29" s="58" t="str">
        <f>Table323567[[#This Row],[4th hour V sem]]</f>
        <v xml:space="preserve"> </v>
      </c>
      <c r="BN29" s="57" t="str">
        <f>Table323567[[#This Row],[1st hour III Sem]]</f>
        <v xml:space="preserve"> </v>
      </c>
      <c r="BO29" s="55" t="str">
        <f>Table323567[[#This Row],[2nd hour III Sem]]</f>
        <v xml:space="preserve"> </v>
      </c>
      <c r="BP29" s="55" t="str">
        <f>Table323567[[#This Row],[3rd hour III Sem]]</f>
        <v xml:space="preserve"> </v>
      </c>
      <c r="BQ29" s="58" t="str">
        <f>Table323567[[#This Row],[4th hour III Sem]]</f>
        <v xml:space="preserve"> </v>
      </c>
      <c r="BR29" s="57" t="str">
        <f>Table323567[[#This Row],[1st hour I Sem]]</f>
        <v xml:space="preserve"> </v>
      </c>
      <c r="BS29" s="55" t="str">
        <f>Table323567[[#This Row],[2nd hour I Sem]]</f>
        <v xml:space="preserve"> </v>
      </c>
      <c r="BT29" s="55" t="str">
        <f>Table323567[[#This Row],[3rd hour I Sem]]</f>
        <v xml:space="preserve"> </v>
      </c>
      <c r="BU29" s="64" t="str">
        <f>Table323567[[#This Row],[Column1]]</f>
        <v xml:space="preserve"> </v>
      </c>
    </row>
    <row r="30" spans="1:73" s="54" customFormat="1" x14ac:dyDescent="0.35">
      <c r="A30" s="165" t="str">
        <f>Mon!U30</f>
        <v>(PM)</v>
      </c>
      <c r="B30" s="56" t="str">
        <f>Table3[[#This Row],[1st hour V sem]]</f>
        <v xml:space="preserve"> </v>
      </c>
      <c r="C30" s="55" t="str">
        <f>Table3[[#This Row],[2nd hour V sem]]</f>
        <v xml:space="preserve"> </v>
      </c>
      <c r="D30" s="55" t="str">
        <f>Table3[[#This Row],[3rd hour V sem]]</f>
        <v xml:space="preserve"> </v>
      </c>
      <c r="E30" s="58" t="str">
        <f>Table3[[#This Row],[4th hour V sem]]</f>
        <v xml:space="preserve"> </v>
      </c>
      <c r="F30" s="57" t="str">
        <f>Table3[[#This Row],[1st hour III Sem]]</f>
        <v xml:space="preserve"> </v>
      </c>
      <c r="G30" s="55" t="str">
        <f>Table3[[#This Row],[2nd hour III Sem]]</f>
        <v xml:space="preserve"> </v>
      </c>
      <c r="H30" s="55" t="str">
        <f>Table3[[#This Row],[3rd hour III Sem]]</f>
        <v xml:space="preserve"> </v>
      </c>
      <c r="I30" s="58" t="str">
        <f>Table3[[#This Row],[4th hour III Sem]]</f>
        <v xml:space="preserve"> </v>
      </c>
      <c r="J30" s="57" t="str">
        <f>Table3[[#This Row],[1st hour I Sem]]</f>
        <v>QT (F)</v>
      </c>
      <c r="K30" s="55" t="str">
        <f>Table3[[#This Row],[2nd hour I Sem]]</f>
        <v>QT (M)</v>
      </c>
      <c r="L30" s="55" t="str">
        <f>Table3[[#This Row],[3rd hour I Sem]]</f>
        <v xml:space="preserve"> </v>
      </c>
      <c r="M30" s="55" t="str">
        <f>Table3[[#This Row],[4th hour I Sem]]</f>
        <v xml:space="preserve"> </v>
      </c>
      <c r="N30" s="56" t="str">
        <f>Table32[[#This Row],[1st hour V sem]]</f>
        <v xml:space="preserve"> </v>
      </c>
      <c r="O30" s="55" t="str">
        <f>Table32[[#This Row],[2nd hour V sem]]</f>
        <v xml:space="preserve"> </v>
      </c>
      <c r="P30" s="55" t="str">
        <f>Table32[[#This Row],[3rd hour V sem]]</f>
        <v xml:space="preserve"> </v>
      </c>
      <c r="Q30" s="73" t="str">
        <f>Table32[[#This Row],[4th hour V sem]]</f>
        <v>MA (F)</v>
      </c>
      <c r="R30" s="57" t="str">
        <f>Table32[[#This Row],[1st hour III Sem]]</f>
        <v xml:space="preserve"> </v>
      </c>
      <c r="S30" s="55" t="str">
        <f>Table32[[#This Row],[2nd hour III Sem]]</f>
        <v xml:space="preserve"> </v>
      </c>
      <c r="T30" s="55" t="str">
        <f>Table32[[#This Row],[3rd hour III Sem]]</f>
        <v xml:space="preserve"> </v>
      </c>
      <c r="U30" s="58" t="str">
        <f>Table32[[#This Row],[4th hour III Sem]]</f>
        <v xml:space="preserve"> </v>
      </c>
      <c r="V30" s="74" t="str">
        <f>Table32[[#This Row],[1st hour I Sem]]</f>
        <v>QT (F)</v>
      </c>
      <c r="W30" s="55" t="str">
        <f>Table32[[#This Row],[2nd hour I Sem]]</f>
        <v>QT (I)</v>
      </c>
      <c r="X30" s="55" t="str">
        <f>Table32[[#This Row],[3rd hour I Sem]]</f>
        <v xml:space="preserve"> </v>
      </c>
      <c r="Y30" s="64" t="str">
        <f>Table32[[#This Row],[4th hour I Sem]]</f>
        <v>QT (E)</v>
      </c>
      <c r="Z30" s="56" t="str">
        <f>Table323[[#This Row],[1st hour V sem]]</f>
        <v xml:space="preserve"> </v>
      </c>
      <c r="AA30" s="55" t="str">
        <f>Table323[[#This Row],[2nd hour V sem]]</f>
        <v xml:space="preserve"> </v>
      </c>
      <c r="AB30" s="55" t="str">
        <f>Table323[[#This Row],[3rd hour V sem]]</f>
        <v xml:space="preserve"> </v>
      </c>
      <c r="AC30" s="58" t="str">
        <f>Table323[[#This Row],[4th hour V sem]]</f>
        <v xml:space="preserve"> </v>
      </c>
      <c r="AD30" s="57" t="str">
        <f>Table323[[#This Row],[1st hour III Sem]]</f>
        <v xml:space="preserve"> </v>
      </c>
      <c r="AE30" s="55" t="str">
        <f>Table323[[#This Row],[2nd hour III Sem]]</f>
        <v xml:space="preserve"> </v>
      </c>
      <c r="AF30" s="55" t="str">
        <f>Table323[[#This Row],[3rd hour III Sem]]</f>
        <v xml:space="preserve"> </v>
      </c>
      <c r="AG30" s="58" t="str">
        <f>Table323[[#This Row],[4th hour III Sem]]</f>
        <v xml:space="preserve"> </v>
      </c>
      <c r="AH30" s="57" t="str">
        <f>Table323[[#This Row],[1st hour I Sem]]</f>
        <v xml:space="preserve"> </v>
      </c>
      <c r="AI30" s="55" t="str">
        <f>Table323[[#This Row],[2nd hour I Sem]]</f>
        <v>QT (I)</v>
      </c>
      <c r="AJ30" s="55" t="str">
        <f>Table323[[#This Row],[3rd hour I Sem]]</f>
        <v>QT (E)</v>
      </c>
      <c r="AK30" s="64" t="str">
        <f>Table323[[#This Row],[4th hour I Sem]]</f>
        <v>QT (F)</v>
      </c>
      <c r="AL30" s="56" t="str">
        <f>Table3235[[#This Row],[1st hour V sem]]</f>
        <v xml:space="preserve"> </v>
      </c>
      <c r="AM30" s="55" t="str">
        <f>Table3235[[#This Row],[2nd hour V sem]]</f>
        <v>MA (F)</v>
      </c>
      <c r="AN30" s="55" t="str">
        <f>Table3235[[#This Row],[3rd hour V sem]]</f>
        <v xml:space="preserve"> </v>
      </c>
      <c r="AO30" s="58" t="str">
        <f>Table3235[[#This Row],[4th hour V sem]]</f>
        <v xml:space="preserve"> </v>
      </c>
      <c r="AP30" s="57" t="str">
        <f>Table3235[[#This Row],[1st hour III Sem]]</f>
        <v xml:space="preserve"> </v>
      </c>
      <c r="AQ30" s="55" t="str">
        <f>Table3235[[#This Row],[2nd hour III Sem]]</f>
        <v xml:space="preserve"> </v>
      </c>
      <c r="AR30" s="55" t="str">
        <f>Table3235[[#This Row],[3rd hour III Sem]]</f>
        <v xml:space="preserve"> </v>
      </c>
      <c r="AS30" s="58" t="str">
        <f>Table3235[[#This Row],[4th hour III Sem]]</f>
        <v xml:space="preserve"> </v>
      </c>
      <c r="AT30" s="57" t="str">
        <f>Table3235[[#This Row],[1st hour I Sem]]</f>
        <v xml:space="preserve"> </v>
      </c>
      <c r="AU30" s="55" t="str">
        <f>Table3235[[#This Row],[2nd hour I Sem]]</f>
        <v xml:space="preserve"> </v>
      </c>
      <c r="AV30" s="55" t="str">
        <f>Table3235[[#This Row],[3rd hour I Sem]]</f>
        <v>QT (M)</v>
      </c>
      <c r="AW30" s="64" t="str">
        <f>Table3235[[#This Row],[4th hour I Sem]]</f>
        <v>QT (E)</v>
      </c>
      <c r="AX30" s="56" t="str">
        <f>Table32356[[#This Row],[1st hour V sem]]</f>
        <v xml:space="preserve"> </v>
      </c>
      <c r="AY30" s="55" t="str">
        <f>Table32356[[#This Row],[2nd hour V sem]]</f>
        <v>MA (F)</v>
      </c>
      <c r="AZ30" s="55" t="str">
        <f>Table32356[[#This Row],[3rd hour V sem]]</f>
        <v xml:space="preserve"> </v>
      </c>
      <c r="BA30" s="58" t="str">
        <f>Table32356[[#This Row],[4th hour V sem]]</f>
        <v xml:space="preserve"> </v>
      </c>
      <c r="BB30" s="57" t="str">
        <f>Table32356[[#This Row],[1st hour III Sem]]</f>
        <v xml:space="preserve"> </v>
      </c>
      <c r="BC30" s="55" t="str">
        <f>Table32356[[#This Row],[2nd hour III Sem]]</f>
        <v xml:space="preserve"> </v>
      </c>
      <c r="BD30" s="55" t="str">
        <f>Table32356[[#This Row],[3rd hour III Sem]]</f>
        <v xml:space="preserve"> </v>
      </c>
      <c r="BE30" s="58" t="str">
        <f>Table32356[[#This Row],[4th hour III Sem]]</f>
        <v xml:space="preserve"> </v>
      </c>
      <c r="BF30" s="57" t="str">
        <f>Table32356[[#This Row],[1st hour I Sem]]</f>
        <v>QT (E)</v>
      </c>
      <c r="BG30" s="55" t="str">
        <f>Table32356[[#This Row],[2nd hour I Sem]]</f>
        <v>QT (I)</v>
      </c>
      <c r="BH30" s="55" t="str">
        <f>Table32356[[#This Row],[3rd hour I Sem]]</f>
        <v xml:space="preserve"> </v>
      </c>
      <c r="BI30" s="64" t="str">
        <f>Table32356[[#This Row],[4th hour I Sem]]</f>
        <v xml:space="preserve"> </v>
      </c>
      <c r="BJ30" s="56" t="str">
        <f>Table323567[[#This Row],[1st hour V sem]]</f>
        <v xml:space="preserve"> </v>
      </c>
      <c r="BK30" s="55" t="str">
        <f>Table323567[[#This Row],[2nd hour V sem]]</f>
        <v xml:space="preserve"> </v>
      </c>
      <c r="BL30" s="55" t="str">
        <f>Table323567[[#This Row],[3rd hour V sem]]</f>
        <v>MA (F)</v>
      </c>
      <c r="BM30" s="58" t="str">
        <f>Table323567[[#This Row],[4th hour V sem]]</f>
        <v xml:space="preserve"> </v>
      </c>
      <c r="BN30" s="57" t="str">
        <f>Table323567[[#This Row],[1st hour III Sem]]</f>
        <v xml:space="preserve"> </v>
      </c>
      <c r="BO30" s="55" t="str">
        <f>Table323567[[#This Row],[2nd hour III Sem]]</f>
        <v xml:space="preserve"> </v>
      </c>
      <c r="BP30" s="55" t="str">
        <f>Table323567[[#This Row],[3rd hour III Sem]]</f>
        <v xml:space="preserve"> </v>
      </c>
      <c r="BQ30" s="58" t="str">
        <f>Table323567[[#This Row],[4th hour III Sem]]</f>
        <v xml:space="preserve"> </v>
      </c>
      <c r="BR30" s="57" t="str">
        <f>Table323567[[#This Row],[1st hour I Sem]]</f>
        <v xml:space="preserve"> </v>
      </c>
      <c r="BS30" s="55" t="str">
        <f>Table323567[[#This Row],[2nd hour I Sem]]</f>
        <v>QT (F)</v>
      </c>
      <c r="BT30" s="55" t="str">
        <f>Table323567[[#This Row],[3rd hour I Sem]]</f>
        <v xml:space="preserve"> </v>
      </c>
      <c r="BU30" s="64" t="str">
        <f>Table323567[[#This Row],[Column1]]</f>
        <v xml:space="preserve"> </v>
      </c>
    </row>
    <row r="31" spans="1:73" s="54" customFormat="1" x14ac:dyDescent="0.35">
      <c r="A31" s="165" t="str">
        <f>Mon!U31</f>
        <v>(PR)</v>
      </c>
      <c r="B31" s="56" t="str">
        <f>Table3[[#This Row],[1st hour V sem]]</f>
        <v xml:space="preserve"> </v>
      </c>
      <c r="C31" s="55" t="str">
        <f>Table3[[#This Row],[2nd hour V sem]]</f>
        <v xml:space="preserve"> </v>
      </c>
      <c r="D31" s="55" t="str">
        <f>Table3[[#This Row],[3rd hour V sem]]</f>
        <v xml:space="preserve"> </v>
      </c>
      <c r="E31" s="58" t="str">
        <f>Table3[[#This Row],[4th hour V sem]]</f>
        <v xml:space="preserve"> </v>
      </c>
      <c r="F31" s="57" t="str">
        <f>Table3[[#This Row],[1st hour III Sem]]</f>
        <v xml:space="preserve"> </v>
      </c>
      <c r="G31" s="55" t="str">
        <f>Table3[[#This Row],[2nd hour III Sem]]</f>
        <v xml:space="preserve"> </v>
      </c>
      <c r="H31" s="55" t="str">
        <f>Table3[[#This Row],[3rd hour III Sem]]</f>
        <v xml:space="preserve"> </v>
      </c>
      <c r="I31" s="58" t="str">
        <f>Table3[[#This Row],[4th hour III Sem]]</f>
        <v xml:space="preserve"> </v>
      </c>
      <c r="J31" s="57" t="str">
        <f>Table3[[#This Row],[1st hour I Sem]]</f>
        <v xml:space="preserve"> </v>
      </c>
      <c r="K31" s="55" t="str">
        <f>Table3[[#This Row],[2nd hour I Sem]]</f>
        <v>AE (C)</v>
      </c>
      <c r="L31" s="55" t="str">
        <f>Table3[[#This Row],[3rd hour I Sem]]</f>
        <v>GE (L)</v>
      </c>
      <c r="M31" s="55" t="str">
        <f>Table3[[#This Row],[4th hour I Sem]]</f>
        <v>GE (B)</v>
      </c>
      <c r="N31" s="56" t="str">
        <f>Table32[[#This Row],[1st hour V sem]]</f>
        <v xml:space="preserve"> </v>
      </c>
      <c r="O31" s="55" t="str">
        <f>Table32[[#This Row],[2nd hour V sem]]</f>
        <v xml:space="preserve"> </v>
      </c>
      <c r="P31" s="55" t="str">
        <f>Table32[[#This Row],[3rd hour V sem]]</f>
        <v xml:space="preserve"> </v>
      </c>
      <c r="Q31" s="73" t="str">
        <f>Table32[[#This Row],[4th hour V sem]]</f>
        <v xml:space="preserve"> </v>
      </c>
      <c r="R31" s="57" t="str">
        <f>Table32[[#This Row],[1st hour III Sem]]</f>
        <v xml:space="preserve"> </v>
      </c>
      <c r="S31" s="55" t="str">
        <f>Table32[[#This Row],[2nd hour III Sem]]</f>
        <v xml:space="preserve"> </v>
      </c>
      <c r="T31" s="55" t="str">
        <f>Table32[[#This Row],[3rd hour III Sem]]</f>
        <v xml:space="preserve"> </v>
      </c>
      <c r="U31" s="58" t="str">
        <f>Table32[[#This Row],[4th hour III Sem]]</f>
        <v xml:space="preserve"> </v>
      </c>
      <c r="V31" s="74" t="str">
        <f>Table32[[#This Row],[1st hour I Sem]]</f>
        <v>AE (D)</v>
      </c>
      <c r="W31" s="55" t="str">
        <f>Table32[[#This Row],[2nd hour I Sem]]</f>
        <v>AE (C)</v>
      </c>
      <c r="X31" s="55" t="str">
        <f>Table32[[#This Row],[3rd hour I Sem]]</f>
        <v>GE (F)</v>
      </c>
      <c r="Y31" s="64" t="str">
        <f>Table32[[#This Row],[4th hour I Sem]]</f>
        <v xml:space="preserve"> </v>
      </c>
      <c r="Z31" s="56" t="str">
        <f>Table323[[#This Row],[1st hour V sem]]</f>
        <v xml:space="preserve"> </v>
      </c>
      <c r="AA31" s="55" t="str">
        <f>Table323[[#This Row],[2nd hour V sem]]</f>
        <v xml:space="preserve"> </v>
      </c>
      <c r="AB31" s="55" t="str">
        <f>Table323[[#This Row],[3rd hour V sem]]</f>
        <v xml:space="preserve"> </v>
      </c>
      <c r="AC31" s="58" t="str">
        <f>Table323[[#This Row],[4th hour V sem]]</f>
        <v xml:space="preserve"> </v>
      </c>
      <c r="AD31" s="57" t="str">
        <f>Table323[[#This Row],[1st hour III Sem]]</f>
        <v xml:space="preserve"> </v>
      </c>
      <c r="AE31" s="55" t="str">
        <f>Table323[[#This Row],[2nd hour III Sem]]</f>
        <v xml:space="preserve"> </v>
      </c>
      <c r="AF31" s="55" t="str">
        <f>Table323[[#This Row],[3rd hour III Sem]]</f>
        <v xml:space="preserve"> </v>
      </c>
      <c r="AG31" s="58" t="str">
        <f>Table323[[#This Row],[4th hour III Sem]]</f>
        <v xml:space="preserve"> </v>
      </c>
      <c r="AH31" s="57" t="str">
        <f>Table323[[#This Row],[1st hour I Sem]]</f>
        <v>GE (L)</v>
      </c>
      <c r="AI31" s="55" t="str">
        <f>Table323[[#This Row],[2nd hour I Sem]]</f>
        <v xml:space="preserve"> </v>
      </c>
      <c r="AJ31" s="55" t="str">
        <f>Table323[[#This Row],[3rd hour I Sem]]</f>
        <v>GE (F)</v>
      </c>
      <c r="AK31" s="64" t="str">
        <f>Table323[[#This Row],[4th hour I Sem]]</f>
        <v xml:space="preserve"> </v>
      </c>
      <c r="AL31" s="56" t="str">
        <f>Table3235[[#This Row],[1st hour V sem]]</f>
        <v xml:space="preserve"> </v>
      </c>
      <c r="AM31" s="55" t="str">
        <f>Table3235[[#This Row],[2nd hour V sem]]</f>
        <v xml:space="preserve"> </v>
      </c>
      <c r="AN31" s="55" t="str">
        <f>Table3235[[#This Row],[3rd hour V sem]]</f>
        <v xml:space="preserve"> </v>
      </c>
      <c r="AO31" s="58" t="str">
        <f>Table3235[[#This Row],[4th hour V sem]]</f>
        <v xml:space="preserve"> </v>
      </c>
      <c r="AP31" s="57" t="str">
        <f>Table3235[[#This Row],[1st hour III Sem]]</f>
        <v xml:space="preserve"> </v>
      </c>
      <c r="AQ31" s="55" t="str">
        <f>Table3235[[#This Row],[2nd hour III Sem]]</f>
        <v xml:space="preserve"> </v>
      </c>
      <c r="AR31" s="55" t="str">
        <f>Table3235[[#This Row],[3rd hour III Sem]]</f>
        <v xml:space="preserve"> </v>
      </c>
      <c r="AS31" s="58" t="str">
        <f>Table3235[[#This Row],[4th hour III Sem]]</f>
        <v xml:space="preserve"> </v>
      </c>
      <c r="AT31" s="57" t="str">
        <f>Table3235[[#This Row],[1st hour I Sem]]</f>
        <v xml:space="preserve"> </v>
      </c>
      <c r="AU31" s="55" t="str">
        <f>Table3235[[#This Row],[2nd hour I Sem]]</f>
        <v xml:space="preserve"> </v>
      </c>
      <c r="AV31" s="55" t="str">
        <f>Table3235[[#This Row],[3rd hour I Sem]]</f>
        <v xml:space="preserve"> </v>
      </c>
      <c r="AW31" s="64" t="str">
        <f>Table3235[[#This Row],[4th hour I Sem]]</f>
        <v>GE (L)</v>
      </c>
      <c r="AX31" s="56" t="str">
        <f>Table32356[[#This Row],[1st hour V sem]]</f>
        <v xml:space="preserve"> </v>
      </c>
      <c r="AY31" s="55" t="str">
        <f>Table32356[[#This Row],[2nd hour V sem]]</f>
        <v xml:space="preserve"> </v>
      </c>
      <c r="AZ31" s="55" t="str">
        <f>Table32356[[#This Row],[3rd hour V sem]]</f>
        <v xml:space="preserve"> </v>
      </c>
      <c r="BA31" s="58" t="str">
        <f>Table32356[[#This Row],[4th hour V sem]]</f>
        <v xml:space="preserve"> </v>
      </c>
      <c r="BB31" s="57" t="str">
        <f>Table32356[[#This Row],[1st hour III Sem]]</f>
        <v xml:space="preserve"> </v>
      </c>
      <c r="BC31" s="55" t="str">
        <f>Table32356[[#This Row],[2nd hour III Sem]]</f>
        <v xml:space="preserve"> </v>
      </c>
      <c r="BD31" s="55" t="str">
        <f>Table32356[[#This Row],[3rd hour III Sem]]</f>
        <v xml:space="preserve"> </v>
      </c>
      <c r="BE31" s="58" t="str">
        <f>Table32356[[#This Row],[4th hour III Sem]]</f>
        <v xml:space="preserve"> </v>
      </c>
      <c r="BF31" s="57" t="str">
        <f>Table32356[[#This Row],[1st hour I Sem]]</f>
        <v>GE (F)</v>
      </c>
      <c r="BG31" s="55" t="str">
        <f>Table32356[[#This Row],[2nd hour I Sem]]</f>
        <v>AE (D)</v>
      </c>
      <c r="BH31" s="55" t="str">
        <f>Table32356[[#This Row],[3rd hour I Sem]]</f>
        <v>GE (B)</v>
      </c>
      <c r="BI31" s="64" t="str">
        <f>Table32356[[#This Row],[4th hour I Sem]]</f>
        <v>AE (C)</v>
      </c>
      <c r="BJ31" s="56" t="str">
        <f>Table323567[[#This Row],[1st hour V sem]]</f>
        <v xml:space="preserve"> </v>
      </c>
      <c r="BK31" s="55" t="str">
        <f>Table323567[[#This Row],[2nd hour V sem]]</f>
        <v xml:space="preserve"> </v>
      </c>
      <c r="BL31" s="55" t="str">
        <f>Table323567[[#This Row],[3rd hour V sem]]</f>
        <v xml:space="preserve"> </v>
      </c>
      <c r="BM31" s="58" t="str">
        <f>Table323567[[#This Row],[4th hour V sem]]</f>
        <v xml:space="preserve"> </v>
      </c>
      <c r="BN31" s="57" t="str">
        <f>Table323567[[#This Row],[1st hour III Sem]]</f>
        <v xml:space="preserve"> </v>
      </c>
      <c r="BO31" s="55" t="str">
        <f>Table323567[[#This Row],[2nd hour III Sem]]</f>
        <v xml:space="preserve"> </v>
      </c>
      <c r="BP31" s="55" t="str">
        <f>Table323567[[#This Row],[3rd hour III Sem]]</f>
        <v xml:space="preserve"> </v>
      </c>
      <c r="BQ31" s="58" t="str">
        <f>Table323567[[#This Row],[4th hour III Sem]]</f>
        <v xml:space="preserve"> </v>
      </c>
      <c r="BR31" s="57" t="str">
        <f>Table323567[[#This Row],[1st hour I Sem]]</f>
        <v xml:space="preserve"> </v>
      </c>
      <c r="BS31" s="55" t="str">
        <f>Table323567[[#This Row],[2nd hour I Sem]]</f>
        <v>AE (D)</v>
      </c>
      <c r="BT31" s="55" t="str">
        <f>Table323567[[#This Row],[3rd hour I Sem]]</f>
        <v xml:space="preserve"> </v>
      </c>
      <c r="BU31" s="64" t="str">
        <f>Table323567[[#This Row],[Column1]]</f>
        <v xml:space="preserve"> </v>
      </c>
    </row>
    <row r="32" spans="1:73" s="54" customFormat="1" x14ac:dyDescent="0.35">
      <c r="A32" s="165" t="str">
        <f>Mon!U32</f>
        <v>(RG)</v>
      </c>
      <c r="B32" s="56" t="str">
        <f>Table3[[#This Row],[1st hour V sem]]</f>
        <v xml:space="preserve"> </v>
      </c>
      <c r="C32" s="55" t="str">
        <f>Table3[[#This Row],[2nd hour V sem]]</f>
        <v>MA (C)</v>
      </c>
      <c r="D32" s="55" t="str">
        <f>Table3[[#This Row],[3rd hour V sem]]</f>
        <v>MA (L)</v>
      </c>
      <c r="E32" s="58" t="str">
        <f>Table3[[#This Row],[4th hour V sem]]</f>
        <v xml:space="preserve"> </v>
      </c>
      <c r="F32" s="57" t="str">
        <f>Table3[[#This Row],[1st hour III Sem]]</f>
        <v xml:space="preserve"> </v>
      </c>
      <c r="G32" s="55" t="str">
        <f>Table3[[#This Row],[2nd hour III Sem]]</f>
        <v xml:space="preserve"> </v>
      </c>
      <c r="H32" s="55" t="str">
        <f>Table3[[#This Row],[3rd hour III Sem]]</f>
        <v xml:space="preserve"> </v>
      </c>
      <c r="I32" s="58" t="str">
        <f>Table3[[#This Row],[4th hour III Sem]]</f>
        <v>CA (A)</v>
      </c>
      <c r="J32" s="57" t="str">
        <f>Table3[[#This Row],[1st hour I Sem]]</f>
        <v xml:space="preserve"> </v>
      </c>
      <c r="K32" s="55" t="str">
        <f>Table3[[#This Row],[2nd hour I Sem]]</f>
        <v xml:space="preserve"> </v>
      </c>
      <c r="L32" s="55" t="str">
        <f>Table3[[#This Row],[3rd hour I Sem]]</f>
        <v xml:space="preserve"> </v>
      </c>
      <c r="M32" s="55" t="str">
        <f>Table3[[#This Row],[4th hour I Sem]]</f>
        <v xml:space="preserve"> </v>
      </c>
      <c r="N32" s="56" t="str">
        <f>Table32[[#This Row],[1st hour V sem]]</f>
        <v xml:space="preserve"> </v>
      </c>
      <c r="O32" s="55" t="str">
        <f>Table32[[#This Row],[2nd hour V sem]]</f>
        <v xml:space="preserve"> </v>
      </c>
      <c r="P32" s="55" t="str">
        <f>Table32[[#This Row],[3rd hour V sem]]</f>
        <v>MA (L)</v>
      </c>
      <c r="Q32" s="73" t="str">
        <f>Table32[[#This Row],[4th hour V sem]]</f>
        <v xml:space="preserve"> </v>
      </c>
      <c r="R32" s="57" t="str">
        <f>Table32[[#This Row],[1st hour III Sem]]</f>
        <v>CA</v>
      </c>
      <c r="S32" s="55" t="str">
        <f>Table32[[#This Row],[2nd hour III Sem]]</f>
        <v xml:space="preserve"> </v>
      </c>
      <c r="T32" s="55" t="str">
        <f>Table32[[#This Row],[3rd hour III Sem]]</f>
        <v xml:space="preserve"> </v>
      </c>
      <c r="U32" s="58" t="str">
        <f>Table32[[#This Row],[4th hour III Sem]]</f>
        <v xml:space="preserve"> </v>
      </c>
      <c r="V32" s="74" t="str">
        <f>Table32[[#This Row],[1st hour I Sem]]</f>
        <v xml:space="preserve"> </v>
      </c>
      <c r="W32" s="55" t="str">
        <f>Table32[[#This Row],[2nd hour I Sem]]</f>
        <v xml:space="preserve"> </v>
      </c>
      <c r="X32" s="55" t="str">
        <f>Table32[[#This Row],[3rd hour I Sem]]</f>
        <v xml:space="preserve"> </v>
      </c>
      <c r="Y32" s="64" t="str">
        <f>Table32[[#This Row],[4th hour I Sem]]</f>
        <v xml:space="preserve"> </v>
      </c>
      <c r="Z32" s="56" t="str">
        <f>Table323[[#This Row],[1st hour V sem]]</f>
        <v xml:space="preserve"> </v>
      </c>
      <c r="AA32" s="55" t="str">
        <f>Table323[[#This Row],[2nd hour V sem]]</f>
        <v>MA (C)</v>
      </c>
      <c r="AB32" s="55" t="str">
        <f>Table323[[#This Row],[3rd hour V sem]]</f>
        <v xml:space="preserve"> </v>
      </c>
      <c r="AC32" s="58" t="str">
        <f>Table323[[#This Row],[4th hour V sem]]</f>
        <v>MA (L)</v>
      </c>
      <c r="AD32" s="57" t="str">
        <f>Table323[[#This Row],[1st hour III Sem]]</f>
        <v xml:space="preserve"> </v>
      </c>
      <c r="AE32" s="55" t="str">
        <f>Table323[[#This Row],[2nd hour III Sem]]</f>
        <v xml:space="preserve"> </v>
      </c>
      <c r="AF32" s="55" t="str">
        <f>Table323[[#This Row],[3rd hour III Sem]]</f>
        <v xml:space="preserve"> </v>
      </c>
      <c r="AG32" s="58" t="str">
        <f>Table323[[#This Row],[4th hour III Sem]]</f>
        <v xml:space="preserve"> </v>
      </c>
      <c r="AH32" s="57" t="str">
        <f>Table323[[#This Row],[1st hour I Sem]]</f>
        <v xml:space="preserve"> </v>
      </c>
      <c r="AI32" s="55" t="str">
        <f>Table323[[#This Row],[2nd hour I Sem]]</f>
        <v xml:space="preserve"> </v>
      </c>
      <c r="AJ32" s="55" t="str">
        <f>Table323[[#This Row],[3rd hour I Sem]]</f>
        <v xml:space="preserve"> </v>
      </c>
      <c r="AK32" s="64" t="str">
        <f>Table323[[#This Row],[4th hour I Sem]]</f>
        <v xml:space="preserve"> </v>
      </c>
      <c r="AL32" s="56" t="str">
        <f>Table3235[[#This Row],[1st hour V sem]]</f>
        <v xml:space="preserve"> </v>
      </c>
      <c r="AM32" s="55" t="str">
        <f>Table3235[[#This Row],[2nd hour V sem]]</f>
        <v>MA (L)</v>
      </c>
      <c r="AN32" s="55" t="str">
        <f>Table3235[[#This Row],[3rd hour V sem]]</f>
        <v xml:space="preserve"> </v>
      </c>
      <c r="AO32" s="58" t="str">
        <f>Table3235[[#This Row],[4th hour V sem]]</f>
        <v xml:space="preserve"> </v>
      </c>
      <c r="AP32" s="57" t="str">
        <f>Table3235[[#This Row],[1st hour III Sem]]</f>
        <v xml:space="preserve"> </v>
      </c>
      <c r="AQ32" s="55" t="str">
        <f>Table3235[[#This Row],[2nd hour III Sem]]</f>
        <v xml:space="preserve"> </v>
      </c>
      <c r="AR32" s="55" t="str">
        <f>Table3235[[#This Row],[3rd hour III Sem]]</f>
        <v xml:space="preserve"> </v>
      </c>
      <c r="AS32" s="58" t="str">
        <f>Table3235[[#This Row],[4th hour III Sem]]</f>
        <v>CA (A)</v>
      </c>
      <c r="AT32" s="57" t="str">
        <f>Table3235[[#This Row],[1st hour I Sem]]</f>
        <v xml:space="preserve"> </v>
      </c>
      <c r="AU32" s="55" t="str">
        <f>Table3235[[#This Row],[2nd hour I Sem]]</f>
        <v xml:space="preserve"> </v>
      </c>
      <c r="AV32" s="55" t="str">
        <f>Table3235[[#This Row],[3rd hour I Sem]]</f>
        <v xml:space="preserve"> </v>
      </c>
      <c r="AW32" s="64" t="str">
        <f>Table3235[[#This Row],[4th hour I Sem]]</f>
        <v xml:space="preserve"> </v>
      </c>
      <c r="AX32" s="56" t="str">
        <f>Table32356[[#This Row],[1st hour V sem]]</f>
        <v>MA (C)</v>
      </c>
      <c r="AY32" s="55" t="str">
        <f>Table32356[[#This Row],[2nd hour V sem]]</f>
        <v xml:space="preserve"> </v>
      </c>
      <c r="AZ32" s="55" t="str">
        <f>Table32356[[#This Row],[3rd hour V sem]]</f>
        <v>MA (H)</v>
      </c>
      <c r="BA32" s="58" t="str">
        <f>Table32356[[#This Row],[4th hour V sem]]</f>
        <v xml:space="preserve"> </v>
      </c>
      <c r="BB32" s="57" t="str">
        <f>Table32356[[#This Row],[1st hour III Sem]]</f>
        <v xml:space="preserve"> </v>
      </c>
      <c r="BC32" s="55" t="str">
        <f>Table32356[[#This Row],[2nd hour III Sem]]</f>
        <v xml:space="preserve"> </v>
      </c>
      <c r="BD32" s="55" t="str">
        <f>Table32356[[#This Row],[3rd hour III Sem]]</f>
        <v xml:space="preserve"> </v>
      </c>
      <c r="BE32" s="58" t="str">
        <f>Table32356[[#This Row],[4th hour III Sem]]</f>
        <v xml:space="preserve"> </v>
      </c>
      <c r="BF32" s="57" t="str">
        <f>Table32356[[#This Row],[1st hour I Sem]]</f>
        <v xml:space="preserve"> </v>
      </c>
      <c r="BG32" s="55" t="str">
        <f>Table32356[[#This Row],[2nd hour I Sem]]</f>
        <v xml:space="preserve"> </v>
      </c>
      <c r="BH32" s="55" t="str">
        <f>Table32356[[#This Row],[3rd hour I Sem]]</f>
        <v xml:space="preserve"> </v>
      </c>
      <c r="BI32" s="64" t="str">
        <f>Table32356[[#This Row],[4th hour I Sem]]</f>
        <v xml:space="preserve"> </v>
      </c>
      <c r="BJ32" s="56" t="str">
        <f>Table323567[[#This Row],[1st hour V sem]]</f>
        <v>MA (C)</v>
      </c>
      <c r="BK32" s="55" t="str">
        <f>Table323567[[#This Row],[2nd hour V sem]]</f>
        <v>MA (H)</v>
      </c>
      <c r="BL32" s="55" t="str">
        <f>Table323567[[#This Row],[3rd hour V sem]]</f>
        <v xml:space="preserve"> </v>
      </c>
      <c r="BM32" s="58" t="str">
        <f>Table323567[[#This Row],[4th hour V sem]]</f>
        <v xml:space="preserve"> </v>
      </c>
      <c r="BN32" s="57" t="str">
        <f>Table323567[[#This Row],[1st hour III Sem]]</f>
        <v xml:space="preserve"> </v>
      </c>
      <c r="BO32" s="55" t="str">
        <f>Table323567[[#This Row],[2nd hour III Sem]]</f>
        <v xml:space="preserve"> </v>
      </c>
      <c r="BP32" s="55" t="str">
        <f>Table323567[[#This Row],[3rd hour III Sem]]</f>
        <v>CA (A)</v>
      </c>
      <c r="BQ32" s="58" t="str">
        <f>Table323567[[#This Row],[4th hour III Sem]]</f>
        <v xml:space="preserve"> </v>
      </c>
      <c r="BR32" s="57" t="str">
        <f>Table323567[[#This Row],[1st hour I Sem]]</f>
        <v xml:space="preserve"> </v>
      </c>
      <c r="BS32" s="55" t="str">
        <f>Table323567[[#This Row],[2nd hour I Sem]]</f>
        <v xml:space="preserve"> </v>
      </c>
      <c r="BT32" s="55" t="str">
        <f>Table323567[[#This Row],[3rd hour I Sem]]</f>
        <v xml:space="preserve"> </v>
      </c>
      <c r="BU32" s="64" t="str">
        <f>Table323567[[#This Row],[Column1]]</f>
        <v xml:space="preserve"> </v>
      </c>
    </row>
    <row r="33" spans="1:73" s="54" customFormat="1" x14ac:dyDescent="0.35">
      <c r="A33" s="165" t="str">
        <f>Mon!U33</f>
        <v>(RP)</v>
      </c>
      <c r="B33" s="56" t="str">
        <f>Table3[[#This Row],[1st hour V sem]]</f>
        <v xml:space="preserve"> </v>
      </c>
      <c r="C33" s="55" t="str">
        <f>Table3[[#This Row],[2nd hour V sem]]</f>
        <v xml:space="preserve"> </v>
      </c>
      <c r="D33" s="55" t="str">
        <f>Table3[[#This Row],[3rd hour V sem]]</f>
        <v xml:space="preserve"> </v>
      </c>
      <c r="E33" s="58" t="str">
        <f>Table3[[#This Row],[4th hour V sem]]</f>
        <v xml:space="preserve"> </v>
      </c>
      <c r="F33" s="57" t="str">
        <f>Table3[[#This Row],[1st hour III Sem]]</f>
        <v xml:space="preserve"> </v>
      </c>
      <c r="G33" s="55" t="str">
        <f>Table3[[#This Row],[2nd hour III Sem]]</f>
        <v xml:space="preserve"> </v>
      </c>
      <c r="H33" s="55" t="str">
        <f>Table3[[#This Row],[3rd hour III Sem]]</f>
        <v xml:space="preserve"> </v>
      </c>
      <c r="I33" s="58" t="str">
        <f>Table3[[#This Row],[4th hour III Sem]]</f>
        <v xml:space="preserve"> </v>
      </c>
      <c r="J33" s="57" t="str">
        <f>Table3[[#This Row],[1st hour I Sem]]</f>
        <v>SAN (N)</v>
      </c>
      <c r="K33" s="55" t="str">
        <f>Table3[[#This Row],[2nd hour I Sem]]</f>
        <v xml:space="preserve"> </v>
      </c>
      <c r="L33" s="55" t="str">
        <f>Table3[[#This Row],[3rd hour I Sem]]</f>
        <v xml:space="preserve"> </v>
      </c>
      <c r="M33" s="55" t="str">
        <f>Table3[[#This Row],[4th hour I Sem]]</f>
        <v xml:space="preserve"> </v>
      </c>
      <c r="N33" s="56" t="str">
        <f>Table32[[#This Row],[1st hour V sem]]</f>
        <v xml:space="preserve"> </v>
      </c>
      <c r="O33" s="55" t="str">
        <f>Table32[[#This Row],[2nd hour V sem]]</f>
        <v xml:space="preserve"> </v>
      </c>
      <c r="P33" s="55" t="str">
        <f>Table32[[#This Row],[3rd hour V sem]]</f>
        <v xml:space="preserve"> </v>
      </c>
      <c r="Q33" s="73" t="str">
        <f>Table32[[#This Row],[4th hour V sem]]</f>
        <v xml:space="preserve"> </v>
      </c>
      <c r="R33" s="57" t="str">
        <f>Table32[[#This Row],[1st hour III Sem]]</f>
        <v xml:space="preserve"> </v>
      </c>
      <c r="S33" s="55" t="str">
        <f>Table32[[#This Row],[2nd hour III Sem]]</f>
        <v xml:space="preserve"> </v>
      </c>
      <c r="T33" s="55" t="str">
        <f>Table32[[#This Row],[3rd hour III Sem]]</f>
        <v xml:space="preserve"> </v>
      </c>
      <c r="U33" s="58" t="str">
        <f>Table32[[#This Row],[4th hour III Sem]]</f>
        <v xml:space="preserve"> </v>
      </c>
      <c r="V33" s="74" t="str">
        <f>Table32[[#This Row],[1st hour I Sem]]</f>
        <v>SAN (N)</v>
      </c>
      <c r="W33" s="55" t="str">
        <f>Table32[[#This Row],[2nd hour I Sem]]</f>
        <v xml:space="preserve"> </v>
      </c>
      <c r="X33" s="55" t="str">
        <f>Table32[[#This Row],[3rd hour I Sem]]</f>
        <v xml:space="preserve"> </v>
      </c>
      <c r="Y33" s="64" t="str">
        <f>Table32[[#This Row],[4th hour I Sem]]</f>
        <v xml:space="preserve"> </v>
      </c>
      <c r="Z33" s="56" t="str">
        <f>Table323[[#This Row],[1st hour V sem]]</f>
        <v xml:space="preserve"> </v>
      </c>
      <c r="AA33" s="55" t="str">
        <f>Table323[[#This Row],[2nd hour V sem]]</f>
        <v xml:space="preserve"> </v>
      </c>
      <c r="AB33" s="55" t="str">
        <f>Table323[[#This Row],[3rd hour V sem]]</f>
        <v xml:space="preserve"> </v>
      </c>
      <c r="AC33" s="58" t="str">
        <f>Table323[[#This Row],[4th hour V sem]]</f>
        <v xml:space="preserve"> </v>
      </c>
      <c r="AD33" s="57" t="str">
        <f>Table323[[#This Row],[1st hour III Sem]]</f>
        <v xml:space="preserve"> </v>
      </c>
      <c r="AE33" s="55" t="str">
        <f>Table323[[#This Row],[2nd hour III Sem]]</f>
        <v xml:space="preserve"> </v>
      </c>
      <c r="AF33" s="55" t="str">
        <f>Table323[[#This Row],[3rd hour III Sem]]</f>
        <v xml:space="preserve"> </v>
      </c>
      <c r="AG33" s="58" t="str">
        <f>Table323[[#This Row],[4th hour III Sem]]</f>
        <v xml:space="preserve"> </v>
      </c>
      <c r="AH33" s="57" t="str">
        <f>Table323[[#This Row],[1st hour I Sem]]</f>
        <v>SAN (N)</v>
      </c>
      <c r="AI33" s="55" t="str">
        <f>Table323[[#This Row],[2nd hour I Sem]]</f>
        <v xml:space="preserve"> </v>
      </c>
      <c r="AJ33" s="55" t="str">
        <f>Table323[[#This Row],[3rd hour I Sem]]</f>
        <v xml:space="preserve"> </v>
      </c>
      <c r="AK33" s="64" t="str">
        <f>Table323[[#This Row],[4th hour I Sem]]</f>
        <v xml:space="preserve"> </v>
      </c>
      <c r="AL33" s="56" t="str">
        <f>Table3235[[#This Row],[1st hour V sem]]</f>
        <v xml:space="preserve"> </v>
      </c>
      <c r="AM33" s="55" t="str">
        <f>Table3235[[#This Row],[2nd hour V sem]]</f>
        <v xml:space="preserve"> </v>
      </c>
      <c r="AN33" s="55" t="str">
        <f>Table3235[[#This Row],[3rd hour V sem]]</f>
        <v xml:space="preserve"> </v>
      </c>
      <c r="AO33" s="58" t="str">
        <f>Table3235[[#This Row],[4th hour V sem]]</f>
        <v xml:space="preserve"> </v>
      </c>
      <c r="AP33" s="57" t="str">
        <f>Table3235[[#This Row],[1st hour III Sem]]</f>
        <v xml:space="preserve"> </v>
      </c>
      <c r="AQ33" s="55" t="str">
        <f>Table3235[[#This Row],[2nd hour III Sem]]</f>
        <v xml:space="preserve"> </v>
      </c>
      <c r="AR33" s="55" t="str">
        <f>Table3235[[#This Row],[3rd hour III Sem]]</f>
        <v xml:space="preserve"> </v>
      </c>
      <c r="AS33" s="58" t="str">
        <f>Table3235[[#This Row],[4th hour III Sem]]</f>
        <v xml:space="preserve"> </v>
      </c>
      <c r="AT33" s="57" t="str">
        <f>Table3235[[#This Row],[1st hour I Sem]]</f>
        <v xml:space="preserve"> </v>
      </c>
      <c r="AU33" s="55" t="str">
        <f>Table3235[[#This Row],[2nd hour I Sem]]</f>
        <v xml:space="preserve"> </v>
      </c>
      <c r="AV33" s="55" t="str">
        <f>Table3235[[#This Row],[3rd hour I Sem]]</f>
        <v xml:space="preserve"> </v>
      </c>
      <c r="AW33" s="64" t="str">
        <f>Table3235[[#This Row],[4th hour I Sem]]</f>
        <v xml:space="preserve"> </v>
      </c>
      <c r="AX33" s="56" t="str">
        <f>Table32356[[#This Row],[1st hour V sem]]</f>
        <v xml:space="preserve"> </v>
      </c>
      <c r="AY33" s="55" t="str">
        <f>Table32356[[#This Row],[2nd hour V sem]]</f>
        <v xml:space="preserve"> </v>
      </c>
      <c r="AZ33" s="55" t="str">
        <f>Table32356[[#This Row],[3rd hour V sem]]</f>
        <v xml:space="preserve"> </v>
      </c>
      <c r="BA33" s="58" t="str">
        <f>Table32356[[#This Row],[4th hour V sem]]</f>
        <v xml:space="preserve"> </v>
      </c>
      <c r="BB33" s="57" t="str">
        <f>Table32356[[#This Row],[1st hour III Sem]]</f>
        <v xml:space="preserve"> </v>
      </c>
      <c r="BC33" s="55" t="str">
        <f>Table32356[[#This Row],[2nd hour III Sem]]</f>
        <v xml:space="preserve"> </v>
      </c>
      <c r="BD33" s="55" t="str">
        <f>Table32356[[#This Row],[3rd hour III Sem]]</f>
        <v xml:space="preserve"> </v>
      </c>
      <c r="BE33" s="58" t="str">
        <f>Table32356[[#This Row],[4th hour III Sem]]</f>
        <v xml:space="preserve"> </v>
      </c>
      <c r="BF33" s="57" t="str">
        <f>Table32356[[#This Row],[1st hour I Sem]]</f>
        <v xml:space="preserve"> </v>
      </c>
      <c r="BG33" s="55" t="str">
        <f>Table32356[[#This Row],[2nd hour I Sem]]</f>
        <v xml:space="preserve"> </v>
      </c>
      <c r="BH33" s="55" t="str">
        <f>Table32356[[#This Row],[3rd hour I Sem]]</f>
        <v xml:space="preserve"> </v>
      </c>
      <c r="BI33" s="64" t="str">
        <f>Table32356[[#This Row],[4th hour I Sem]]</f>
        <v xml:space="preserve"> </v>
      </c>
      <c r="BJ33" s="56" t="str">
        <f>Table323567[[#This Row],[1st hour V sem]]</f>
        <v xml:space="preserve"> </v>
      </c>
      <c r="BK33" s="55" t="str">
        <f>Table323567[[#This Row],[2nd hour V sem]]</f>
        <v xml:space="preserve"> </v>
      </c>
      <c r="BL33" s="55" t="str">
        <f>Table323567[[#This Row],[3rd hour V sem]]</f>
        <v xml:space="preserve"> </v>
      </c>
      <c r="BM33" s="58" t="str">
        <f>Table323567[[#This Row],[4th hour V sem]]</f>
        <v xml:space="preserve"> </v>
      </c>
      <c r="BN33" s="57" t="str">
        <f>Table323567[[#This Row],[1st hour III Sem]]</f>
        <v xml:space="preserve"> </v>
      </c>
      <c r="BO33" s="55" t="str">
        <f>Table323567[[#This Row],[2nd hour III Sem]]</f>
        <v xml:space="preserve"> </v>
      </c>
      <c r="BP33" s="55" t="str">
        <f>Table323567[[#This Row],[3rd hour III Sem]]</f>
        <v xml:space="preserve"> </v>
      </c>
      <c r="BQ33" s="58" t="str">
        <f>Table323567[[#This Row],[4th hour III Sem]]</f>
        <v xml:space="preserve"> </v>
      </c>
      <c r="BR33" s="57" t="str">
        <f>Table323567[[#This Row],[1st hour I Sem]]</f>
        <v xml:space="preserve"> </v>
      </c>
      <c r="BS33" s="55" t="str">
        <f>Table323567[[#This Row],[2nd hour I Sem]]</f>
        <v xml:space="preserve"> </v>
      </c>
      <c r="BT33" s="55" t="str">
        <f>Table323567[[#This Row],[3rd hour I Sem]]</f>
        <v xml:space="preserve"> </v>
      </c>
      <c r="BU33" s="64" t="str">
        <f>Table323567[[#This Row],[Column1]]</f>
        <v xml:space="preserve"> </v>
      </c>
    </row>
    <row r="34" spans="1:73" s="54" customFormat="1" x14ac:dyDescent="0.35">
      <c r="A34" s="165" t="str">
        <f>Mon!U34</f>
        <v>(RT)</v>
      </c>
      <c r="B34" s="56" t="str">
        <f>Table3[[#This Row],[1st hour V sem]]</f>
        <v xml:space="preserve"> </v>
      </c>
      <c r="C34" s="55" t="str">
        <f>Table3[[#This Row],[2nd hour V sem]]</f>
        <v xml:space="preserve"> </v>
      </c>
      <c r="D34" s="55" t="str">
        <f>Table3[[#This Row],[3rd hour V sem]]</f>
        <v xml:space="preserve"> </v>
      </c>
      <c r="E34" s="58" t="str">
        <f>Table3[[#This Row],[4th hour V sem]]</f>
        <v xml:space="preserve"> </v>
      </c>
      <c r="F34" s="57" t="str">
        <f>Table3[[#This Row],[1st hour III Sem]]</f>
        <v xml:space="preserve"> </v>
      </c>
      <c r="G34" s="55" t="str">
        <f>Table3[[#This Row],[2nd hour III Sem]]</f>
        <v>HR (H)</v>
      </c>
      <c r="H34" s="55" t="str">
        <f>Table3[[#This Row],[3rd hour III Sem]]</f>
        <v xml:space="preserve"> </v>
      </c>
      <c r="I34" s="58" t="str">
        <f>Table3[[#This Row],[4th hour III Sem]]</f>
        <v>HR (M)</v>
      </c>
      <c r="J34" s="57" t="str">
        <f>Table3[[#This Row],[1st hour I Sem]]</f>
        <v xml:space="preserve"> </v>
      </c>
      <c r="K34" s="55" t="str">
        <f>Table3[[#This Row],[2nd hour I Sem]]</f>
        <v xml:space="preserve"> </v>
      </c>
      <c r="L34" s="55" t="str">
        <f>Table3[[#This Row],[3rd hour I Sem]]</f>
        <v xml:space="preserve"> </v>
      </c>
      <c r="M34" s="55" t="str">
        <f>Table3[[#This Row],[4th hour I Sem]]</f>
        <v xml:space="preserve"> </v>
      </c>
      <c r="N34" s="56" t="str">
        <f>Table32[[#This Row],[1st hour V sem]]</f>
        <v xml:space="preserve"> </v>
      </c>
      <c r="O34" s="55" t="str">
        <f>Table32[[#This Row],[2nd hour V sem]]</f>
        <v xml:space="preserve"> </v>
      </c>
      <c r="P34" s="55" t="str">
        <f>Table32[[#This Row],[3rd hour V sem]]</f>
        <v xml:space="preserve"> </v>
      </c>
      <c r="Q34" s="73" t="str">
        <f>Table32[[#This Row],[4th hour V sem]]</f>
        <v>CHRM (L)</v>
      </c>
      <c r="R34" s="57" t="str">
        <f>Table32[[#This Row],[1st hour III Sem]]</f>
        <v>HR (H)</v>
      </c>
      <c r="S34" s="55" t="str">
        <f>Table32[[#This Row],[2nd hour III Sem]]</f>
        <v>HR (M)</v>
      </c>
      <c r="T34" s="55" t="str">
        <f>Table32[[#This Row],[3rd hour III Sem]]</f>
        <v xml:space="preserve"> </v>
      </c>
      <c r="U34" s="58" t="str">
        <f>Table32[[#This Row],[4th hour III Sem]]</f>
        <v xml:space="preserve"> </v>
      </c>
      <c r="V34" s="74" t="str">
        <f>Table32[[#This Row],[1st hour I Sem]]</f>
        <v xml:space="preserve"> </v>
      </c>
      <c r="W34" s="55" t="str">
        <f>Table32[[#This Row],[2nd hour I Sem]]</f>
        <v xml:space="preserve"> </v>
      </c>
      <c r="X34" s="55" t="str">
        <f>Table32[[#This Row],[3rd hour I Sem]]</f>
        <v xml:space="preserve"> </v>
      </c>
      <c r="Y34" s="64" t="str">
        <f>Table32[[#This Row],[4th hour I Sem]]</f>
        <v xml:space="preserve"> </v>
      </c>
      <c r="Z34" s="56" t="str">
        <f>Table323[[#This Row],[1st hour V sem]]</f>
        <v xml:space="preserve"> </v>
      </c>
      <c r="AA34" s="55" t="str">
        <f>Table323[[#This Row],[2nd hour V sem]]</f>
        <v xml:space="preserve"> </v>
      </c>
      <c r="AB34" s="55" t="str">
        <f>Table323[[#This Row],[3rd hour V sem]]</f>
        <v>CHRM (L)</v>
      </c>
      <c r="AC34" s="58" t="str">
        <f>Table323[[#This Row],[4th hour V sem]]</f>
        <v xml:space="preserve"> </v>
      </c>
      <c r="AD34" s="57" t="str">
        <f>Table323[[#This Row],[1st hour III Sem]]</f>
        <v xml:space="preserve"> </v>
      </c>
      <c r="AE34" s="55" t="str">
        <f>Table323[[#This Row],[2nd hour III Sem]]</f>
        <v>HR (A)</v>
      </c>
      <c r="AF34" s="55" t="str">
        <f>Table323[[#This Row],[3rd hour III Sem]]</f>
        <v xml:space="preserve"> </v>
      </c>
      <c r="AG34" s="58" t="str">
        <f>Table323[[#This Row],[4th hour III Sem]]</f>
        <v xml:space="preserve"> </v>
      </c>
      <c r="AH34" s="57" t="str">
        <f>Table323[[#This Row],[1st hour I Sem]]</f>
        <v xml:space="preserve"> </v>
      </c>
      <c r="AI34" s="55" t="str">
        <f>Table323[[#This Row],[2nd hour I Sem]]</f>
        <v xml:space="preserve"> </v>
      </c>
      <c r="AJ34" s="55" t="str">
        <f>Table323[[#This Row],[3rd hour I Sem]]</f>
        <v xml:space="preserve"> </v>
      </c>
      <c r="AK34" s="64" t="str">
        <f>Table323[[#This Row],[4th hour I Sem]]</f>
        <v xml:space="preserve"> </v>
      </c>
      <c r="AL34" s="56" t="str">
        <f>Table3235[[#This Row],[1st hour V sem]]</f>
        <v xml:space="preserve"> </v>
      </c>
      <c r="AM34" s="55" t="str">
        <f>Table3235[[#This Row],[2nd hour V sem]]</f>
        <v xml:space="preserve"> </v>
      </c>
      <c r="AN34" s="55" t="str">
        <f>Table3235[[#This Row],[3rd hour V sem]]</f>
        <v xml:space="preserve"> </v>
      </c>
      <c r="AO34" s="58" t="str">
        <f>Table3235[[#This Row],[4th hour V sem]]</f>
        <v xml:space="preserve"> </v>
      </c>
      <c r="AP34" s="57" t="str">
        <f>Table3235[[#This Row],[1st hour III Sem]]</f>
        <v xml:space="preserve"> </v>
      </c>
      <c r="AQ34" s="55" t="str">
        <f>Table3235[[#This Row],[2nd hour III Sem]]</f>
        <v>HR (A)</v>
      </c>
      <c r="AR34" s="55" t="str">
        <f>Table3235[[#This Row],[3rd hour III Sem]]</f>
        <v>HR (M)</v>
      </c>
      <c r="AS34" s="58" t="str">
        <f>Table3235[[#This Row],[4th hour III Sem]]</f>
        <v xml:space="preserve"> </v>
      </c>
      <c r="AT34" s="57" t="str">
        <f>Table3235[[#This Row],[1st hour I Sem]]</f>
        <v xml:space="preserve"> </v>
      </c>
      <c r="AU34" s="55" t="str">
        <f>Table3235[[#This Row],[2nd hour I Sem]]</f>
        <v xml:space="preserve"> </v>
      </c>
      <c r="AV34" s="55" t="str">
        <f>Table3235[[#This Row],[3rd hour I Sem]]</f>
        <v xml:space="preserve"> </v>
      </c>
      <c r="AW34" s="64" t="str">
        <f>Table3235[[#This Row],[4th hour I Sem]]</f>
        <v xml:space="preserve"> </v>
      </c>
      <c r="AX34" s="56" t="str">
        <f>Table32356[[#This Row],[1st hour V sem]]</f>
        <v xml:space="preserve"> </v>
      </c>
      <c r="AY34" s="55" t="str">
        <f>Table32356[[#This Row],[2nd hour V sem]]</f>
        <v xml:space="preserve"> </v>
      </c>
      <c r="AZ34" s="55" t="str">
        <f>Table32356[[#This Row],[3rd hour V sem]]</f>
        <v xml:space="preserve"> </v>
      </c>
      <c r="BA34" s="58" t="str">
        <f>Table32356[[#This Row],[4th hour V sem]]</f>
        <v xml:space="preserve"> </v>
      </c>
      <c r="BB34" s="57" t="str">
        <f>Table32356[[#This Row],[1st hour III Sem]]</f>
        <v>HR (H)</v>
      </c>
      <c r="BC34" s="55" t="str">
        <f>Table32356[[#This Row],[2nd hour III Sem]]</f>
        <v xml:space="preserve"> </v>
      </c>
      <c r="BD34" s="55" t="str">
        <f>Table32356[[#This Row],[3rd hour III Sem]]</f>
        <v xml:space="preserve"> </v>
      </c>
      <c r="BE34" s="58" t="str">
        <f>Table32356[[#This Row],[4th hour III Sem]]</f>
        <v>HR (A)</v>
      </c>
      <c r="BF34" s="57" t="str">
        <f>Table32356[[#This Row],[1st hour I Sem]]</f>
        <v xml:space="preserve"> </v>
      </c>
      <c r="BG34" s="55" t="str">
        <f>Table32356[[#This Row],[2nd hour I Sem]]</f>
        <v xml:space="preserve"> </v>
      </c>
      <c r="BH34" s="55" t="str">
        <f>Table32356[[#This Row],[3rd hour I Sem]]</f>
        <v xml:space="preserve"> </v>
      </c>
      <c r="BI34" s="64" t="str">
        <f>Table32356[[#This Row],[4th hour I Sem]]</f>
        <v xml:space="preserve"> </v>
      </c>
      <c r="BJ34" s="56" t="str">
        <f>Table323567[[#This Row],[1st hour V sem]]</f>
        <v xml:space="preserve"> </v>
      </c>
      <c r="BK34" s="55" t="str">
        <f>Table323567[[#This Row],[2nd hour V sem]]</f>
        <v>CHRM (L)</v>
      </c>
      <c r="BL34" s="55" t="str">
        <f>Table323567[[#This Row],[3rd hour V sem]]</f>
        <v xml:space="preserve"> </v>
      </c>
      <c r="BM34" s="58" t="str">
        <f>Table323567[[#This Row],[4th hour V sem]]</f>
        <v xml:space="preserve"> </v>
      </c>
      <c r="BN34" s="57" t="str">
        <f>Table323567[[#This Row],[1st hour III Sem]]</f>
        <v>HR (J)</v>
      </c>
      <c r="BO34" s="55" t="str">
        <f>Table323567[[#This Row],[2nd hour III Sem]]</f>
        <v xml:space="preserve"> </v>
      </c>
      <c r="BP34" s="55" t="str">
        <f>Table323567[[#This Row],[3rd hour III Sem]]</f>
        <v xml:space="preserve"> </v>
      </c>
      <c r="BQ34" s="58" t="str">
        <f>Table323567[[#This Row],[4th hour III Sem]]</f>
        <v xml:space="preserve"> </v>
      </c>
      <c r="BR34" s="57" t="str">
        <f>Table323567[[#This Row],[1st hour I Sem]]</f>
        <v xml:space="preserve"> </v>
      </c>
      <c r="BS34" s="55" t="str">
        <f>Table323567[[#This Row],[2nd hour I Sem]]</f>
        <v xml:space="preserve"> </v>
      </c>
      <c r="BT34" s="55" t="str">
        <f>Table323567[[#This Row],[3rd hour I Sem]]</f>
        <v xml:space="preserve"> </v>
      </c>
      <c r="BU34" s="64" t="str">
        <f>Table323567[[#This Row],[Column1]]</f>
        <v xml:space="preserve"> </v>
      </c>
    </row>
    <row r="35" spans="1:73" s="54" customFormat="1" x14ac:dyDescent="0.35">
      <c r="A35" s="165" t="str">
        <f>Mon!U35</f>
        <v>(SA)</v>
      </c>
      <c r="B35" s="56" t="str">
        <f>Table3[[#This Row],[1st hour V sem]]</f>
        <v xml:space="preserve"> </v>
      </c>
      <c r="C35" s="55" t="str">
        <f>Table3[[#This Row],[2nd hour V sem]]</f>
        <v xml:space="preserve"> </v>
      </c>
      <c r="D35" s="55" t="str">
        <f>Table3[[#This Row],[3rd hour V sem]]</f>
        <v xml:space="preserve"> </v>
      </c>
      <c r="E35" s="58" t="str">
        <f>Table3[[#This Row],[4th hour V sem]]</f>
        <v xml:space="preserve"> </v>
      </c>
      <c r="F35" s="57" t="str">
        <f>Table3[[#This Row],[1st hour III Sem]]</f>
        <v xml:space="preserve"> </v>
      </c>
      <c r="G35" s="55" t="str">
        <f>Table3[[#This Row],[2nd hour III Sem]]</f>
        <v xml:space="preserve"> </v>
      </c>
      <c r="H35" s="55" t="str">
        <f>Table3[[#This Row],[3rd hour III Sem]]</f>
        <v xml:space="preserve"> </v>
      </c>
      <c r="I35" s="58" t="str">
        <f>Table3[[#This Row],[4th hour III Sem]]</f>
        <v xml:space="preserve"> </v>
      </c>
      <c r="J35" s="57" t="str">
        <f>Table3[[#This Row],[1st hour I Sem]]</f>
        <v>GE (A)</v>
      </c>
      <c r="K35" s="55" t="str">
        <f>Table3[[#This Row],[2nd hour I Sem]]</f>
        <v>GE (H)</v>
      </c>
      <c r="L35" s="55" t="str">
        <f>Table3[[#This Row],[3rd hour I Sem]]</f>
        <v>AE (B)</v>
      </c>
      <c r="M35" s="55" t="str">
        <f>Table3[[#This Row],[4th hour I Sem]]</f>
        <v>GE (M)</v>
      </c>
      <c r="N35" s="56" t="str">
        <f>Table32[[#This Row],[1st hour V sem]]</f>
        <v xml:space="preserve"> </v>
      </c>
      <c r="O35" s="55" t="str">
        <f>Table32[[#This Row],[2nd hour V sem]]</f>
        <v xml:space="preserve"> </v>
      </c>
      <c r="P35" s="55" t="str">
        <f>Table32[[#This Row],[3rd hour V sem]]</f>
        <v xml:space="preserve"> </v>
      </c>
      <c r="Q35" s="73" t="str">
        <f>Table32[[#This Row],[4th hour V sem]]</f>
        <v xml:space="preserve"> </v>
      </c>
      <c r="R35" s="57" t="str">
        <f>Table32[[#This Row],[1st hour III Sem]]</f>
        <v xml:space="preserve"> </v>
      </c>
      <c r="S35" s="55" t="str">
        <f>Table32[[#This Row],[2nd hour III Sem]]</f>
        <v xml:space="preserve"> </v>
      </c>
      <c r="T35" s="55" t="str">
        <f>Table32[[#This Row],[3rd hour III Sem]]</f>
        <v xml:space="preserve"> </v>
      </c>
      <c r="U35" s="58" t="str">
        <f>Table32[[#This Row],[4th hour III Sem]]</f>
        <v xml:space="preserve"> </v>
      </c>
      <c r="V35" s="74" t="str">
        <f>Table32[[#This Row],[1st hour I Sem]]</f>
        <v>AE (B)</v>
      </c>
      <c r="W35" s="55" t="str">
        <f>Table32[[#This Row],[2nd hour I Sem]]</f>
        <v xml:space="preserve"> </v>
      </c>
      <c r="X35" s="55" t="str">
        <f>Table32[[#This Row],[3rd hour I Sem]]</f>
        <v>GE (M)</v>
      </c>
      <c r="Y35" s="64" t="str">
        <f>Table32[[#This Row],[4th hour I Sem]]</f>
        <v xml:space="preserve"> </v>
      </c>
      <c r="Z35" s="56" t="str">
        <f>Table323[[#This Row],[1st hour V sem]]</f>
        <v xml:space="preserve"> </v>
      </c>
      <c r="AA35" s="55" t="str">
        <f>Table323[[#This Row],[2nd hour V sem]]</f>
        <v xml:space="preserve"> </v>
      </c>
      <c r="AB35" s="55" t="str">
        <f>Table323[[#This Row],[3rd hour V sem]]</f>
        <v xml:space="preserve"> </v>
      </c>
      <c r="AC35" s="58" t="str">
        <f>Table323[[#This Row],[4th hour V sem]]</f>
        <v xml:space="preserve"> </v>
      </c>
      <c r="AD35" s="57" t="str">
        <f>Table323[[#This Row],[1st hour III Sem]]</f>
        <v xml:space="preserve"> </v>
      </c>
      <c r="AE35" s="55" t="str">
        <f>Table323[[#This Row],[2nd hour III Sem]]</f>
        <v xml:space="preserve"> </v>
      </c>
      <c r="AF35" s="55" t="str">
        <f>Table323[[#This Row],[3rd hour III Sem]]</f>
        <v xml:space="preserve"> </v>
      </c>
      <c r="AG35" s="58" t="str">
        <f>Table323[[#This Row],[4th hour III Sem]]</f>
        <v xml:space="preserve"> </v>
      </c>
      <c r="AH35" s="57" t="str">
        <f>Table323[[#This Row],[1st hour I Sem]]</f>
        <v xml:space="preserve"> </v>
      </c>
      <c r="AI35" s="55" t="str">
        <f>Table323[[#This Row],[2nd hour I Sem]]</f>
        <v>GE (A)</v>
      </c>
      <c r="AJ35" s="55" t="str">
        <f>Table323[[#This Row],[3rd hour I Sem]]</f>
        <v>GE (H)</v>
      </c>
      <c r="AK35" s="64" t="str">
        <f>Table323[[#This Row],[4th hour I Sem]]</f>
        <v xml:space="preserve"> </v>
      </c>
      <c r="AL35" s="56" t="str">
        <f>Table3235[[#This Row],[1st hour V sem]]</f>
        <v xml:space="preserve"> </v>
      </c>
      <c r="AM35" s="55" t="str">
        <f>Table3235[[#This Row],[2nd hour V sem]]</f>
        <v xml:space="preserve"> </v>
      </c>
      <c r="AN35" s="55" t="str">
        <f>Table3235[[#This Row],[3rd hour V sem]]</f>
        <v xml:space="preserve"> </v>
      </c>
      <c r="AO35" s="58" t="str">
        <f>Table3235[[#This Row],[4th hour V sem]]</f>
        <v xml:space="preserve"> </v>
      </c>
      <c r="AP35" s="57" t="str">
        <f>Table3235[[#This Row],[1st hour III Sem]]</f>
        <v xml:space="preserve"> </v>
      </c>
      <c r="AQ35" s="55" t="str">
        <f>Table3235[[#This Row],[2nd hour III Sem]]</f>
        <v xml:space="preserve"> </v>
      </c>
      <c r="AR35" s="55" t="str">
        <f>Table3235[[#This Row],[3rd hour III Sem]]</f>
        <v xml:space="preserve"> </v>
      </c>
      <c r="AS35" s="58" t="str">
        <f>Table3235[[#This Row],[4th hour III Sem]]</f>
        <v xml:space="preserve"> </v>
      </c>
      <c r="AT35" s="57" t="str">
        <f>Table3235[[#This Row],[1st hour I Sem]]</f>
        <v xml:space="preserve"> </v>
      </c>
      <c r="AU35" s="55" t="str">
        <f>Table3235[[#This Row],[2nd hour I Sem]]</f>
        <v xml:space="preserve"> </v>
      </c>
      <c r="AV35" s="55" t="str">
        <f>Table3235[[#This Row],[3rd hour I Sem]]</f>
        <v>GE (N)</v>
      </c>
      <c r="AW35" s="64" t="str">
        <f>Table3235[[#This Row],[4th hour I Sem]]</f>
        <v>AE (B)</v>
      </c>
      <c r="AX35" s="56" t="str">
        <f>Table32356[[#This Row],[1st hour V sem]]</f>
        <v xml:space="preserve"> </v>
      </c>
      <c r="AY35" s="55" t="str">
        <f>Table32356[[#This Row],[2nd hour V sem]]</f>
        <v xml:space="preserve"> </v>
      </c>
      <c r="AZ35" s="55" t="str">
        <f>Table32356[[#This Row],[3rd hour V sem]]</f>
        <v xml:space="preserve"> </v>
      </c>
      <c r="BA35" s="58" t="str">
        <f>Table32356[[#This Row],[4th hour V sem]]</f>
        <v xml:space="preserve"> </v>
      </c>
      <c r="BB35" s="57" t="str">
        <f>Table32356[[#This Row],[1st hour III Sem]]</f>
        <v xml:space="preserve"> </v>
      </c>
      <c r="BC35" s="55" t="str">
        <f>Table32356[[#This Row],[2nd hour III Sem]]</f>
        <v xml:space="preserve"> </v>
      </c>
      <c r="BD35" s="55" t="str">
        <f>Table32356[[#This Row],[3rd hour III Sem]]</f>
        <v xml:space="preserve"> </v>
      </c>
      <c r="BE35" s="58" t="str">
        <f>Table32356[[#This Row],[4th hour III Sem]]</f>
        <v xml:space="preserve"> </v>
      </c>
      <c r="BF35" s="57" t="str">
        <f>Table32356[[#This Row],[1st hour I Sem]]</f>
        <v>GE (M)</v>
      </c>
      <c r="BG35" s="55" t="str">
        <f>Table32356[[#This Row],[2nd hour I Sem]]</f>
        <v>GE (A)</v>
      </c>
      <c r="BH35" s="55" t="str">
        <f>Table32356[[#This Row],[3rd hour I Sem]]</f>
        <v>GE (H)</v>
      </c>
      <c r="BI35" s="64" t="str">
        <f>Table32356[[#This Row],[4th hour I Sem]]</f>
        <v>GE (N)</v>
      </c>
      <c r="BJ35" s="56" t="str">
        <f>Table323567[[#This Row],[1st hour V sem]]</f>
        <v xml:space="preserve"> </v>
      </c>
      <c r="BK35" s="55" t="str">
        <f>Table323567[[#This Row],[2nd hour V sem]]</f>
        <v xml:space="preserve"> </v>
      </c>
      <c r="BL35" s="55" t="str">
        <f>Table323567[[#This Row],[3rd hour V sem]]</f>
        <v xml:space="preserve"> </v>
      </c>
      <c r="BM35" s="58" t="str">
        <f>Table323567[[#This Row],[4th hour V sem]]</f>
        <v xml:space="preserve"> </v>
      </c>
      <c r="BN35" s="57" t="str">
        <f>Table323567[[#This Row],[1st hour III Sem]]</f>
        <v xml:space="preserve"> </v>
      </c>
      <c r="BO35" s="55" t="str">
        <f>Table323567[[#This Row],[2nd hour III Sem]]</f>
        <v xml:space="preserve"> </v>
      </c>
      <c r="BP35" s="55" t="str">
        <f>Table323567[[#This Row],[3rd hour III Sem]]</f>
        <v xml:space="preserve"> </v>
      </c>
      <c r="BQ35" s="58" t="str">
        <f>Table323567[[#This Row],[4th hour III Sem]]</f>
        <v xml:space="preserve"> </v>
      </c>
      <c r="BR35" s="57" t="str">
        <f>Table323567[[#This Row],[1st hour I Sem]]</f>
        <v xml:space="preserve"> </v>
      </c>
      <c r="BS35" s="55" t="str">
        <f>Table323567[[#This Row],[2nd hour I Sem]]</f>
        <v>GE (N)</v>
      </c>
      <c r="BT35" s="55" t="str">
        <f>Table323567[[#This Row],[3rd hour I Sem]]</f>
        <v xml:space="preserve"> </v>
      </c>
      <c r="BU35" s="64" t="str">
        <f>Table323567[[#This Row],[Column1]]</f>
        <v xml:space="preserve"> </v>
      </c>
    </row>
    <row r="36" spans="1:73" s="54" customFormat="1" x14ac:dyDescent="0.35">
      <c r="A36" s="165" t="str">
        <f>Mon!U36</f>
        <v>(SAK)</v>
      </c>
      <c r="B36" s="56" t="str">
        <f>Table3[[#This Row],[1st hour V sem]]</f>
        <v xml:space="preserve"> </v>
      </c>
      <c r="C36" s="55" t="str">
        <f>Table3[[#This Row],[2nd hour V sem]]</f>
        <v xml:space="preserve"> </v>
      </c>
      <c r="D36" s="55" t="str">
        <f>Table3[[#This Row],[3rd hour V sem]]</f>
        <v xml:space="preserve"> </v>
      </c>
      <c r="E36" s="58" t="str">
        <f>Table3[[#This Row],[4th hour V sem]]</f>
        <v xml:space="preserve"> </v>
      </c>
      <c r="F36" s="57" t="str">
        <f>Table3[[#This Row],[1st hour III Sem]]</f>
        <v>MM (I)</v>
      </c>
      <c r="G36" s="55" t="str">
        <f>Table3[[#This Row],[2nd hour III Sem]]</f>
        <v>MM (K)</v>
      </c>
      <c r="H36" s="55" t="str">
        <f>Table3[[#This Row],[3rd hour III Sem]]</f>
        <v>CM (B)</v>
      </c>
      <c r="I36" s="58" t="str">
        <f>Table3[[#This Row],[4th hour III Sem]]</f>
        <v xml:space="preserve"> </v>
      </c>
      <c r="J36" s="57" t="str">
        <f>Table3[[#This Row],[1st hour I Sem]]</f>
        <v xml:space="preserve"> </v>
      </c>
      <c r="K36" s="55" t="str">
        <f>Table3[[#This Row],[2nd hour I Sem]]</f>
        <v xml:space="preserve"> </v>
      </c>
      <c r="L36" s="55" t="str">
        <f>Table3[[#This Row],[3rd hour I Sem]]</f>
        <v xml:space="preserve"> </v>
      </c>
      <c r="M36" s="55" t="str">
        <f>Table3[[#This Row],[4th hour I Sem]]</f>
        <v xml:space="preserve"> </v>
      </c>
      <c r="N36" s="56" t="str">
        <f>Table32[[#This Row],[1st hour V sem]]</f>
        <v xml:space="preserve"> </v>
      </c>
      <c r="O36" s="55" t="str">
        <f>Table32[[#This Row],[2nd hour V sem]]</f>
        <v xml:space="preserve"> </v>
      </c>
      <c r="P36" s="55" t="str">
        <f>Table32[[#This Row],[3rd hour V sem]]</f>
        <v xml:space="preserve"> </v>
      </c>
      <c r="Q36" s="73" t="str">
        <f>Table32[[#This Row],[4th hour V sem]]</f>
        <v xml:space="preserve"> </v>
      </c>
      <c r="R36" s="57" t="str">
        <f>Table32[[#This Row],[1st hour III Sem]]</f>
        <v>MM (D)</v>
      </c>
      <c r="S36" s="55" t="str">
        <f>Table32[[#This Row],[2nd hour III Sem]]</f>
        <v xml:space="preserve"> </v>
      </c>
      <c r="T36" s="55" t="str">
        <f>Table32[[#This Row],[3rd hour III Sem]]</f>
        <v>CM (F)</v>
      </c>
      <c r="U36" s="58" t="str">
        <f>Table32[[#This Row],[4th hour III Sem]]</f>
        <v>CM (E)</v>
      </c>
      <c r="V36" s="74" t="str">
        <f>Table32[[#This Row],[1st hour I Sem]]</f>
        <v xml:space="preserve"> </v>
      </c>
      <c r="W36" s="55" t="str">
        <f>Table32[[#This Row],[2nd hour I Sem]]</f>
        <v xml:space="preserve"> </v>
      </c>
      <c r="X36" s="55" t="str">
        <f>Table32[[#This Row],[3rd hour I Sem]]</f>
        <v xml:space="preserve"> </v>
      </c>
      <c r="Y36" s="64" t="str">
        <f>Table32[[#This Row],[4th hour I Sem]]</f>
        <v xml:space="preserve"> </v>
      </c>
      <c r="Z36" s="56" t="str">
        <f>Table323[[#This Row],[1st hour V sem]]</f>
        <v xml:space="preserve"> </v>
      </c>
      <c r="AA36" s="55" t="str">
        <f>Table323[[#This Row],[2nd hour V sem]]</f>
        <v xml:space="preserve"> </v>
      </c>
      <c r="AB36" s="55" t="str">
        <f>Table323[[#This Row],[3rd hour V sem]]</f>
        <v xml:space="preserve"> </v>
      </c>
      <c r="AC36" s="58" t="str">
        <f>Table323[[#This Row],[4th hour V sem]]</f>
        <v xml:space="preserve"> </v>
      </c>
      <c r="AD36" s="57" t="str">
        <f>Table323[[#This Row],[1st hour III Sem]]</f>
        <v>CM (E)</v>
      </c>
      <c r="AE36" s="55" t="str">
        <f>Table323[[#This Row],[2nd hour III Sem]]</f>
        <v>MM (K)</v>
      </c>
      <c r="AF36" s="55" t="str">
        <f>Table323[[#This Row],[3rd hour III Sem]]</f>
        <v>CM (B)</v>
      </c>
      <c r="AG36" s="58" t="str">
        <f>Table323[[#This Row],[4th hour III Sem]]</f>
        <v xml:space="preserve"> </v>
      </c>
      <c r="AH36" s="57" t="str">
        <f>Table323[[#This Row],[1st hour I Sem]]</f>
        <v xml:space="preserve"> </v>
      </c>
      <c r="AI36" s="55" t="str">
        <f>Table323[[#This Row],[2nd hour I Sem]]</f>
        <v xml:space="preserve"> </v>
      </c>
      <c r="AJ36" s="55" t="str">
        <f>Table323[[#This Row],[3rd hour I Sem]]</f>
        <v xml:space="preserve"> </v>
      </c>
      <c r="AK36" s="64" t="str">
        <f>Table323[[#This Row],[4th hour I Sem]]</f>
        <v xml:space="preserve"> </v>
      </c>
      <c r="AL36" s="56" t="str">
        <f>Table3235[[#This Row],[1st hour V sem]]</f>
        <v xml:space="preserve"> </v>
      </c>
      <c r="AM36" s="55" t="str">
        <f>Table3235[[#This Row],[2nd hour V sem]]</f>
        <v xml:space="preserve"> </v>
      </c>
      <c r="AN36" s="55" t="str">
        <f>Table3235[[#This Row],[3rd hour V sem]]</f>
        <v xml:space="preserve"> </v>
      </c>
      <c r="AO36" s="58" t="str">
        <f>Table3235[[#This Row],[4th hour V sem]]</f>
        <v xml:space="preserve"> </v>
      </c>
      <c r="AP36" s="57" t="str">
        <f>Table3235[[#This Row],[1st hour III Sem]]</f>
        <v>MM (I)</v>
      </c>
      <c r="AQ36" s="55" t="str">
        <f>Table3235[[#This Row],[2nd hour III Sem]]</f>
        <v>CM (F)</v>
      </c>
      <c r="AR36" s="55" t="str">
        <f>Table3235[[#This Row],[3rd hour III Sem]]</f>
        <v>MM (D)</v>
      </c>
      <c r="AS36" s="58" t="str">
        <f>Table3235[[#This Row],[4th hour III Sem]]</f>
        <v>MM (K)</v>
      </c>
      <c r="AT36" s="57" t="str">
        <f>Table3235[[#This Row],[1st hour I Sem]]</f>
        <v xml:space="preserve"> </v>
      </c>
      <c r="AU36" s="55" t="str">
        <f>Table3235[[#This Row],[2nd hour I Sem]]</f>
        <v xml:space="preserve"> </v>
      </c>
      <c r="AV36" s="55" t="str">
        <f>Table3235[[#This Row],[3rd hour I Sem]]</f>
        <v xml:space="preserve"> </v>
      </c>
      <c r="AW36" s="64" t="str">
        <f>Table3235[[#This Row],[4th hour I Sem]]</f>
        <v xml:space="preserve"> </v>
      </c>
      <c r="AX36" s="56" t="str">
        <f>Table32356[[#This Row],[1st hour V sem]]</f>
        <v xml:space="preserve"> </v>
      </c>
      <c r="AY36" s="55" t="str">
        <f>Table32356[[#This Row],[2nd hour V sem]]</f>
        <v xml:space="preserve"> </v>
      </c>
      <c r="AZ36" s="55" t="str">
        <f>Table32356[[#This Row],[3rd hour V sem]]</f>
        <v xml:space="preserve"> </v>
      </c>
      <c r="BA36" s="58" t="str">
        <f>Table32356[[#This Row],[4th hour V sem]]</f>
        <v xml:space="preserve"> </v>
      </c>
      <c r="BB36" s="57" t="str">
        <f>Table32356[[#This Row],[1st hour III Sem]]</f>
        <v xml:space="preserve"> </v>
      </c>
      <c r="BC36" s="55" t="str">
        <f>Table32356[[#This Row],[2nd hour III Sem]]</f>
        <v>CM (E)</v>
      </c>
      <c r="BD36" s="55" t="str">
        <f>Table32356[[#This Row],[3rd hour III Sem]]</f>
        <v xml:space="preserve"> </v>
      </c>
      <c r="BE36" s="58" t="str">
        <f>Table32356[[#This Row],[4th hour III Sem]]</f>
        <v>MM (D)</v>
      </c>
      <c r="BF36" s="57" t="str">
        <f>Table32356[[#This Row],[1st hour I Sem]]</f>
        <v xml:space="preserve"> </v>
      </c>
      <c r="BG36" s="55" t="str">
        <f>Table32356[[#This Row],[2nd hour I Sem]]</f>
        <v xml:space="preserve"> </v>
      </c>
      <c r="BH36" s="55" t="str">
        <f>Table32356[[#This Row],[3rd hour I Sem]]</f>
        <v xml:space="preserve"> </v>
      </c>
      <c r="BI36" s="64" t="str">
        <f>Table32356[[#This Row],[4th hour I Sem]]</f>
        <v xml:space="preserve"> </v>
      </c>
      <c r="BJ36" s="56" t="str">
        <f>Table323567[[#This Row],[1st hour V sem]]</f>
        <v xml:space="preserve"> </v>
      </c>
      <c r="BK36" s="55" t="str">
        <f>Table323567[[#This Row],[2nd hour V sem]]</f>
        <v xml:space="preserve"> </v>
      </c>
      <c r="BL36" s="55" t="str">
        <f>Table323567[[#This Row],[3rd hour V sem]]</f>
        <v xml:space="preserve"> </v>
      </c>
      <c r="BM36" s="58" t="str">
        <f>Table323567[[#This Row],[4th hour V sem]]</f>
        <v xml:space="preserve"> </v>
      </c>
      <c r="BN36" s="57" t="str">
        <f>Table323567[[#This Row],[1st hour III Sem]]</f>
        <v>CM (B)</v>
      </c>
      <c r="BO36" s="55" t="str">
        <f>Table323567[[#This Row],[2nd hour III Sem]]</f>
        <v>CM (F)</v>
      </c>
      <c r="BP36" s="55" t="str">
        <f>Table323567[[#This Row],[3rd hour III Sem]]</f>
        <v>MM (I)</v>
      </c>
      <c r="BQ36" s="58" t="str">
        <f>Table323567[[#This Row],[4th hour III Sem]]</f>
        <v xml:space="preserve"> </v>
      </c>
      <c r="BR36" s="57" t="str">
        <f>Table323567[[#This Row],[1st hour I Sem]]</f>
        <v xml:space="preserve"> </v>
      </c>
      <c r="BS36" s="55" t="str">
        <f>Table323567[[#This Row],[2nd hour I Sem]]</f>
        <v xml:space="preserve"> </v>
      </c>
      <c r="BT36" s="55" t="str">
        <f>Table323567[[#This Row],[3rd hour I Sem]]</f>
        <v xml:space="preserve"> </v>
      </c>
      <c r="BU36" s="64" t="str">
        <f>Table323567[[#This Row],[Column1]]</f>
        <v xml:space="preserve"> </v>
      </c>
    </row>
    <row r="37" spans="1:73" s="54" customFormat="1" x14ac:dyDescent="0.35">
      <c r="A37" s="165" t="str">
        <f>Mon!U37</f>
        <v>(SB)</v>
      </c>
      <c r="B37" s="56" t="str">
        <f>Table3[[#This Row],[1st hour V sem]]</f>
        <v xml:space="preserve"> </v>
      </c>
      <c r="C37" s="55" t="str">
        <f>Table3[[#This Row],[2nd hour V sem]]</f>
        <v xml:space="preserve"> </v>
      </c>
      <c r="D37" s="55" t="str">
        <f>Table3[[#This Row],[3rd hour V sem]]</f>
        <v xml:space="preserve"> </v>
      </c>
      <c r="E37" s="58" t="str">
        <f>Table3[[#This Row],[4th hour V sem]]</f>
        <v xml:space="preserve"> </v>
      </c>
      <c r="F37" s="57" t="str">
        <f>Table3[[#This Row],[1st hour III Sem]]</f>
        <v>MM (F)</v>
      </c>
      <c r="G37" s="55" t="str">
        <f>Table3[[#This Row],[2nd hour III Sem]]</f>
        <v>MM (C)</v>
      </c>
      <c r="H37" s="55" t="str">
        <f>Table3[[#This Row],[3rd hour III Sem]]</f>
        <v>MM (M)</v>
      </c>
      <c r="I37" s="58" t="str">
        <f>Table3[[#This Row],[4th hour III Sem]]</f>
        <v xml:space="preserve"> </v>
      </c>
      <c r="J37" s="57" t="str">
        <f>Table3[[#This Row],[1st hour I Sem]]</f>
        <v xml:space="preserve"> </v>
      </c>
      <c r="K37" s="55" t="str">
        <f>Table3[[#This Row],[2nd hour I Sem]]</f>
        <v xml:space="preserve"> </v>
      </c>
      <c r="L37" s="55" t="str">
        <f>Table3[[#This Row],[3rd hour I Sem]]</f>
        <v xml:space="preserve"> </v>
      </c>
      <c r="M37" s="55" t="str">
        <f>Table3[[#This Row],[4th hour I Sem]]</f>
        <v xml:space="preserve"> </v>
      </c>
      <c r="N37" s="56" t="str">
        <f>Table32[[#This Row],[1st hour V sem]]</f>
        <v xml:space="preserve"> </v>
      </c>
      <c r="O37" s="55" t="str">
        <f>Table32[[#This Row],[2nd hour V sem]]</f>
        <v xml:space="preserve"> </v>
      </c>
      <c r="P37" s="55" t="str">
        <f>Table32[[#This Row],[3rd hour V sem]]</f>
        <v xml:space="preserve"> </v>
      </c>
      <c r="Q37" s="73" t="str">
        <f>Table32[[#This Row],[4th hour V sem]]</f>
        <v xml:space="preserve"> </v>
      </c>
      <c r="R37" s="57" t="str">
        <f>Table32[[#This Row],[1st hour III Sem]]</f>
        <v>OP (B)</v>
      </c>
      <c r="S37" s="55" t="str">
        <f>Table32[[#This Row],[2nd hour III Sem]]</f>
        <v xml:space="preserve"> </v>
      </c>
      <c r="T37" s="55" t="str">
        <f>Table32[[#This Row],[3rd hour III Sem]]</f>
        <v>OP (G)</v>
      </c>
      <c r="U37" s="58" t="str">
        <f>Table32[[#This Row],[4th hour III Sem]]</f>
        <v>OP (I)</v>
      </c>
      <c r="V37" s="74" t="str">
        <f>Table32[[#This Row],[1st hour I Sem]]</f>
        <v xml:space="preserve"> </v>
      </c>
      <c r="W37" s="55" t="str">
        <f>Table32[[#This Row],[2nd hour I Sem]]</f>
        <v xml:space="preserve"> </v>
      </c>
      <c r="X37" s="55" t="str">
        <f>Table32[[#This Row],[3rd hour I Sem]]</f>
        <v xml:space="preserve"> </v>
      </c>
      <c r="Y37" s="64" t="str">
        <f>Table32[[#This Row],[4th hour I Sem]]</f>
        <v xml:space="preserve"> </v>
      </c>
      <c r="Z37" s="56" t="str">
        <f>Table323[[#This Row],[1st hour V sem]]</f>
        <v xml:space="preserve"> </v>
      </c>
      <c r="AA37" s="55" t="str">
        <f>Table323[[#This Row],[2nd hour V sem]]</f>
        <v xml:space="preserve"> </v>
      </c>
      <c r="AB37" s="55" t="str">
        <f>Table323[[#This Row],[3rd hour V sem]]</f>
        <v xml:space="preserve"> </v>
      </c>
      <c r="AC37" s="58" t="str">
        <f>Table323[[#This Row],[4th hour V sem]]</f>
        <v xml:space="preserve"> </v>
      </c>
      <c r="AD37" s="57" t="str">
        <f>Table323[[#This Row],[1st hour III Sem]]</f>
        <v>MM (M)</v>
      </c>
      <c r="AE37" s="55" t="str">
        <f>Table323[[#This Row],[2nd hour III Sem]]</f>
        <v>MM (F)</v>
      </c>
      <c r="AF37" s="55" t="str">
        <f>Table323[[#This Row],[3rd hour III Sem]]</f>
        <v>MM (C)</v>
      </c>
      <c r="AG37" s="58" t="str">
        <f>Table323[[#This Row],[4th hour III Sem]]</f>
        <v xml:space="preserve"> </v>
      </c>
      <c r="AH37" s="57" t="str">
        <f>Table323[[#This Row],[1st hour I Sem]]</f>
        <v xml:space="preserve"> </v>
      </c>
      <c r="AI37" s="55" t="str">
        <f>Table323[[#This Row],[2nd hour I Sem]]</f>
        <v xml:space="preserve"> </v>
      </c>
      <c r="AJ37" s="55" t="str">
        <f>Table323[[#This Row],[3rd hour I Sem]]</f>
        <v xml:space="preserve"> </v>
      </c>
      <c r="AK37" s="64" t="str">
        <f>Table323[[#This Row],[4th hour I Sem]]</f>
        <v xml:space="preserve"> </v>
      </c>
      <c r="AL37" s="56" t="str">
        <f>Table3235[[#This Row],[1st hour V sem]]</f>
        <v xml:space="preserve"> </v>
      </c>
      <c r="AM37" s="55" t="str">
        <f>Table3235[[#This Row],[2nd hour V sem]]</f>
        <v xml:space="preserve"> </v>
      </c>
      <c r="AN37" s="55" t="str">
        <f>Table3235[[#This Row],[3rd hour V sem]]</f>
        <v xml:space="preserve"> </v>
      </c>
      <c r="AO37" s="58" t="str">
        <f>Table3235[[#This Row],[4th hour V sem]]</f>
        <v xml:space="preserve"> </v>
      </c>
      <c r="AP37" s="57" t="str">
        <f>Table3235[[#This Row],[1st hour III Sem]]</f>
        <v>OP (G)</v>
      </c>
      <c r="AQ37" s="55" t="str">
        <f>Table3235[[#This Row],[2nd hour III Sem]]</f>
        <v>OP (I)</v>
      </c>
      <c r="AR37" s="55" t="str">
        <f>Table3235[[#This Row],[3rd hour III Sem]]</f>
        <v xml:space="preserve"> </v>
      </c>
      <c r="AS37" s="58" t="str">
        <f>Table3235[[#This Row],[4th hour III Sem]]</f>
        <v>OP (B)</v>
      </c>
      <c r="AT37" s="57" t="str">
        <f>Table3235[[#This Row],[1st hour I Sem]]</f>
        <v xml:space="preserve"> </v>
      </c>
      <c r="AU37" s="55" t="str">
        <f>Table3235[[#This Row],[2nd hour I Sem]]</f>
        <v xml:space="preserve"> </v>
      </c>
      <c r="AV37" s="55" t="str">
        <f>Table3235[[#This Row],[3rd hour I Sem]]</f>
        <v xml:space="preserve"> </v>
      </c>
      <c r="AW37" s="64" t="str">
        <f>Table3235[[#This Row],[4th hour I Sem]]</f>
        <v xml:space="preserve"> </v>
      </c>
      <c r="AX37" s="56" t="str">
        <f>Table32356[[#This Row],[1st hour V sem]]</f>
        <v xml:space="preserve"> </v>
      </c>
      <c r="AY37" s="55" t="str">
        <f>Table32356[[#This Row],[2nd hour V sem]]</f>
        <v xml:space="preserve"> </v>
      </c>
      <c r="AZ37" s="55" t="str">
        <f>Table32356[[#This Row],[3rd hour V sem]]</f>
        <v xml:space="preserve"> </v>
      </c>
      <c r="BA37" s="58" t="str">
        <f>Table32356[[#This Row],[4th hour V sem]]</f>
        <v xml:space="preserve"> </v>
      </c>
      <c r="BB37" s="57" t="str">
        <f>Table32356[[#This Row],[1st hour III Sem]]</f>
        <v>MM (F)</v>
      </c>
      <c r="BC37" s="55" t="str">
        <f>Table32356[[#This Row],[2nd hour III Sem]]</f>
        <v xml:space="preserve"> </v>
      </c>
      <c r="BD37" s="55" t="str">
        <f>Table32356[[#This Row],[3rd hour III Sem]]</f>
        <v>MM (M)</v>
      </c>
      <c r="BE37" s="58" t="str">
        <f>Table32356[[#This Row],[4th hour III Sem]]</f>
        <v>MM (C)</v>
      </c>
      <c r="BF37" s="57" t="str">
        <f>Table32356[[#This Row],[1st hour I Sem]]</f>
        <v xml:space="preserve"> </v>
      </c>
      <c r="BG37" s="55" t="str">
        <f>Table32356[[#This Row],[2nd hour I Sem]]</f>
        <v xml:space="preserve"> </v>
      </c>
      <c r="BH37" s="55" t="str">
        <f>Table32356[[#This Row],[3rd hour I Sem]]</f>
        <v xml:space="preserve"> </v>
      </c>
      <c r="BI37" s="64" t="str">
        <f>Table32356[[#This Row],[4th hour I Sem]]</f>
        <v xml:space="preserve"> </v>
      </c>
      <c r="BJ37" s="56" t="str">
        <f>Table323567[[#This Row],[1st hour V sem]]</f>
        <v xml:space="preserve"> </v>
      </c>
      <c r="BK37" s="55" t="str">
        <f>Table323567[[#This Row],[2nd hour V sem]]</f>
        <v xml:space="preserve"> </v>
      </c>
      <c r="BL37" s="55" t="str">
        <f>Table323567[[#This Row],[3rd hour V sem]]</f>
        <v xml:space="preserve"> </v>
      </c>
      <c r="BM37" s="58" t="str">
        <f>Table323567[[#This Row],[4th hour V sem]]</f>
        <v xml:space="preserve"> </v>
      </c>
      <c r="BN37" s="57" t="str">
        <f>Table323567[[#This Row],[1st hour III Sem]]</f>
        <v>OP (G)</v>
      </c>
      <c r="BO37" s="55" t="str">
        <f>Table323567[[#This Row],[2nd hour III Sem]]</f>
        <v>OP (I)</v>
      </c>
      <c r="BP37" s="55" t="str">
        <f>Table323567[[#This Row],[3rd hour III Sem]]</f>
        <v>OP (B)</v>
      </c>
      <c r="BQ37" s="58" t="str">
        <f>Table323567[[#This Row],[4th hour III Sem]]</f>
        <v xml:space="preserve"> </v>
      </c>
      <c r="BR37" s="57" t="str">
        <f>Table323567[[#This Row],[1st hour I Sem]]</f>
        <v xml:space="preserve"> </v>
      </c>
      <c r="BS37" s="55" t="str">
        <f>Table323567[[#This Row],[2nd hour I Sem]]</f>
        <v xml:space="preserve"> </v>
      </c>
      <c r="BT37" s="55" t="str">
        <f>Table323567[[#This Row],[3rd hour I Sem]]</f>
        <v xml:space="preserve"> </v>
      </c>
      <c r="BU37" s="64" t="str">
        <f>Table323567[[#This Row],[Column1]]</f>
        <v xml:space="preserve"> </v>
      </c>
    </row>
    <row r="38" spans="1:73" s="54" customFormat="1" x14ac:dyDescent="0.35">
      <c r="A38" s="165" t="str">
        <f>Mon!U38</f>
        <v>(SC)</v>
      </c>
      <c r="B38" s="56" t="str">
        <f>Table3[[#This Row],[1st hour V sem]]</f>
        <v xml:space="preserve"> </v>
      </c>
      <c r="C38" s="55" t="str">
        <f>Table3[[#This Row],[2nd hour V sem]]</f>
        <v xml:space="preserve"> </v>
      </c>
      <c r="D38" s="55" t="str">
        <f>Table3[[#This Row],[3rd hour V sem]]</f>
        <v xml:space="preserve"> </v>
      </c>
      <c r="E38" s="58" t="str">
        <f>Table3[[#This Row],[4th hour V sem]]</f>
        <v xml:space="preserve"> </v>
      </c>
      <c r="F38" s="57" t="str">
        <f>Table3[[#This Row],[1st hour III Sem]]</f>
        <v xml:space="preserve"> </v>
      </c>
      <c r="G38" s="55" t="str">
        <f>Table3[[#This Row],[2nd hour III Sem]]</f>
        <v xml:space="preserve"> </v>
      </c>
      <c r="H38" s="55" t="str">
        <f>Table3[[#This Row],[3rd hour III Sem]]</f>
        <v xml:space="preserve"> </v>
      </c>
      <c r="I38" s="58" t="str">
        <f>Table3[[#This Row],[4th hour III Sem]]</f>
        <v xml:space="preserve"> </v>
      </c>
      <c r="J38" s="57" t="str">
        <f>Table3[[#This Row],[1st hour I Sem]]</f>
        <v>AE (E)</v>
      </c>
      <c r="K38" s="55" t="str">
        <f>Table3[[#This Row],[2nd hour I Sem]]</f>
        <v>AE (F)</v>
      </c>
      <c r="L38" s="55" t="str">
        <f>Table3[[#This Row],[3rd hour I Sem]]</f>
        <v xml:space="preserve"> </v>
      </c>
      <c r="M38" s="55" t="str">
        <f>Table3[[#This Row],[4th hour I Sem]]</f>
        <v>GE (D)</v>
      </c>
      <c r="N38" s="56" t="str">
        <f>Table32[[#This Row],[1st hour V sem]]</f>
        <v xml:space="preserve"> </v>
      </c>
      <c r="O38" s="55" t="str">
        <f>Table32[[#This Row],[2nd hour V sem]]</f>
        <v xml:space="preserve"> </v>
      </c>
      <c r="P38" s="55" t="str">
        <f>Table32[[#This Row],[3rd hour V sem]]</f>
        <v xml:space="preserve"> </v>
      </c>
      <c r="Q38" s="73" t="str">
        <f>Table32[[#This Row],[4th hour V sem]]</f>
        <v xml:space="preserve"> </v>
      </c>
      <c r="R38" s="57" t="str">
        <f>Table32[[#This Row],[1st hour III Sem]]</f>
        <v xml:space="preserve"> </v>
      </c>
      <c r="S38" s="55" t="str">
        <f>Table32[[#This Row],[2nd hour III Sem]]</f>
        <v xml:space="preserve"> </v>
      </c>
      <c r="T38" s="55" t="str">
        <f>Table32[[#This Row],[3rd hour III Sem]]</f>
        <v xml:space="preserve"> </v>
      </c>
      <c r="U38" s="58" t="str">
        <f>Table32[[#This Row],[4th hour III Sem]]</f>
        <v xml:space="preserve"> </v>
      </c>
      <c r="V38" s="74" t="str">
        <f>Table32[[#This Row],[1st hour I Sem]]</f>
        <v xml:space="preserve"> </v>
      </c>
      <c r="W38" s="55" t="str">
        <f>Table32[[#This Row],[2nd hour I Sem]]</f>
        <v>GE (G)</v>
      </c>
      <c r="X38" s="55" t="str">
        <f>Table32[[#This Row],[3rd hour I Sem]]</f>
        <v>AE (A)</v>
      </c>
      <c r="Y38" s="64" t="str">
        <f>Table32[[#This Row],[4th hour I Sem]]</f>
        <v>GE (D)</v>
      </c>
      <c r="Z38" s="56" t="str">
        <f>Table323[[#This Row],[1st hour V sem]]</f>
        <v xml:space="preserve"> </v>
      </c>
      <c r="AA38" s="55" t="str">
        <f>Table323[[#This Row],[2nd hour V sem]]</f>
        <v xml:space="preserve"> </v>
      </c>
      <c r="AB38" s="55" t="str">
        <f>Table323[[#This Row],[3rd hour V sem]]</f>
        <v xml:space="preserve"> </v>
      </c>
      <c r="AC38" s="58" t="str">
        <f>Table323[[#This Row],[4th hour V sem]]</f>
        <v xml:space="preserve"> </v>
      </c>
      <c r="AD38" s="57" t="str">
        <f>Table323[[#This Row],[1st hour III Sem]]</f>
        <v xml:space="preserve"> </v>
      </c>
      <c r="AE38" s="55" t="str">
        <f>Table323[[#This Row],[2nd hour III Sem]]</f>
        <v xml:space="preserve"> </v>
      </c>
      <c r="AF38" s="55" t="str">
        <f>Table323[[#This Row],[3rd hour III Sem]]</f>
        <v xml:space="preserve"> </v>
      </c>
      <c r="AG38" s="58" t="str">
        <f>Table323[[#This Row],[4th hour III Sem]]</f>
        <v xml:space="preserve"> </v>
      </c>
      <c r="AH38" s="57" t="str">
        <f>Table323[[#This Row],[1st hour I Sem]]</f>
        <v>AE (E)</v>
      </c>
      <c r="AI38" s="55" t="str">
        <f>Table323[[#This Row],[2nd hour I Sem]]</f>
        <v xml:space="preserve"> </v>
      </c>
      <c r="AJ38" s="55" t="str">
        <f>Table323[[#This Row],[3rd hour I Sem]]</f>
        <v xml:space="preserve"> </v>
      </c>
      <c r="AK38" s="64" t="str">
        <f>Table323[[#This Row],[4th hour I Sem]]</f>
        <v>AE (A)</v>
      </c>
      <c r="AL38" s="56" t="str">
        <f>Table3235[[#This Row],[1st hour V sem]]</f>
        <v xml:space="preserve"> </v>
      </c>
      <c r="AM38" s="55" t="str">
        <f>Table3235[[#This Row],[2nd hour V sem]]</f>
        <v xml:space="preserve"> </v>
      </c>
      <c r="AN38" s="55" t="str">
        <f>Table3235[[#This Row],[3rd hour V sem]]</f>
        <v xml:space="preserve"> </v>
      </c>
      <c r="AO38" s="58" t="str">
        <f>Table3235[[#This Row],[4th hour V sem]]</f>
        <v xml:space="preserve"> </v>
      </c>
      <c r="AP38" s="57" t="str">
        <f>Table3235[[#This Row],[1st hour III Sem]]</f>
        <v xml:space="preserve"> </v>
      </c>
      <c r="AQ38" s="55" t="str">
        <f>Table3235[[#This Row],[2nd hour III Sem]]</f>
        <v xml:space="preserve"> </v>
      </c>
      <c r="AR38" s="55" t="str">
        <f>Table3235[[#This Row],[3rd hour III Sem]]</f>
        <v xml:space="preserve"> </v>
      </c>
      <c r="AS38" s="58" t="str">
        <f>Table3235[[#This Row],[4th hour III Sem]]</f>
        <v xml:space="preserve"> </v>
      </c>
      <c r="AT38" s="57" t="str">
        <f>Table3235[[#This Row],[1st hour I Sem]]</f>
        <v xml:space="preserve"> </v>
      </c>
      <c r="AU38" s="55" t="str">
        <f>Table3235[[#This Row],[2nd hour I Sem]]</f>
        <v xml:space="preserve"> </v>
      </c>
      <c r="AV38" s="55" t="str">
        <f>Table3235[[#This Row],[3rd hour I Sem]]</f>
        <v>AE (F)</v>
      </c>
      <c r="AW38" s="64" t="str">
        <f>Table3235[[#This Row],[4th hour I Sem]]</f>
        <v>GE (D)</v>
      </c>
      <c r="AX38" s="56" t="str">
        <f>Table32356[[#This Row],[1st hour V sem]]</f>
        <v xml:space="preserve"> </v>
      </c>
      <c r="AY38" s="55" t="str">
        <f>Table32356[[#This Row],[2nd hour V sem]]</f>
        <v xml:space="preserve"> </v>
      </c>
      <c r="AZ38" s="55" t="str">
        <f>Table32356[[#This Row],[3rd hour V sem]]</f>
        <v xml:space="preserve"> </v>
      </c>
      <c r="BA38" s="58" t="str">
        <f>Table32356[[#This Row],[4th hour V sem]]</f>
        <v xml:space="preserve"> </v>
      </c>
      <c r="BB38" s="57" t="str">
        <f>Table32356[[#This Row],[1st hour III Sem]]</f>
        <v xml:space="preserve"> </v>
      </c>
      <c r="BC38" s="55" t="str">
        <f>Table32356[[#This Row],[2nd hour III Sem]]</f>
        <v xml:space="preserve"> </v>
      </c>
      <c r="BD38" s="55" t="str">
        <f>Table32356[[#This Row],[3rd hour III Sem]]</f>
        <v xml:space="preserve"> </v>
      </c>
      <c r="BE38" s="58" t="str">
        <f>Table32356[[#This Row],[4th hour III Sem]]</f>
        <v xml:space="preserve"> </v>
      </c>
      <c r="BF38" s="57" t="str">
        <f>Table32356[[#This Row],[1st hour I Sem]]</f>
        <v>GE (G)</v>
      </c>
      <c r="BG38" s="55" t="str">
        <f>Table32356[[#This Row],[2nd hour I Sem]]</f>
        <v>AE (F)</v>
      </c>
      <c r="BH38" s="55" t="str">
        <f>Table32356[[#This Row],[3rd hour I Sem]]</f>
        <v>AE (A)</v>
      </c>
      <c r="BI38" s="64" t="str">
        <f>Table32356[[#This Row],[4th hour I Sem]]</f>
        <v>AE (E)</v>
      </c>
      <c r="BJ38" s="56" t="str">
        <f>Table323567[[#This Row],[1st hour V sem]]</f>
        <v xml:space="preserve"> </v>
      </c>
      <c r="BK38" s="55" t="str">
        <f>Table323567[[#This Row],[2nd hour V sem]]</f>
        <v xml:space="preserve"> </v>
      </c>
      <c r="BL38" s="55" t="str">
        <f>Table323567[[#This Row],[3rd hour V sem]]</f>
        <v xml:space="preserve"> </v>
      </c>
      <c r="BM38" s="58" t="str">
        <f>Table323567[[#This Row],[4th hour V sem]]</f>
        <v xml:space="preserve"> </v>
      </c>
      <c r="BN38" s="57" t="str">
        <f>Table323567[[#This Row],[1st hour III Sem]]</f>
        <v xml:space="preserve"> </v>
      </c>
      <c r="BO38" s="55" t="str">
        <f>Table323567[[#This Row],[2nd hour III Sem]]</f>
        <v xml:space="preserve"> </v>
      </c>
      <c r="BP38" s="55" t="str">
        <f>Table323567[[#This Row],[3rd hour III Sem]]</f>
        <v xml:space="preserve"> </v>
      </c>
      <c r="BQ38" s="58" t="str">
        <f>Table323567[[#This Row],[4th hour III Sem]]</f>
        <v xml:space="preserve"> </v>
      </c>
      <c r="BR38" s="57" t="str">
        <f>Table323567[[#This Row],[1st hour I Sem]]</f>
        <v xml:space="preserve"> </v>
      </c>
      <c r="BS38" s="55" t="str">
        <f>Table323567[[#This Row],[2nd hour I Sem]]</f>
        <v>GE (G)</v>
      </c>
      <c r="BT38" s="55" t="str">
        <f>Table323567[[#This Row],[3rd hour I Sem]]</f>
        <v xml:space="preserve"> </v>
      </c>
      <c r="BU38" s="64" t="str">
        <f>Table323567[[#This Row],[Column1]]</f>
        <v xml:space="preserve"> </v>
      </c>
    </row>
    <row r="39" spans="1:73" s="54" customFormat="1" x14ac:dyDescent="0.35">
      <c r="A39" s="165" t="str">
        <f>Mon!U39</f>
        <v>(SE)</v>
      </c>
      <c r="B39" s="56" t="str">
        <f>Table3[[#This Row],[1st hour V sem]]</f>
        <v xml:space="preserve"> </v>
      </c>
      <c r="C39" s="55" t="str">
        <f>Table3[[#This Row],[2nd hour V sem]]</f>
        <v xml:space="preserve"> </v>
      </c>
      <c r="D39" s="55" t="str">
        <f>Table3[[#This Row],[3rd hour V sem]]</f>
        <v xml:space="preserve"> </v>
      </c>
      <c r="E39" s="58" t="str">
        <f>Table3[[#This Row],[4th hour V sem]]</f>
        <v xml:space="preserve"> </v>
      </c>
      <c r="F39" s="57" t="str">
        <f>Table3[[#This Row],[1st hour III Sem]]</f>
        <v xml:space="preserve"> </v>
      </c>
      <c r="G39" s="55" t="str">
        <f>Table3[[#This Row],[2nd hour III Sem]]</f>
        <v xml:space="preserve"> </v>
      </c>
      <c r="H39" s="55" t="str">
        <f>Table3[[#This Row],[3rd hour III Sem]]</f>
        <v xml:space="preserve"> </v>
      </c>
      <c r="I39" s="58" t="str">
        <f>Table3[[#This Row],[4th hour III Sem]]</f>
        <v xml:space="preserve"> </v>
      </c>
      <c r="J39" s="57" t="str">
        <f>Table3[[#This Row],[1st hour I Sem]]</f>
        <v>BT (M)</v>
      </c>
      <c r="K39" s="55" t="str">
        <f>Table3[[#This Row],[2nd hour I Sem]]</f>
        <v>BM (E)</v>
      </c>
      <c r="L39" s="55" t="str">
        <f>Table3[[#This Row],[3rd hour I Sem]]</f>
        <v>BM (F)</v>
      </c>
      <c r="M39" s="55" t="str">
        <f>Table3[[#This Row],[4th hour I Sem]]</f>
        <v>BT (L)</v>
      </c>
      <c r="N39" s="56" t="str">
        <f>Table32[[#This Row],[1st hour V sem]]</f>
        <v xml:space="preserve"> </v>
      </c>
      <c r="O39" s="55" t="str">
        <f>Table32[[#This Row],[2nd hour V sem]]</f>
        <v xml:space="preserve"> </v>
      </c>
      <c r="P39" s="55" t="str">
        <f>Table32[[#This Row],[3rd hour V sem]]</f>
        <v xml:space="preserve"> </v>
      </c>
      <c r="Q39" s="73" t="str">
        <f>Table32[[#This Row],[4th hour V sem]]</f>
        <v xml:space="preserve"> </v>
      </c>
      <c r="R39" s="57" t="str">
        <f>Table32[[#This Row],[1st hour III Sem]]</f>
        <v xml:space="preserve"> </v>
      </c>
      <c r="S39" s="55" t="str">
        <f>Table32[[#This Row],[2nd hour III Sem]]</f>
        <v xml:space="preserve"> </v>
      </c>
      <c r="T39" s="55" t="str">
        <f>Table32[[#This Row],[3rd hour III Sem]]</f>
        <v xml:space="preserve"> </v>
      </c>
      <c r="U39" s="58" t="str">
        <f>Table32[[#This Row],[4th hour III Sem]]</f>
        <v xml:space="preserve"> </v>
      </c>
      <c r="V39" s="74" t="str">
        <f>Table32[[#This Row],[1st hour I Sem]]</f>
        <v>BM (J)</v>
      </c>
      <c r="W39" s="55" t="str">
        <f>Table32[[#This Row],[2nd hour I Sem]]</f>
        <v>BM (F)</v>
      </c>
      <c r="X39" s="55" t="str">
        <f>Table32[[#This Row],[3rd hour I Sem]]</f>
        <v>BM (B)</v>
      </c>
      <c r="Y39" s="64" t="str">
        <f>Table32[[#This Row],[4th hour I Sem]]</f>
        <v>BT (L)</v>
      </c>
      <c r="Z39" s="56" t="str">
        <f>Table323[[#This Row],[1st hour V sem]]</f>
        <v xml:space="preserve"> </v>
      </c>
      <c r="AA39" s="55" t="str">
        <f>Table323[[#This Row],[2nd hour V sem]]</f>
        <v xml:space="preserve"> </v>
      </c>
      <c r="AB39" s="55" t="str">
        <f>Table323[[#This Row],[3rd hour V sem]]</f>
        <v xml:space="preserve"> </v>
      </c>
      <c r="AC39" s="58" t="str">
        <f>Table323[[#This Row],[4th hour V sem]]</f>
        <v xml:space="preserve"> </v>
      </c>
      <c r="AD39" s="57" t="str">
        <f>Table323[[#This Row],[1st hour III Sem]]</f>
        <v xml:space="preserve"> </v>
      </c>
      <c r="AE39" s="55" t="str">
        <f>Table323[[#This Row],[2nd hour III Sem]]</f>
        <v xml:space="preserve"> </v>
      </c>
      <c r="AF39" s="55" t="str">
        <f>Table323[[#This Row],[3rd hour III Sem]]</f>
        <v xml:space="preserve"> </v>
      </c>
      <c r="AG39" s="58" t="str">
        <f>Table323[[#This Row],[4th hour III Sem]]</f>
        <v xml:space="preserve"> </v>
      </c>
      <c r="AH39" s="57" t="str">
        <f>Table323[[#This Row],[1st hour I Sem]]</f>
        <v>BT (M)</v>
      </c>
      <c r="AI39" s="55" t="str">
        <f>Table323[[#This Row],[2nd hour I Sem]]</f>
        <v>BM (E)</v>
      </c>
      <c r="AJ39" s="55" t="str">
        <f>Table323[[#This Row],[3rd hour I Sem]]</f>
        <v>BM (B)</v>
      </c>
      <c r="AK39" s="64" t="str">
        <f>Table323[[#This Row],[4th hour I Sem]]</f>
        <v xml:space="preserve"> </v>
      </c>
      <c r="AL39" s="56" t="str">
        <f>Table3235[[#This Row],[1st hour V sem]]</f>
        <v xml:space="preserve"> </v>
      </c>
      <c r="AM39" s="55" t="str">
        <f>Table3235[[#This Row],[2nd hour V sem]]</f>
        <v xml:space="preserve"> </v>
      </c>
      <c r="AN39" s="55" t="str">
        <f>Table3235[[#This Row],[3rd hour V sem]]</f>
        <v xml:space="preserve"> </v>
      </c>
      <c r="AO39" s="58" t="str">
        <f>Table3235[[#This Row],[4th hour V sem]]</f>
        <v xml:space="preserve"> </v>
      </c>
      <c r="AP39" s="57" t="str">
        <f>Table3235[[#This Row],[1st hour III Sem]]</f>
        <v xml:space="preserve"> </v>
      </c>
      <c r="AQ39" s="55" t="str">
        <f>Table3235[[#This Row],[2nd hour III Sem]]</f>
        <v xml:space="preserve"> </v>
      </c>
      <c r="AR39" s="55" t="str">
        <f>Table3235[[#This Row],[3rd hour III Sem]]</f>
        <v xml:space="preserve"> </v>
      </c>
      <c r="AS39" s="58" t="str">
        <f>Table3235[[#This Row],[4th hour III Sem]]</f>
        <v xml:space="preserve"> </v>
      </c>
      <c r="AT39" s="57" t="str">
        <f>Table3235[[#This Row],[1st hour I Sem]]</f>
        <v xml:space="preserve"> </v>
      </c>
      <c r="AU39" s="55" t="str">
        <f>Table3235[[#This Row],[2nd hour I Sem]]</f>
        <v xml:space="preserve"> </v>
      </c>
      <c r="AV39" s="55" t="str">
        <f>Table3235[[#This Row],[3rd hour I Sem]]</f>
        <v>BM (E)</v>
      </c>
      <c r="AW39" s="64" t="str">
        <f>Table3235[[#This Row],[4th hour I Sem]]</f>
        <v>BM (J)</v>
      </c>
      <c r="AX39" s="56" t="str">
        <f>Table32356[[#This Row],[1st hour V sem]]</f>
        <v xml:space="preserve"> </v>
      </c>
      <c r="AY39" s="55" t="str">
        <f>Table32356[[#This Row],[2nd hour V sem]]</f>
        <v xml:space="preserve"> </v>
      </c>
      <c r="AZ39" s="55" t="str">
        <f>Table32356[[#This Row],[3rd hour V sem]]</f>
        <v xml:space="preserve"> </v>
      </c>
      <c r="BA39" s="58" t="str">
        <f>Table32356[[#This Row],[4th hour V sem]]</f>
        <v xml:space="preserve"> </v>
      </c>
      <c r="BB39" s="57" t="str">
        <f>Table32356[[#This Row],[1st hour III Sem]]</f>
        <v xml:space="preserve"> </v>
      </c>
      <c r="BC39" s="55" t="str">
        <f>Table32356[[#This Row],[2nd hour III Sem]]</f>
        <v xml:space="preserve"> </v>
      </c>
      <c r="BD39" s="55" t="str">
        <f>Table32356[[#This Row],[3rd hour III Sem]]</f>
        <v xml:space="preserve"> </v>
      </c>
      <c r="BE39" s="58" t="str">
        <f>Table32356[[#This Row],[4th hour III Sem]]</f>
        <v xml:space="preserve"> </v>
      </c>
      <c r="BF39" s="57" t="str">
        <f>Table32356[[#This Row],[1st hour I Sem]]</f>
        <v xml:space="preserve"> </v>
      </c>
      <c r="BG39" s="55" t="str">
        <f>Table32356[[#This Row],[2nd hour I Sem]]</f>
        <v>BM (B)</v>
      </c>
      <c r="BH39" s="55" t="str">
        <f>Table32356[[#This Row],[3rd hour I Sem]]</f>
        <v>BM (F)</v>
      </c>
      <c r="BI39" s="64" t="str">
        <f>Table32356[[#This Row],[4th hour I Sem]]</f>
        <v>BT (M)</v>
      </c>
      <c r="BJ39" s="56" t="str">
        <f>Table323567[[#This Row],[1st hour V sem]]</f>
        <v xml:space="preserve"> </v>
      </c>
      <c r="BK39" s="55" t="str">
        <f>Table323567[[#This Row],[2nd hour V sem]]</f>
        <v xml:space="preserve"> </v>
      </c>
      <c r="BL39" s="55" t="str">
        <f>Table323567[[#This Row],[3rd hour V sem]]</f>
        <v xml:space="preserve"> </v>
      </c>
      <c r="BM39" s="58" t="str">
        <f>Table323567[[#This Row],[4th hour V sem]]</f>
        <v xml:space="preserve"> </v>
      </c>
      <c r="BN39" s="57" t="str">
        <f>Table323567[[#This Row],[1st hour III Sem]]</f>
        <v xml:space="preserve"> </v>
      </c>
      <c r="BO39" s="55" t="str">
        <f>Table323567[[#This Row],[2nd hour III Sem]]</f>
        <v xml:space="preserve"> </v>
      </c>
      <c r="BP39" s="55" t="str">
        <f>Table323567[[#This Row],[3rd hour III Sem]]</f>
        <v xml:space="preserve"> </v>
      </c>
      <c r="BQ39" s="58" t="str">
        <f>Table323567[[#This Row],[4th hour III Sem]]</f>
        <v xml:space="preserve"> </v>
      </c>
      <c r="BR39" s="57" t="str">
        <f>Table323567[[#This Row],[1st hour I Sem]]</f>
        <v xml:space="preserve"> </v>
      </c>
      <c r="BS39" s="55" t="str">
        <f>Table323567[[#This Row],[2nd hour I Sem]]</f>
        <v>BT (L)</v>
      </c>
      <c r="BT39" s="55" t="str">
        <f>Table323567[[#This Row],[3rd hour I Sem]]</f>
        <v xml:space="preserve"> </v>
      </c>
      <c r="BU39" s="64" t="str">
        <f>Table323567[[#This Row],[Column1]]</f>
        <v xml:space="preserve"> </v>
      </c>
    </row>
    <row r="40" spans="1:73" s="54" customFormat="1" x14ac:dyDescent="0.35">
      <c r="A40" s="165" t="str">
        <f>Mon!U40</f>
        <v>(SN)</v>
      </c>
      <c r="B40" s="56" t="str">
        <f>Table3[[#This Row],[1st hour V sem]]</f>
        <v xml:space="preserve"> </v>
      </c>
      <c r="C40" s="55" t="str">
        <f>Table3[[#This Row],[2nd hour V sem]]</f>
        <v xml:space="preserve"> </v>
      </c>
      <c r="D40" s="55" t="str">
        <f>Table3[[#This Row],[3rd hour V sem]]</f>
        <v xml:space="preserve"> </v>
      </c>
      <c r="E40" s="58" t="str">
        <f>Table3[[#This Row],[4th hour V sem]]</f>
        <v xml:space="preserve"> </v>
      </c>
      <c r="F40" s="57" t="str">
        <f>Table3[[#This Row],[1st hour III Sem]]</f>
        <v xml:space="preserve"> </v>
      </c>
      <c r="G40" s="55" t="str">
        <f>Table3[[#This Row],[2nd hour III Sem]]</f>
        <v xml:space="preserve"> </v>
      </c>
      <c r="H40" s="55" t="str">
        <f>Table3[[#This Row],[3rd hour III Sem]]</f>
        <v xml:space="preserve"> </v>
      </c>
      <c r="I40" s="58" t="str">
        <f>Table3[[#This Row],[4th hour III Sem]]</f>
        <v xml:space="preserve"> </v>
      </c>
      <c r="J40" s="57" t="str">
        <f>Table3[[#This Row],[1st hour I Sem]]</f>
        <v>GE (C)</v>
      </c>
      <c r="K40" s="55" t="str">
        <f>Table3[[#This Row],[2nd hour I Sem]]</f>
        <v>GE (J)</v>
      </c>
      <c r="L40" s="55" t="str">
        <f>Table3[[#This Row],[3rd hour I Sem]]</f>
        <v>AE (G)</v>
      </c>
      <c r="M40" s="55" t="str">
        <f>Table3[[#This Row],[4th hour I Sem]]</f>
        <v xml:space="preserve"> </v>
      </c>
      <c r="N40" s="56" t="str">
        <f>Table32[[#This Row],[1st hour V sem]]</f>
        <v xml:space="preserve"> </v>
      </c>
      <c r="O40" s="55" t="str">
        <f>Table32[[#This Row],[2nd hour V sem]]</f>
        <v xml:space="preserve"> </v>
      </c>
      <c r="P40" s="55" t="str">
        <f>Table32[[#This Row],[3rd hour V sem]]</f>
        <v xml:space="preserve"> </v>
      </c>
      <c r="Q40" s="73" t="str">
        <f>Table32[[#This Row],[4th hour V sem]]</f>
        <v xml:space="preserve"> </v>
      </c>
      <c r="R40" s="57" t="str">
        <f>Table32[[#This Row],[1st hour III Sem]]</f>
        <v xml:space="preserve"> </v>
      </c>
      <c r="S40" s="55" t="str">
        <f>Table32[[#This Row],[2nd hour III Sem]]</f>
        <v xml:space="preserve"> </v>
      </c>
      <c r="T40" s="55" t="str">
        <f>Table32[[#This Row],[3rd hour III Sem]]</f>
        <v xml:space="preserve"> </v>
      </c>
      <c r="U40" s="58" t="str">
        <f>Table32[[#This Row],[4th hour III Sem]]</f>
        <v xml:space="preserve"> </v>
      </c>
      <c r="V40" s="74" t="str">
        <f>Table32[[#This Row],[1st hour I Sem]]</f>
        <v>AE (H)</v>
      </c>
      <c r="W40" s="55" t="str">
        <f>Table32[[#This Row],[2nd hour I Sem]]</f>
        <v xml:space="preserve"> </v>
      </c>
      <c r="X40" s="55" t="str">
        <f>Table32[[#This Row],[3rd hour I Sem]]</f>
        <v>GE (J)</v>
      </c>
      <c r="Y40" s="64" t="str">
        <f>Table32[[#This Row],[4th hour I Sem]]</f>
        <v>GE (K)</v>
      </c>
      <c r="Z40" s="56" t="str">
        <f>Table323[[#This Row],[1st hour V sem]]</f>
        <v xml:space="preserve"> </v>
      </c>
      <c r="AA40" s="55" t="str">
        <f>Table323[[#This Row],[2nd hour V sem]]</f>
        <v xml:space="preserve"> </v>
      </c>
      <c r="AB40" s="55" t="str">
        <f>Table323[[#This Row],[3rd hour V sem]]</f>
        <v xml:space="preserve"> </v>
      </c>
      <c r="AC40" s="58" t="str">
        <f>Table323[[#This Row],[4th hour V sem]]</f>
        <v xml:space="preserve"> </v>
      </c>
      <c r="AD40" s="57" t="str">
        <f>Table323[[#This Row],[1st hour III Sem]]</f>
        <v xml:space="preserve"> </v>
      </c>
      <c r="AE40" s="55" t="str">
        <f>Table323[[#This Row],[2nd hour III Sem]]</f>
        <v xml:space="preserve"> </v>
      </c>
      <c r="AF40" s="55" t="str">
        <f>Table323[[#This Row],[3rd hour III Sem]]</f>
        <v xml:space="preserve"> </v>
      </c>
      <c r="AG40" s="58" t="str">
        <f>Table323[[#This Row],[4th hour III Sem]]</f>
        <v xml:space="preserve"> </v>
      </c>
      <c r="AH40" s="57" t="str">
        <f>Table323[[#This Row],[1st hour I Sem]]</f>
        <v xml:space="preserve"> </v>
      </c>
      <c r="AI40" s="55" t="str">
        <f>Table323[[#This Row],[2nd hour I Sem]]</f>
        <v>AE (G)</v>
      </c>
      <c r="AJ40" s="55" t="str">
        <f>Table323[[#This Row],[3rd hour I Sem]]</f>
        <v>GE (C)</v>
      </c>
      <c r="AK40" s="64" t="str">
        <f>Table323[[#This Row],[4th hour I Sem]]</f>
        <v>GE (K)</v>
      </c>
      <c r="AL40" s="56" t="str">
        <f>Table3235[[#This Row],[1st hour V sem]]</f>
        <v xml:space="preserve"> </v>
      </c>
      <c r="AM40" s="55" t="str">
        <f>Table3235[[#This Row],[2nd hour V sem]]</f>
        <v xml:space="preserve"> </v>
      </c>
      <c r="AN40" s="55" t="str">
        <f>Table3235[[#This Row],[3rd hour V sem]]</f>
        <v xml:space="preserve"> </v>
      </c>
      <c r="AO40" s="58" t="str">
        <f>Table3235[[#This Row],[4th hour V sem]]</f>
        <v xml:space="preserve"> </v>
      </c>
      <c r="AP40" s="57" t="str">
        <f>Table3235[[#This Row],[1st hour III Sem]]</f>
        <v xml:space="preserve"> </v>
      </c>
      <c r="AQ40" s="55" t="str">
        <f>Table3235[[#This Row],[2nd hour III Sem]]</f>
        <v xml:space="preserve"> </v>
      </c>
      <c r="AR40" s="55" t="str">
        <f>Table3235[[#This Row],[3rd hour III Sem]]</f>
        <v xml:space="preserve"> </v>
      </c>
      <c r="AS40" s="58" t="str">
        <f>Table3235[[#This Row],[4th hour III Sem]]</f>
        <v xml:space="preserve"> </v>
      </c>
      <c r="AT40" s="57" t="str">
        <f>Table3235[[#This Row],[1st hour I Sem]]</f>
        <v xml:space="preserve"> </v>
      </c>
      <c r="AU40" s="55" t="str">
        <f>Table3235[[#This Row],[2nd hour I Sem]]</f>
        <v xml:space="preserve"> </v>
      </c>
      <c r="AV40" s="55" t="str">
        <f>Table3235[[#This Row],[3rd hour I Sem]]</f>
        <v>AE (H)</v>
      </c>
      <c r="AW40" s="64" t="str">
        <f>Table3235[[#This Row],[4th hour I Sem]]</f>
        <v xml:space="preserve"> </v>
      </c>
      <c r="AX40" s="56" t="str">
        <f>Table32356[[#This Row],[1st hour V sem]]</f>
        <v xml:space="preserve"> </v>
      </c>
      <c r="AY40" s="55" t="str">
        <f>Table32356[[#This Row],[2nd hour V sem]]</f>
        <v xml:space="preserve"> </v>
      </c>
      <c r="AZ40" s="55" t="str">
        <f>Table32356[[#This Row],[3rd hour V sem]]</f>
        <v xml:space="preserve"> </v>
      </c>
      <c r="BA40" s="58" t="str">
        <f>Table32356[[#This Row],[4th hour V sem]]</f>
        <v xml:space="preserve"> </v>
      </c>
      <c r="BB40" s="57" t="str">
        <f>Table32356[[#This Row],[1st hour III Sem]]</f>
        <v xml:space="preserve"> </v>
      </c>
      <c r="BC40" s="55" t="str">
        <f>Table32356[[#This Row],[2nd hour III Sem]]</f>
        <v xml:space="preserve"> </v>
      </c>
      <c r="BD40" s="55" t="str">
        <f>Table32356[[#This Row],[3rd hour III Sem]]</f>
        <v xml:space="preserve"> </v>
      </c>
      <c r="BE40" s="58" t="str">
        <f>Table32356[[#This Row],[4th hour III Sem]]</f>
        <v xml:space="preserve"> </v>
      </c>
      <c r="BF40" s="57" t="str">
        <f>Table32356[[#This Row],[1st hour I Sem]]</f>
        <v>GE (C)</v>
      </c>
      <c r="BG40" s="55" t="str">
        <f>Table32356[[#This Row],[2nd hour I Sem]]</f>
        <v>AE (G)</v>
      </c>
      <c r="BH40" s="55" t="str">
        <f>Table32356[[#This Row],[3rd hour I Sem]]</f>
        <v>GE (J)</v>
      </c>
      <c r="BI40" s="64" t="str">
        <f>Table32356[[#This Row],[4th hour I Sem]]</f>
        <v>GE (K)</v>
      </c>
      <c r="BJ40" s="56" t="str">
        <f>Table323567[[#This Row],[1st hour V sem]]</f>
        <v xml:space="preserve"> </v>
      </c>
      <c r="BK40" s="55" t="str">
        <f>Table323567[[#This Row],[2nd hour V sem]]</f>
        <v xml:space="preserve"> </v>
      </c>
      <c r="BL40" s="55" t="str">
        <f>Table323567[[#This Row],[3rd hour V sem]]</f>
        <v xml:space="preserve"> </v>
      </c>
      <c r="BM40" s="58" t="str">
        <f>Table323567[[#This Row],[4th hour V sem]]</f>
        <v xml:space="preserve"> </v>
      </c>
      <c r="BN40" s="57" t="str">
        <f>Table323567[[#This Row],[1st hour III Sem]]</f>
        <v xml:space="preserve"> </v>
      </c>
      <c r="BO40" s="55" t="str">
        <f>Table323567[[#This Row],[2nd hour III Sem]]</f>
        <v xml:space="preserve"> </v>
      </c>
      <c r="BP40" s="55" t="str">
        <f>Table323567[[#This Row],[3rd hour III Sem]]</f>
        <v xml:space="preserve"> </v>
      </c>
      <c r="BQ40" s="58" t="str">
        <f>Table323567[[#This Row],[4th hour III Sem]]</f>
        <v xml:space="preserve"> </v>
      </c>
      <c r="BR40" s="57" t="str">
        <f>Table323567[[#This Row],[1st hour I Sem]]</f>
        <v xml:space="preserve"> </v>
      </c>
      <c r="BS40" s="55" t="str">
        <f>Table323567[[#This Row],[2nd hour I Sem]]</f>
        <v xml:space="preserve"> </v>
      </c>
      <c r="BT40" s="55" t="str">
        <f>Table323567[[#This Row],[3rd hour I Sem]]</f>
        <v xml:space="preserve"> </v>
      </c>
      <c r="BU40" s="64" t="str">
        <f>Table323567[[#This Row],[Column1]]</f>
        <v xml:space="preserve"> </v>
      </c>
    </row>
    <row r="41" spans="1:73" s="54" customFormat="1" x14ac:dyDescent="0.35">
      <c r="A41" s="165" t="str">
        <f>Mon!U41</f>
        <v>(SP)</v>
      </c>
      <c r="B41" s="56" t="str">
        <f>Table3[[#This Row],[1st hour V sem]]</f>
        <v xml:space="preserve"> </v>
      </c>
      <c r="C41" s="55" t="str">
        <f>Table3[[#This Row],[2nd hour V sem]]</f>
        <v xml:space="preserve"> </v>
      </c>
      <c r="D41" s="55" t="str">
        <f>Table3[[#This Row],[3rd hour V sem]]</f>
        <v xml:space="preserve"> </v>
      </c>
      <c r="E41" s="58" t="str">
        <f>Table3[[#This Row],[4th hour V sem]]</f>
        <v>PR (K)</v>
      </c>
      <c r="F41" s="57" t="str">
        <f>Table3[[#This Row],[1st hour III Sem]]</f>
        <v xml:space="preserve"> </v>
      </c>
      <c r="G41" s="55" t="str">
        <f>Table3[[#This Row],[2nd hour III Sem]]</f>
        <v>CP (N)</v>
      </c>
      <c r="H41" s="55" t="str">
        <f>Table3[[#This Row],[3rd hour III Sem]]</f>
        <v>CP (I)</v>
      </c>
      <c r="I41" s="58" t="str">
        <f>Table3[[#This Row],[4th hour III Sem]]</f>
        <v xml:space="preserve"> </v>
      </c>
      <c r="J41" s="57" t="str">
        <f>Table3[[#This Row],[1st hour I Sem]]</f>
        <v xml:space="preserve"> </v>
      </c>
      <c r="K41" s="55" t="str">
        <f>Table3[[#This Row],[2nd hour I Sem]]</f>
        <v xml:space="preserve"> </v>
      </c>
      <c r="L41" s="55" t="str">
        <f>Table3[[#This Row],[3rd hour I Sem]]</f>
        <v xml:space="preserve"> </v>
      </c>
      <c r="M41" s="55" t="str">
        <f>Table3[[#This Row],[4th hour I Sem]]</f>
        <v xml:space="preserve"> </v>
      </c>
      <c r="N41" s="56" t="str">
        <f>Table32[[#This Row],[1st hour V sem]]</f>
        <v xml:space="preserve"> </v>
      </c>
      <c r="O41" s="55" t="str">
        <f>Table32[[#This Row],[2nd hour V sem]]</f>
        <v>PR (F)</v>
      </c>
      <c r="P41" s="55" t="str">
        <f>Table32[[#This Row],[3rd hour V sem]]</f>
        <v xml:space="preserve"> </v>
      </c>
      <c r="Q41" s="73" t="str">
        <f>Table32[[#This Row],[4th hour V sem]]</f>
        <v xml:space="preserve"> </v>
      </c>
      <c r="R41" s="57" t="str">
        <f>Table32[[#This Row],[1st hour III Sem]]</f>
        <v xml:space="preserve"> </v>
      </c>
      <c r="S41" s="55" t="str">
        <f>Table32[[#This Row],[2nd hour III Sem]]</f>
        <v xml:space="preserve"> </v>
      </c>
      <c r="T41" s="55" t="str">
        <f>Table32[[#This Row],[3rd hour III Sem]]</f>
        <v>CP (L)</v>
      </c>
      <c r="U41" s="58" t="str">
        <f>Table32[[#This Row],[4th hour III Sem]]</f>
        <v>CP (G)</v>
      </c>
      <c r="V41" s="74" t="str">
        <f>Table32[[#This Row],[1st hour I Sem]]</f>
        <v xml:space="preserve"> </v>
      </c>
      <c r="W41" s="55" t="str">
        <f>Table32[[#This Row],[2nd hour I Sem]]</f>
        <v xml:space="preserve"> </v>
      </c>
      <c r="X41" s="55" t="str">
        <f>Table32[[#This Row],[3rd hour I Sem]]</f>
        <v xml:space="preserve"> </v>
      </c>
      <c r="Y41" s="64" t="str">
        <f>Table32[[#This Row],[4th hour I Sem]]</f>
        <v xml:space="preserve"> </v>
      </c>
      <c r="Z41" s="56" t="str">
        <f>Table323[[#This Row],[1st hour V sem]]</f>
        <v>PR (F)</v>
      </c>
      <c r="AA41" s="55" t="str">
        <f>Table323[[#This Row],[2nd hour V sem]]</f>
        <v xml:space="preserve"> </v>
      </c>
      <c r="AB41" s="55" t="str">
        <f>Table323[[#This Row],[3rd hour V sem]]</f>
        <v xml:space="preserve"> </v>
      </c>
      <c r="AC41" s="58" t="str">
        <f>Table323[[#This Row],[4th hour V sem]]</f>
        <v xml:space="preserve"> </v>
      </c>
      <c r="AD41" s="57" t="str">
        <f>Table323[[#This Row],[1st hour III Sem]]</f>
        <v xml:space="preserve"> </v>
      </c>
      <c r="AE41" s="55" t="str">
        <f>Table323[[#This Row],[2nd hour III Sem]]</f>
        <v>CP (G)</v>
      </c>
      <c r="AF41" s="55" t="str">
        <f>Table323[[#This Row],[3rd hour III Sem]]</f>
        <v>CP (I)</v>
      </c>
      <c r="AG41" s="58" t="str">
        <f>Table323[[#This Row],[4th hour III Sem]]</f>
        <v xml:space="preserve"> </v>
      </c>
      <c r="AH41" s="57" t="str">
        <f>Table323[[#This Row],[1st hour I Sem]]</f>
        <v xml:space="preserve"> </v>
      </c>
      <c r="AI41" s="55" t="str">
        <f>Table323[[#This Row],[2nd hour I Sem]]</f>
        <v xml:space="preserve"> </v>
      </c>
      <c r="AJ41" s="55" t="str">
        <f>Table323[[#This Row],[3rd hour I Sem]]</f>
        <v xml:space="preserve"> </v>
      </c>
      <c r="AK41" s="64" t="str">
        <f>Table323[[#This Row],[4th hour I Sem]]</f>
        <v xml:space="preserve"> </v>
      </c>
      <c r="AL41" s="56" t="str">
        <f>Table3235[[#This Row],[1st hour V sem]]</f>
        <v xml:space="preserve"> </v>
      </c>
      <c r="AM41" s="55" t="str">
        <f>Table3235[[#This Row],[2nd hour V sem]]</f>
        <v>PR (K)</v>
      </c>
      <c r="AN41" s="55" t="str">
        <f>Table3235[[#This Row],[3rd hour V sem]]</f>
        <v xml:space="preserve"> </v>
      </c>
      <c r="AO41" s="58" t="str">
        <f>Table3235[[#This Row],[4th hour V sem]]</f>
        <v>PR (L)</v>
      </c>
      <c r="AP41" s="57" t="str">
        <f>Table3235[[#This Row],[1st hour III Sem]]</f>
        <v>CP (N)</v>
      </c>
      <c r="AQ41" s="55" t="str">
        <f>Table3235[[#This Row],[2nd hour III Sem]]</f>
        <v xml:space="preserve"> </v>
      </c>
      <c r="AR41" s="55" t="str">
        <f>Table3235[[#This Row],[3rd hour III Sem]]</f>
        <v>CP (L)</v>
      </c>
      <c r="AS41" s="58" t="str">
        <f>Table3235[[#This Row],[4th hour III Sem]]</f>
        <v xml:space="preserve"> </v>
      </c>
      <c r="AT41" s="57" t="str">
        <f>Table3235[[#This Row],[1st hour I Sem]]</f>
        <v xml:space="preserve"> </v>
      </c>
      <c r="AU41" s="55" t="str">
        <f>Table3235[[#This Row],[2nd hour I Sem]]</f>
        <v xml:space="preserve"> </v>
      </c>
      <c r="AV41" s="55" t="str">
        <f>Table3235[[#This Row],[3rd hour I Sem]]</f>
        <v xml:space="preserve"> </v>
      </c>
      <c r="AW41" s="64" t="str">
        <f>Table3235[[#This Row],[4th hour I Sem]]</f>
        <v xml:space="preserve"> </v>
      </c>
      <c r="AX41" s="56" t="str">
        <f>Table32356[[#This Row],[1st hour V sem]]</f>
        <v>PR (K)</v>
      </c>
      <c r="AY41" s="55" t="str">
        <f>Table32356[[#This Row],[2nd hour V sem]]</f>
        <v>PR (L)</v>
      </c>
      <c r="AZ41" s="55" t="str">
        <f>Table32356[[#This Row],[3rd hour V sem]]</f>
        <v xml:space="preserve"> </v>
      </c>
      <c r="BA41" s="58" t="str">
        <f>Table32356[[#This Row],[4th hour V sem]]</f>
        <v xml:space="preserve"> </v>
      </c>
      <c r="BB41" s="57" t="str">
        <f>Table32356[[#This Row],[1st hour III Sem]]</f>
        <v xml:space="preserve"> </v>
      </c>
      <c r="BC41" s="55" t="str">
        <f>Table32356[[#This Row],[2nd hour III Sem]]</f>
        <v xml:space="preserve"> </v>
      </c>
      <c r="BD41" s="55" t="str">
        <f>Table32356[[#This Row],[3rd hour III Sem]]</f>
        <v>CP (G)</v>
      </c>
      <c r="BE41" s="58" t="str">
        <f>Table32356[[#This Row],[4th hour III Sem]]</f>
        <v>CP (I)</v>
      </c>
      <c r="BF41" s="57" t="str">
        <f>Table32356[[#This Row],[1st hour I Sem]]</f>
        <v xml:space="preserve"> </v>
      </c>
      <c r="BG41" s="55" t="str">
        <f>Table32356[[#This Row],[2nd hour I Sem]]</f>
        <v xml:space="preserve"> </v>
      </c>
      <c r="BH41" s="55" t="str">
        <f>Table32356[[#This Row],[3rd hour I Sem]]</f>
        <v xml:space="preserve"> </v>
      </c>
      <c r="BI41" s="64" t="str">
        <f>Table32356[[#This Row],[4th hour I Sem]]</f>
        <v xml:space="preserve"> </v>
      </c>
      <c r="BJ41" s="56" t="str">
        <f>Table323567[[#This Row],[1st hour V sem]]</f>
        <v>PR (F)</v>
      </c>
      <c r="BK41" s="55" t="str">
        <f>Table323567[[#This Row],[2nd hour V sem]]</f>
        <v xml:space="preserve"> </v>
      </c>
      <c r="BL41" s="55" t="str">
        <f>Table323567[[#This Row],[3rd hour V sem]]</f>
        <v xml:space="preserve"> </v>
      </c>
      <c r="BM41" s="58" t="str">
        <f>Table323567[[#This Row],[4th hour V sem]]</f>
        <v xml:space="preserve"> </v>
      </c>
      <c r="BN41" s="57" t="str">
        <f>Table323567[[#This Row],[1st hour III Sem]]</f>
        <v xml:space="preserve"> </v>
      </c>
      <c r="BO41" s="55" t="str">
        <f>Table323567[[#This Row],[2nd hour III Sem]]</f>
        <v>CP (N)</v>
      </c>
      <c r="BP41" s="55" t="str">
        <f>Table323567[[#This Row],[3rd hour III Sem]]</f>
        <v xml:space="preserve"> </v>
      </c>
      <c r="BQ41" s="58" t="str">
        <f>Table323567[[#This Row],[4th hour III Sem]]</f>
        <v xml:space="preserve"> </v>
      </c>
      <c r="BR41" s="57" t="str">
        <f>Table323567[[#This Row],[1st hour I Sem]]</f>
        <v xml:space="preserve"> </v>
      </c>
      <c r="BS41" s="55" t="str">
        <f>Table323567[[#This Row],[2nd hour I Sem]]</f>
        <v xml:space="preserve"> </v>
      </c>
      <c r="BT41" s="55" t="str">
        <f>Table323567[[#This Row],[3rd hour I Sem]]</f>
        <v xml:space="preserve"> </v>
      </c>
      <c r="BU41" s="64" t="str">
        <f>Table323567[[#This Row],[Column1]]</f>
        <v xml:space="preserve"> </v>
      </c>
    </row>
    <row r="42" spans="1:73" s="54" customFormat="1" x14ac:dyDescent="0.35">
      <c r="A42" s="165" t="str">
        <f>Mon!U42</f>
        <v>(SR)</v>
      </c>
      <c r="B42" s="56" t="str">
        <f>Table3[[#This Row],[1st hour V sem]]</f>
        <v>ECOM (H)</v>
      </c>
      <c r="C42" s="55" t="str">
        <f>Table3[[#This Row],[2nd hour V sem]]</f>
        <v>ECOM (B)</v>
      </c>
      <c r="D42" s="55" t="str">
        <f>Table3[[#This Row],[3rd hour V sem]]</f>
        <v>ECOM (G)</v>
      </c>
      <c r="E42" s="58" t="str">
        <f>Table3[[#This Row],[4th hour V sem]]</f>
        <v xml:space="preserve"> </v>
      </c>
      <c r="F42" s="57" t="str">
        <f>Table3[[#This Row],[1st hour III Sem]]</f>
        <v xml:space="preserve"> </v>
      </c>
      <c r="G42" s="55" t="str">
        <f>Table3[[#This Row],[2nd hour III Sem]]</f>
        <v xml:space="preserve"> </v>
      </c>
      <c r="H42" s="55" t="str">
        <f>Table3[[#This Row],[3rd hour III Sem]]</f>
        <v xml:space="preserve"> </v>
      </c>
      <c r="I42" s="58" t="str">
        <f>Table3[[#This Row],[4th hour III Sem]]</f>
        <v xml:space="preserve"> </v>
      </c>
      <c r="J42" s="57" t="str">
        <f>Table3[[#This Row],[1st hour I Sem]]</f>
        <v xml:space="preserve"> </v>
      </c>
      <c r="K42" s="55" t="str">
        <f>Table3[[#This Row],[2nd hour I Sem]]</f>
        <v xml:space="preserve"> </v>
      </c>
      <c r="L42" s="55" t="str">
        <f>Table3[[#This Row],[3rd hour I Sem]]</f>
        <v xml:space="preserve"> </v>
      </c>
      <c r="M42" s="55" t="str">
        <f>Table3[[#This Row],[4th hour I Sem]]</f>
        <v xml:space="preserve"> </v>
      </c>
      <c r="N42" s="56" t="str">
        <f>Table32[[#This Row],[1st hour V sem]]</f>
        <v xml:space="preserve"> </v>
      </c>
      <c r="O42" s="55" t="str">
        <f>Table32[[#This Row],[2nd hour V sem]]</f>
        <v>ECOM (D)</v>
      </c>
      <c r="P42" s="55" t="str">
        <f>Table32[[#This Row],[3rd hour V sem]]</f>
        <v>ECOM (G)</v>
      </c>
      <c r="Q42" s="73" t="str">
        <f>Table32[[#This Row],[4th hour V sem]]</f>
        <v>ECOM (B)</v>
      </c>
      <c r="R42" s="57" t="str">
        <f>Table32[[#This Row],[1st hour III Sem]]</f>
        <v xml:space="preserve"> </v>
      </c>
      <c r="S42" s="55" t="str">
        <f>Table32[[#This Row],[2nd hour III Sem]]</f>
        <v xml:space="preserve"> </v>
      </c>
      <c r="T42" s="55" t="str">
        <f>Table32[[#This Row],[3rd hour III Sem]]</f>
        <v xml:space="preserve"> </v>
      </c>
      <c r="U42" s="58" t="str">
        <f>Table32[[#This Row],[4th hour III Sem]]</f>
        <v xml:space="preserve"> </v>
      </c>
      <c r="V42" s="74" t="str">
        <f>Table32[[#This Row],[1st hour I Sem]]</f>
        <v xml:space="preserve"> </v>
      </c>
      <c r="W42" s="55" t="str">
        <f>Table32[[#This Row],[2nd hour I Sem]]</f>
        <v xml:space="preserve"> </v>
      </c>
      <c r="X42" s="55" t="str">
        <f>Table32[[#This Row],[3rd hour I Sem]]</f>
        <v xml:space="preserve"> </v>
      </c>
      <c r="Y42" s="64" t="str">
        <f>Table32[[#This Row],[4th hour I Sem]]</f>
        <v xml:space="preserve"> </v>
      </c>
      <c r="Z42" s="56" t="str">
        <f>Table323[[#This Row],[1st hour V sem]]</f>
        <v>IHRM (L)</v>
      </c>
      <c r="AA42" s="55" t="str">
        <f>Table323[[#This Row],[2nd hour V sem]]</f>
        <v xml:space="preserve"> </v>
      </c>
      <c r="AB42" s="55" t="str">
        <f>Table323[[#This Row],[3rd hour V sem]]</f>
        <v>ECOM (H)</v>
      </c>
      <c r="AC42" s="58" t="str">
        <f>Table323[[#This Row],[4th hour V sem]]</f>
        <v>PR (J)</v>
      </c>
      <c r="AD42" s="57" t="str">
        <f>Table323[[#This Row],[1st hour III Sem]]</f>
        <v xml:space="preserve"> </v>
      </c>
      <c r="AE42" s="55" t="str">
        <f>Table323[[#This Row],[2nd hour III Sem]]</f>
        <v xml:space="preserve"> </v>
      </c>
      <c r="AF42" s="55" t="str">
        <f>Table323[[#This Row],[3rd hour III Sem]]</f>
        <v xml:space="preserve"> </v>
      </c>
      <c r="AG42" s="58" t="str">
        <f>Table323[[#This Row],[4th hour III Sem]]</f>
        <v xml:space="preserve"> </v>
      </c>
      <c r="AH42" s="57" t="str">
        <f>Table323[[#This Row],[1st hour I Sem]]</f>
        <v xml:space="preserve"> </v>
      </c>
      <c r="AI42" s="55" t="str">
        <f>Table323[[#This Row],[2nd hour I Sem]]</f>
        <v xml:space="preserve"> </v>
      </c>
      <c r="AJ42" s="55" t="str">
        <f>Table323[[#This Row],[3rd hour I Sem]]</f>
        <v xml:space="preserve"> </v>
      </c>
      <c r="AK42" s="64" t="str">
        <f>Table323[[#This Row],[4th hour I Sem]]</f>
        <v xml:space="preserve"> </v>
      </c>
      <c r="AL42" s="56" t="str">
        <f>Table3235[[#This Row],[1st hour V sem]]</f>
        <v>PR (J)</v>
      </c>
      <c r="AM42" s="55" t="str">
        <f>Table3235[[#This Row],[2nd hour V sem]]</f>
        <v>ECOM (B)</v>
      </c>
      <c r="AN42" s="55" t="str">
        <f>Table3235[[#This Row],[3rd hour V sem]]</f>
        <v xml:space="preserve"> </v>
      </c>
      <c r="AO42" s="58" t="str">
        <f>Table3235[[#This Row],[4th hour V sem]]</f>
        <v>ECOM (D)</v>
      </c>
      <c r="AP42" s="57" t="str">
        <f>Table3235[[#This Row],[1st hour III Sem]]</f>
        <v xml:space="preserve"> </v>
      </c>
      <c r="AQ42" s="55" t="str">
        <f>Table3235[[#This Row],[2nd hour III Sem]]</f>
        <v xml:space="preserve"> </v>
      </c>
      <c r="AR42" s="55" t="str">
        <f>Table3235[[#This Row],[3rd hour III Sem]]</f>
        <v xml:space="preserve"> </v>
      </c>
      <c r="AS42" s="58" t="str">
        <f>Table3235[[#This Row],[4th hour III Sem]]</f>
        <v xml:space="preserve"> </v>
      </c>
      <c r="AT42" s="57" t="str">
        <f>Table3235[[#This Row],[1st hour I Sem]]</f>
        <v xml:space="preserve"> </v>
      </c>
      <c r="AU42" s="55" t="str">
        <f>Table3235[[#This Row],[2nd hour I Sem]]</f>
        <v xml:space="preserve"> </v>
      </c>
      <c r="AV42" s="55" t="str">
        <f>Table3235[[#This Row],[3rd hour I Sem]]</f>
        <v xml:space="preserve"> </v>
      </c>
      <c r="AW42" s="64" t="str">
        <f>Table3235[[#This Row],[4th hour I Sem]]</f>
        <v xml:space="preserve"> </v>
      </c>
      <c r="AX42" s="56" t="str">
        <f>Table32356[[#This Row],[1st hour V sem]]</f>
        <v>IHRM (L)</v>
      </c>
      <c r="AY42" s="55" t="str">
        <f>Table32356[[#This Row],[2nd hour V sem]]</f>
        <v>ECOM (H)</v>
      </c>
      <c r="AZ42" s="55" t="str">
        <f>Table32356[[#This Row],[3rd hour V sem]]</f>
        <v>ECOM (G)</v>
      </c>
      <c r="BA42" s="58" t="str">
        <f>Table32356[[#This Row],[4th hour V sem]]</f>
        <v xml:space="preserve"> </v>
      </c>
      <c r="BB42" s="57" t="str">
        <f>Table32356[[#This Row],[1st hour III Sem]]</f>
        <v xml:space="preserve"> </v>
      </c>
      <c r="BC42" s="55" t="str">
        <f>Table32356[[#This Row],[2nd hour III Sem]]</f>
        <v xml:space="preserve"> </v>
      </c>
      <c r="BD42" s="55" t="str">
        <f>Table32356[[#This Row],[3rd hour III Sem]]</f>
        <v xml:space="preserve"> </v>
      </c>
      <c r="BE42" s="58" t="str">
        <f>Table32356[[#This Row],[4th hour III Sem]]</f>
        <v xml:space="preserve"> </v>
      </c>
      <c r="BF42" s="57" t="str">
        <f>Table32356[[#This Row],[1st hour I Sem]]</f>
        <v xml:space="preserve"> </v>
      </c>
      <c r="BG42" s="55" t="str">
        <f>Table32356[[#This Row],[2nd hour I Sem]]</f>
        <v xml:space="preserve"> </v>
      </c>
      <c r="BH42" s="55" t="str">
        <f>Table32356[[#This Row],[3rd hour I Sem]]</f>
        <v xml:space="preserve"> </v>
      </c>
      <c r="BI42" s="64" t="str">
        <f>Table32356[[#This Row],[4th hour I Sem]]</f>
        <v xml:space="preserve"> </v>
      </c>
      <c r="BJ42" s="56" t="str">
        <f>Table323567[[#This Row],[1st hour V sem]]</f>
        <v>ECOM (D)</v>
      </c>
      <c r="BK42" s="55" t="str">
        <f>Table323567[[#This Row],[2nd hour V sem]]</f>
        <v>PR (J)</v>
      </c>
      <c r="BL42" s="55" t="str">
        <f>Table323567[[#This Row],[3rd hour V sem]]</f>
        <v>IHRM (L)</v>
      </c>
      <c r="BM42" s="58" t="str">
        <f>Table323567[[#This Row],[4th hour V sem]]</f>
        <v xml:space="preserve"> </v>
      </c>
      <c r="BN42" s="57" t="str">
        <f>Table323567[[#This Row],[1st hour III Sem]]</f>
        <v xml:space="preserve"> </v>
      </c>
      <c r="BO42" s="55" t="str">
        <f>Table323567[[#This Row],[2nd hour III Sem]]</f>
        <v xml:space="preserve"> </v>
      </c>
      <c r="BP42" s="55" t="str">
        <f>Table323567[[#This Row],[3rd hour III Sem]]</f>
        <v xml:space="preserve"> </v>
      </c>
      <c r="BQ42" s="58" t="str">
        <f>Table323567[[#This Row],[4th hour III Sem]]</f>
        <v xml:space="preserve"> </v>
      </c>
      <c r="BR42" s="57" t="str">
        <f>Table323567[[#This Row],[1st hour I Sem]]</f>
        <v xml:space="preserve"> </v>
      </c>
      <c r="BS42" s="55" t="str">
        <f>Table323567[[#This Row],[2nd hour I Sem]]</f>
        <v xml:space="preserve"> </v>
      </c>
      <c r="BT42" s="55" t="str">
        <f>Table323567[[#This Row],[3rd hour I Sem]]</f>
        <v xml:space="preserve"> </v>
      </c>
      <c r="BU42" s="64" t="str">
        <f>Table323567[[#This Row],[Column1]]</f>
        <v xml:space="preserve"> </v>
      </c>
    </row>
    <row r="43" spans="1:73" s="54" customFormat="1" x14ac:dyDescent="0.35">
      <c r="A43" s="165" t="str">
        <f>Mon!U43</f>
        <v>(SRN)</v>
      </c>
      <c r="B43" s="56" t="str">
        <f>Table3[[#This Row],[1st hour V sem]]</f>
        <v>IF (B)</v>
      </c>
      <c r="C43" s="55" t="str">
        <f>Table3[[#This Row],[2nd hour V sem]]</f>
        <v>IT (D)</v>
      </c>
      <c r="D43" s="55" t="str">
        <f>Table3[[#This Row],[3rd hour V sem]]</f>
        <v>IT (H)</v>
      </c>
      <c r="E43" s="58" t="str">
        <f>Table3[[#This Row],[4th hour V sem]]</f>
        <v>IT (A)</v>
      </c>
      <c r="F43" s="57" t="str">
        <f>Table3[[#This Row],[1st hour III Sem]]</f>
        <v xml:space="preserve"> </v>
      </c>
      <c r="G43" s="55" t="str">
        <f>Table3[[#This Row],[2nd hour III Sem]]</f>
        <v xml:space="preserve"> </v>
      </c>
      <c r="H43" s="55" t="str">
        <f>Table3[[#This Row],[3rd hour III Sem]]</f>
        <v xml:space="preserve"> </v>
      </c>
      <c r="I43" s="58" t="str">
        <f>Table3[[#This Row],[4th hour III Sem]]</f>
        <v xml:space="preserve"> </v>
      </c>
      <c r="J43" s="57" t="str">
        <f>Table3[[#This Row],[1st hour I Sem]]</f>
        <v xml:space="preserve"> </v>
      </c>
      <c r="K43" s="55" t="str">
        <f>Table3[[#This Row],[2nd hour I Sem]]</f>
        <v xml:space="preserve"> </v>
      </c>
      <c r="L43" s="55" t="str">
        <f>Table3[[#This Row],[3rd hour I Sem]]</f>
        <v xml:space="preserve"> </v>
      </c>
      <c r="M43" s="55" t="str">
        <f>Table3[[#This Row],[4th hour I Sem]]</f>
        <v xml:space="preserve"> </v>
      </c>
      <c r="N43" s="56" t="str">
        <f>Table32[[#This Row],[1st hour V sem]]</f>
        <v>IT (D)</v>
      </c>
      <c r="O43" s="55" t="str">
        <f>Table32[[#This Row],[2nd hour V sem]]</f>
        <v>IT (A)</v>
      </c>
      <c r="P43" s="55" t="str">
        <f>Table32[[#This Row],[3rd hour V sem]]</f>
        <v>IT (H)</v>
      </c>
      <c r="Q43" s="73" t="str">
        <f>Table32[[#This Row],[4th hour V sem]]</f>
        <v xml:space="preserve"> </v>
      </c>
      <c r="R43" s="57" t="str">
        <f>Table32[[#This Row],[1st hour III Sem]]</f>
        <v xml:space="preserve"> </v>
      </c>
      <c r="S43" s="55" t="str">
        <f>Table32[[#This Row],[2nd hour III Sem]]</f>
        <v xml:space="preserve"> </v>
      </c>
      <c r="T43" s="55" t="str">
        <f>Table32[[#This Row],[3rd hour III Sem]]</f>
        <v xml:space="preserve"> </v>
      </c>
      <c r="U43" s="58" t="str">
        <f>Table32[[#This Row],[4th hour III Sem]]</f>
        <v xml:space="preserve"> </v>
      </c>
      <c r="V43" s="74" t="str">
        <f>Table32[[#This Row],[1st hour I Sem]]</f>
        <v xml:space="preserve"> </v>
      </c>
      <c r="W43" s="55" t="str">
        <f>Table32[[#This Row],[2nd hour I Sem]]</f>
        <v xml:space="preserve"> </v>
      </c>
      <c r="X43" s="55" t="str">
        <f>Table32[[#This Row],[3rd hour I Sem]]</f>
        <v xml:space="preserve"> </v>
      </c>
      <c r="Y43" s="64" t="str">
        <f>Table32[[#This Row],[4th hour I Sem]]</f>
        <v xml:space="preserve"> </v>
      </c>
      <c r="Z43" s="56" t="str">
        <f>Table323[[#This Row],[1st hour V sem]]</f>
        <v>IF (B)</v>
      </c>
      <c r="AA43" s="55" t="str">
        <f>Table323[[#This Row],[2nd hour V sem]]</f>
        <v xml:space="preserve"> </v>
      </c>
      <c r="AB43" s="55" t="str">
        <f>Table323[[#This Row],[3rd hour V sem]]</f>
        <v>IT (D)</v>
      </c>
      <c r="AC43" s="58" t="str">
        <f>Table323[[#This Row],[4th hour V sem]]</f>
        <v>IT (H)</v>
      </c>
      <c r="AD43" s="57" t="str">
        <f>Table323[[#This Row],[1st hour III Sem]]</f>
        <v xml:space="preserve"> </v>
      </c>
      <c r="AE43" s="55" t="str">
        <f>Table323[[#This Row],[2nd hour III Sem]]</f>
        <v xml:space="preserve"> </v>
      </c>
      <c r="AF43" s="55" t="str">
        <f>Table323[[#This Row],[3rd hour III Sem]]</f>
        <v xml:space="preserve"> </v>
      </c>
      <c r="AG43" s="58" t="str">
        <f>Table323[[#This Row],[4th hour III Sem]]</f>
        <v xml:space="preserve"> </v>
      </c>
      <c r="AH43" s="57" t="str">
        <f>Table323[[#This Row],[1st hour I Sem]]</f>
        <v xml:space="preserve"> </v>
      </c>
      <c r="AI43" s="55" t="str">
        <f>Table323[[#This Row],[2nd hour I Sem]]</f>
        <v xml:space="preserve"> </v>
      </c>
      <c r="AJ43" s="55" t="str">
        <f>Table323[[#This Row],[3rd hour I Sem]]</f>
        <v xml:space="preserve"> </v>
      </c>
      <c r="AK43" s="64" t="str">
        <f>Table323[[#This Row],[4th hour I Sem]]</f>
        <v xml:space="preserve"> </v>
      </c>
      <c r="AL43" s="56" t="str">
        <f>Table3235[[#This Row],[1st hour V sem]]</f>
        <v>IT (A)</v>
      </c>
      <c r="AM43" s="55" t="str">
        <f>Table3235[[#This Row],[2nd hour V sem]]</f>
        <v>IF (E)</v>
      </c>
      <c r="AN43" s="55" t="str">
        <f>Table3235[[#This Row],[3rd hour V sem]]</f>
        <v>IT (H)</v>
      </c>
      <c r="AO43" s="58" t="str">
        <f>Table3235[[#This Row],[4th hour V sem]]</f>
        <v xml:space="preserve"> </v>
      </c>
      <c r="AP43" s="57" t="str">
        <f>Table3235[[#This Row],[1st hour III Sem]]</f>
        <v xml:space="preserve"> </v>
      </c>
      <c r="AQ43" s="55" t="str">
        <f>Table3235[[#This Row],[2nd hour III Sem]]</f>
        <v xml:space="preserve"> </v>
      </c>
      <c r="AR43" s="55" t="str">
        <f>Table3235[[#This Row],[3rd hour III Sem]]</f>
        <v xml:space="preserve"> </v>
      </c>
      <c r="AS43" s="58" t="str">
        <f>Table3235[[#This Row],[4th hour III Sem]]</f>
        <v xml:space="preserve"> </v>
      </c>
      <c r="AT43" s="57" t="str">
        <f>Table3235[[#This Row],[1st hour I Sem]]</f>
        <v xml:space="preserve"> </v>
      </c>
      <c r="AU43" s="55" t="str">
        <f>Table3235[[#This Row],[2nd hour I Sem]]</f>
        <v xml:space="preserve"> </v>
      </c>
      <c r="AV43" s="55" t="str">
        <f>Table3235[[#This Row],[3rd hour I Sem]]</f>
        <v xml:space="preserve"> </v>
      </c>
      <c r="AW43" s="64" t="str">
        <f>Table3235[[#This Row],[4th hour I Sem]]</f>
        <v xml:space="preserve"> </v>
      </c>
      <c r="AX43" s="56" t="str">
        <f>Table32356[[#This Row],[1st hour V sem]]</f>
        <v xml:space="preserve"> </v>
      </c>
      <c r="AY43" s="55" t="str">
        <f>Table32356[[#This Row],[2nd hour V sem]]</f>
        <v>IT (A)</v>
      </c>
      <c r="AZ43" s="55" t="str">
        <f>Table32356[[#This Row],[3rd hour V sem]]</f>
        <v>IT (D)</v>
      </c>
      <c r="BA43" s="58" t="str">
        <f>Table32356[[#This Row],[4th hour V sem]]</f>
        <v>IF (E)</v>
      </c>
      <c r="BB43" s="57" t="str">
        <f>Table32356[[#This Row],[1st hour III Sem]]</f>
        <v xml:space="preserve"> </v>
      </c>
      <c r="BC43" s="55" t="str">
        <f>Table32356[[#This Row],[2nd hour III Sem]]</f>
        <v xml:space="preserve"> </v>
      </c>
      <c r="BD43" s="55" t="str">
        <f>Table32356[[#This Row],[3rd hour III Sem]]</f>
        <v xml:space="preserve"> </v>
      </c>
      <c r="BE43" s="58" t="str">
        <f>Table32356[[#This Row],[4th hour III Sem]]</f>
        <v xml:space="preserve"> </v>
      </c>
      <c r="BF43" s="57" t="str">
        <f>Table32356[[#This Row],[1st hour I Sem]]</f>
        <v xml:space="preserve"> </v>
      </c>
      <c r="BG43" s="55" t="str">
        <f>Table32356[[#This Row],[2nd hour I Sem]]</f>
        <v xml:space="preserve"> </v>
      </c>
      <c r="BH43" s="55" t="str">
        <f>Table32356[[#This Row],[3rd hour I Sem]]</f>
        <v xml:space="preserve"> </v>
      </c>
      <c r="BI43" s="64" t="str">
        <f>Table32356[[#This Row],[4th hour I Sem]]</f>
        <v xml:space="preserve"> </v>
      </c>
      <c r="BJ43" s="56" t="str">
        <f>Table323567[[#This Row],[1st hour V sem]]</f>
        <v>IT (A)</v>
      </c>
      <c r="BK43" s="55" t="str">
        <f>Table323567[[#This Row],[2nd hour V sem]]</f>
        <v>IF (B)</v>
      </c>
      <c r="BL43" s="55" t="str">
        <f>Table323567[[#This Row],[3rd hour V sem]]</f>
        <v>IF (E)</v>
      </c>
      <c r="BM43" s="58" t="str">
        <f>Table323567[[#This Row],[4th hour V sem]]</f>
        <v xml:space="preserve"> </v>
      </c>
      <c r="BN43" s="57" t="str">
        <f>Table323567[[#This Row],[1st hour III Sem]]</f>
        <v xml:space="preserve"> </v>
      </c>
      <c r="BO43" s="55" t="str">
        <f>Table323567[[#This Row],[2nd hour III Sem]]</f>
        <v xml:space="preserve"> </v>
      </c>
      <c r="BP43" s="55" t="str">
        <f>Table323567[[#This Row],[3rd hour III Sem]]</f>
        <v xml:space="preserve"> </v>
      </c>
      <c r="BQ43" s="58" t="str">
        <f>Table323567[[#This Row],[4th hour III Sem]]</f>
        <v xml:space="preserve"> </v>
      </c>
      <c r="BR43" s="57" t="str">
        <f>Table323567[[#This Row],[1st hour I Sem]]</f>
        <v xml:space="preserve"> </v>
      </c>
      <c r="BS43" s="55" t="str">
        <f>Table323567[[#This Row],[2nd hour I Sem]]</f>
        <v xml:space="preserve"> </v>
      </c>
      <c r="BT43" s="55" t="str">
        <f>Table323567[[#This Row],[3rd hour I Sem]]</f>
        <v xml:space="preserve"> </v>
      </c>
      <c r="BU43" s="64" t="str">
        <f>Table323567[[#This Row],[Column1]]</f>
        <v xml:space="preserve"> </v>
      </c>
    </row>
    <row r="44" spans="1:73" s="54" customFormat="1" x14ac:dyDescent="0.35">
      <c r="A44" s="165" t="str">
        <f>Mon!U44</f>
        <v>(SRS)</v>
      </c>
      <c r="B44" s="56" t="str">
        <f>Table3[[#This Row],[1st hour V sem]]</f>
        <v xml:space="preserve"> </v>
      </c>
      <c r="C44" s="55" t="str">
        <f>Table3[[#This Row],[2nd hour V sem]]</f>
        <v xml:space="preserve"> </v>
      </c>
      <c r="D44" s="55" t="str">
        <f>Table3[[#This Row],[3rd hour V sem]]</f>
        <v>CB (K)</v>
      </c>
      <c r="E44" s="58" t="str">
        <f>Table3[[#This Row],[4th hour V sem]]</f>
        <v>CB (H)</v>
      </c>
      <c r="F44" s="57" t="str">
        <f>Table3[[#This Row],[1st hour III Sem]]</f>
        <v xml:space="preserve"> </v>
      </c>
      <c r="G44" s="55" t="str">
        <f>Table3[[#This Row],[2nd hour III Sem]]</f>
        <v>MM (L)</v>
      </c>
      <c r="H44" s="55" t="str">
        <f>Table3[[#This Row],[3rd hour III Sem]]</f>
        <v xml:space="preserve"> </v>
      </c>
      <c r="I44" s="58" t="str">
        <f>Table3[[#This Row],[4th hour III Sem]]</f>
        <v xml:space="preserve"> </v>
      </c>
      <c r="J44" s="57" t="str">
        <f>Table3[[#This Row],[1st hour I Sem]]</f>
        <v xml:space="preserve"> </v>
      </c>
      <c r="K44" s="55" t="str">
        <f>Table3[[#This Row],[2nd hour I Sem]]</f>
        <v xml:space="preserve"> </v>
      </c>
      <c r="L44" s="55" t="str">
        <f>Table3[[#This Row],[3rd hour I Sem]]</f>
        <v xml:space="preserve"> </v>
      </c>
      <c r="M44" s="55" t="str">
        <f>Table3[[#This Row],[4th hour I Sem]]</f>
        <v xml:space="preserve"> </v>
      </c>
      <c r="N44" s="56" t="str">
        <f>Table32[[#This Row],[1st hour V sem]]</f>
        <v>CB (K)</v>
      </c>
      <c r="O44" s="55" t="str">
        <f>Table32[[#This Row],[2nd hour V sem]]</f>
        <v xml:space="preserve"> </v>
      </c>
      <c r="P44" s="55" t="str">
        <f>Table32[[#This Row],[3rd hour V sem]]</f>
        <v xml:space="preserve"> </v>
      </c>
      <c r="Q44" s="73" t="str">
        <f>Table32[[#This Row],[4th hour V sem]]</f>
        <v xml:space="preserve"> </v>
      </c>
      <c r="R44" s="57" t="str">
        <f>Table32[[#This Row],[1st hour III Sem]]</f>
        <v xml:space="preserve"> </v>
      </c>
      <c r="S44" s="55" t="str">
        <f>Table32[[#This Row],[2nd hour III Sem]]</f>
        <v>MM (B)</v>
      </c>
      <c r="T44" s="55" t="str">
        <f>Table32[[#This Row],[3rd hour III Sem]]</f>
        <v xml:space="preserve"> </v>
      </c>
      <c r="U44" s="58" t="str">
        <f>Table32[[#This Row],[4th hour III Sem]]</f>
        <v>MM (J)</v>
      </c>
      <c r="V44" s="74" t="str">
        <f>Table32[[#This Row],[1st hour I Sem]]</f>
        <v xml:space="preserve"> </v>
      </c>
      <c r="W44" s="55" t="str">
        <f>Table32[[#This Row],[2nd hour I Sem]]</f>
        <v xml:space="preserve"> </v>
      </c>
      <c r="X44" s="55" t="str">
        <f>Table32[[#This Row],[3rd hour I Sem]]</f>
        <v xml:space="preserve"> </v>
      </c>
      <c r="Y44" s="64" t="str">
        <f>Table32[[#This Row],[4th hour I Sem]]</f>
        <v xml:space="preserve"> </v>
      </c>
      <c r="Z44" s="56" t="str">
        <f>Table323[[#This Row],[1st hour V sem]]</f>
        <v xml:space="preserve"> </v>
      </c>
      <c r="AA44" s="55" t="str">
        <f>Table323[[#This Row],[2nd hour V sem]]</f>
        <v>CB (H)</v>
      </c>
      <c r="AB44" s="55" t="str">
        <f>Table323[[#This Row],[3rd hour V sem]]</f>
        <v xml:space="preserve"> </v>
      </c>
      <c r="AC44" s="58" t="str">
        <f>Table323[[#This Row],[4th hour V sem]]</f>
        <v>CB (K)</v>
      </c>
      <c r="AD44" s="57" t="str">
        <f>Table323[[#This Row],[1st hour III Sem]]</f>
        <v>MM (H)</v>
      </c>
      <c r="AE44" s="55" t="str">
        <f>Table323[[#This Row],[2nd hour III Sem]]</f>
        <v xml:space="preserve"> </v>
      </c>
      <c r="AF44" s="55" t="str">
        <f>Table323[[#This Row],[3rd hour III Sem]]</f>
        <v>MM (J)</v>
      </c>
      <c r="AG44" s="58" t="str">
        <f>Table323[[#This Row],[4th hour III Sem]]</f>
        <v xml:space="preserve"> </v>
      </c>
      <c r="AH44" s="57" t="str">
        <f>Table323[[#This Row],[1st hour I Sem]]</f>
        <v xml:space="preserve"> </v>
      </c>
      <c r="AI44" s="55" t="str">
        <f>Table323[[#This Row],[2nd hour I Sem]]</f>
        <v xml:space="preserve"> </v>
      </c>
      <c r="AJ44" s="55" t="str">
        <f>Table323[[#This Row],[3rd hour I Sem]]</f>
        <v xml:space="preserve"> </v>
      </c>
      <c r="AK44" s="64" t="str">
        <f>Table323[[#This Row],[4th hour I Sem]]</f>
        <v xml:space="preserve"> </v>
      </c>
      <c r="AL44" s="56" t="str">
        <f>Table3235[[#This Row],[1st hour V sem]]</f>
        <v xml:space="preserve"> </v>
      </c>
      <c r="AM44" s="55" t="str">
        <f>Table3235[[#This Row],[2nd hour V sem]]</f>
        <v>CB (H)</v>
      </c>
      <c r="AN44" s="55" t="str">
        <f>Table3235[[#This Row],[3rd hour V sem]]</f>
        <v xml:space="preserve"> </v>
      </c>
      <c r="AO44" s="58" t="str">
        <f>Table3235[[#This Row],[4th hour V sem]]</f>
        <v xml:space="preserve"> </v>
      </c>
      <c r="AP44" s="57" t="str">
        <f>Table3235[[#This Row],[1st hour III Sem]]</f>
        <v>MM (L)</v>
      </c>
      <c r="AQ44" s="55" t="str">
        <f>Table3235[[#This Row],[2nd hour III Sem]]</f>
        <v xml:space="preserve"> </v>
      </c>
      <c r="AR44" s="55" t="str">
        <f>Table3235[[#This Row],[3rd hour III Sem]]</f>
        <v>MM (J)</v>
      </c>
      <c r="AS44" s="58" t="str">
        <f>Table3235[[#This Row],[4th hour III Sem]]</f>
        <v xml:space="preserve"> </v>
      </c>
      <c r="AT44" s="57" t="str">
        <f>Table3235[[#This Row],[1st hour I Sem]]</f>
        <v xml:space="preserve"> </v>
      </c>
      <c r="AU44" s="55" t="str">
        <f>Table3235[[#This Row],[2nd hour I Sem]]</f>
        <v xml:space="preserve"> </v>
      </c>
      <c r="AV44" s="55" t="str">
        <f>Table3235[[#This Row],[3rd hour I Sem]]</f>
        <v xml:space="preserve"> </v>
      </c>
      <c r="AW44" s="64" t="str">
        <f>Table3235[[#This Row],[4th hour I Sem]]</f>
        <v xml:space="preserve"> </v>
      </c>
      <c r="AX44" s="56" t="str">
        <f>Table32356[[#This Row],[1st hour V sem]]</f>
        <v xml:space="preserve"> </v>
      </c>
      <c r="AY44" s="55" t="str">
        <f>Table32356[[#This Row],[2nd hour V sem]]</f>
        <v xml:space="preserve"> </v>
      </c>
      <c r="AZ44" s="55" t="str">
        <f>Table32356[[#This Row],[3rd hour V sem]]</f>
        <v xml:space="preserve"> </v>
      </c>
      <c r="BA44" s="58" t="str">
        <f>Table32356[[#This Row],[4th hour V sem]]</f>
        <v xml:space="preserve"> </v>
      </c>
      <c r="BB44" s="57" t="str">
        <f>Table32356[[#This Row],[1st hour III Sem]]</f>
        <v>MM (L)</v>
      </c>
      <c r="BC44" s="55" t="str">
        <f>Table32356[[#This Row],[2nd hour III Sem]]</f>
        <v xml:space="preserve"> </v>
      </c>
      <c r="BD44" s="55" t="str">
        <f>Table32356[[#This Row],[3rd hour III Sem]]</f>
        <v>MM (B)</v>
      </c>
      <c r="BE44" s="58" t="str">
        <f>Table32356[[#This Row],[4th hour III Sem]]</f>
        <v>MM (H)</v>
      </c>
      <c r="BF44" s="57" t="str">
        <f>Table32356[[#This Row],[1st hour I Sem]]</f>
        <v xml:space="preserve"> </v>
      </c>
      <c r="BG44" s="55" t="str">
        <f>Table32356[[#This Row],[2nd hour I Sem]]</f>
        <v xml:space="preserve"> </v>
      </c>
      <c r="BH44" s="55" t="str">
        <f>Table32356[[#This Row],[3rd hour I Sem]]</f>
        <v xml:space="preserve"> </v>
      </c>
      <c r="BI44" s="64" t="str">
        <f>Table32356[[#This Row],[4th hour I Sem]]</f>
        <v xml:space="preserve"> </v>
      </c>
      <c r="BJ44" s="56" t="str">
        <f>Table323567[[#This Row],[1st hour V sem]]</f>
        <v xml:space="preserve"> </v>
      </c>
      <c r="BK44" s="55" t="str">
        <f>Table323567[[#This Row],[2nd hour V sem]]</f>
        <v xml:space="preserve"> </v>
      </c>
      <c r="BL44" s="55" t="str">
        <f>Table323567[[#This Row],[3rd hour V sem]]</f>
        <v xml:space="preserve"> </v>
      </c>
      <c r="BM44" s="58" t="str">
        <f>Table323567[[#This Row],[4th hour V sem]]</f>
        <v xml:space="preserve"> </v>
      </c>
      <c r="BN44" s="57" t="str">
        <f>Table323567[[#This Row],[1st hour III Sem]]</f>
        <v>MM (H)</v>
      </c>
      <c r="BO44" s="55" t="str">
        <f>Table323567[[#This Row],[2nd hour III Sem]]</f>
        <v>MM (B)</v>
      </c>
      <c r="BP44" s="55" t="str">
        <f>Table323567[[#This Row],[3rd hour III Sem]]</f>
        <v xml:space="preserve"> </v>
      </c>
      <c r="BQ44" s="58" t="str">
        <f>Table323567[[#This Row],[4th hour III Sem]]</f>
        <v xml:space="preserve"> </v>
      </c>
      <c r="BR44" s="57" t="str">
        <f>Table323567[[#This Row],[1st hour I Sem]]</f>
        <v xml:space="preserve"> </v>
      </c>
      <c r="BS44" s="55" t="str">
        <f>Table323567[[#This Row],[2nd hour I Sem]]</f>
        <v xml:space="preserve"> </v>
      </c>
      <c r="BT44" s="55" t="str">
        <f>Table323567[[#This Row],[3rd hour I Sem]]</f>
        <v xml:space="preserve"> </v>
      </c>
      <c r="BU44" s="64" t="str">
        <f>Table323567[[#This Row],[Column1]]</f>
        <v xml:space="preserve"> </v>
      </c>
    </row>
    <row r="45" spans="1:73" s="54" customFormat="1" x14ac:dyDescent="0.35">
      <c r="A45" s="165" t="str">
        <f>Mon!U45</f>
        <v>(SUH)</v>
      </c>
      <c r="B45" s="56" t="str">
        <f>Table3[[#This Row],[1st hour V sem]]</f>
        <v xml:space="preserve"> </v>
      </c>
      <c r="C45" s="55" t="str">
        <f>Table3[[#This Row],[2nd hour V sem]]</f>
        <v xml:space="preserve"> </v>
      </c>
      <c r="D45" s="55" t="str">
        <f>Table3[[#This Row],[3rd hour V sem]]</f>
        <v xml:space="preserve"> </v>
      </c>
      <c r="E45" s="58" t="str">
        <f>Table3[[#This Row],[4th hour V sem]]</f>
        <v xml:space="preserve"> </v>
      </c>
      <c r="F45" s="57" t="str">
        <f>Table3[[#This Row],[1st hour III Sem]]</f>
        <v>CM (C)</v>
      </c>
      <c r="G45" s="55" t="str">
        <f>Table3[[#This Row],[2nd hour III Sem]]</f>
        <v>HR (D)</v>
      </c>
      <c r="H45" s="55" t="str">
        <f>Table3[[#This Row],[3rd hour III Sem]]</f>
        <v>EVS (A)</v>
      </c>
      <c r="I45" s="58" t="str">
        <f>Table3[[#This Row],[4th hour III Sem]]</f>
        <v>HR (I)</v>
      </c>
      <c r="J45" s="57" t="str">
        <f>Table3[[#This Row],[1st hour I Sem]]</f>
        <v xml:space="preserve"> </v>
      </c>
      <c r="K45" s="55" t="str">
        <f>Table3[[#This Row],[2nd hour I Sem]]</f>
        <v xml:space="preserve"> </v>
      </c>
      <c r="L45" s="55" t="str">
        <f>Table3[[#This Row],[3rd hour I Sem]]</f>
        <v xml:space="preserve"> </v>
      </c>
      <c r="M45" s="55" t="str">
        <f>Table3[[#This Row],[4th hour I Sem]]</f>
        <v xml:space="preserve"> </v>
      </c>
      <c r="N45" s="56" t="str">
        <f>Table32[[#This Row],[1st hour V sem]]</f>
        <v xml:space="preserve"> </v>
      </c>
      <c r="O45" s="55" t="str">
        <f>Table32[[#This Row],[2nd hour V sem]]</f>
        <v xml:space="preserve"> </v>
      </c>
      <c r="P45" s="55" t="str">
        <f>Table32[[#This Row],[3rd hour V sem]]</f>
        <v xml:space="preserve"> </v>
      </c>
      <c r="Q45" s="73" t="str">
        <f>Table32[[#This Row],[4th hour V sem]]</f>
        <v xml:space="preserve"> </v>
      </c>
      <c r="R45" s="57" t="str">
        <f>Table32[[#This Row],[1st hour III Sem]]</f>
        <v>CM (M)</v>
      </c>
      <c r="S45" s="55" t="str">
        <f>Table32[[#This Row],[2nd hour III Sem]]</f>
        <v>HR (I)</v>
      </c>
      <c r="T45" s="55" t="str">
        <f>Table32[[#This Row],[3rd hour III Sem]]</f>
        <v>HR (E)</v>
      </c>
      <c r="U45" s="58" t="str">
        <f>Table32[[#This Row],[4th hour III Sem]]</f>
        <v xml:space="preserve"> </v>
      </c>
      <c r="V45" s="74" t="str">
        <f>Table32[[#This Row],[1st hour I Sem]]</f>
        <v xml:space="preserve"> </v>
      </c>
      <c r="W45" s="55" t="str">
        <f>Table32[[#This Row],[2nd hour I Sem]]</f>
        <v xml:space="preserve"> </v>
      </c>
      <c r="X45" s="55" t="str">
        <f>Table32[[#This Row],[3rd hour I Sem]]</f>
        <v xml:space="preserve"> </v>
      </c>
      <c r="Y45" s="64" t="str">
        <f>Table32[[#This Row],[4th hour I Sem]]</f>
        <v xml:space="preserve"> </v>
      </c>
      <c r="Z45" s="56" t="str">
        <f>Table323[[#This Row],[1st hour V sem]]</f>
        <v xml:space="preserve"> </v>
      </c>
      <c r="AA45" s="55" t="str">
        <f>Table323[[#This Row],[2nd hour V sem]]</f>
        <v xml:space="preserve"> </v>
      </c>
      <c r="AB45" s="55" t="str">
        <f>Table323[[#This Row],[3rd hour V sem]]</f>
        <v xml:space="preserve"> </v>
      </c>
      <c r="AC45" s="58" t="str">
        <f>Table323[[#This Row],[4th hour V sem]]</f>
        <v xml:space="preserve"> </v>
      </c>
      <c r="AD45" s="57" t="str">
        <f>Table323[[#This Row],[1st hour III Sem]]</f>
        <v>CM (C)</v>
      </c>
      <c r="AE45" s="55" t="str">
        <f>Table323[[#This Row],[2nd hour III Sem]]</f>
        <v>HR (I)</v>
      </c>
      <c r="AF45" s="55" t="str">
        <f>Table323[[#This Row],[3rd hour III Sem]]</f>
        <v>HR (D)</v>
      </c>
      <c r="AG45" s="58" t="str">
        <f>Table323[[#This Row],[4th hour III Sem]]</f>
        <v xml:space="preserve"> </v>
      </c>
      <c r="AH45" s="57" t="str">
        <f>Table323[[#This Row],[1st hour I Sem]]</f>
        <v xml:space="preserve"> </v>
      </c>
      <c r="AI45" s="55" t="str">
        <f>Table323[[#This Row],[2nd hour I Sem]]</f>
        <v xml:space="preserve"> </v>
      </c>
      <c r="AJ45" s="55" t="str">
        <f>Table323[[#This Row],[3rd hour I Sem]]</f>
        <v xml:space="preserve"> </v>
      </c>
      <c r="AK45" s="64" t="str">
        <f>Table323[[#This Row],[4th hour I Sem]]</f>
        <v xml:space="preserve"> </v>
      </c>
      <c r="AL45" s="56" t="str">
        <f>Table3235[[#This Row],[1st hour V sem]]</f>
        <v xml:space="preserve"> </v>
      </c>
      <c r="AM45" s="55" t="str">
        <f>Table3235[[#This Row],[2nd hour V sem]]</f>
        <v xml:space="preserve"> </v>
      </c>
      <c r="AN45" s="55" t="str">
        <f>Table3235[[#This Row],[3rd hour V sem]]</f>
        <v xml:space="preserve"> </v>
      </c>
      <c r="AO45" s="58" t="str">
        <f>Table3235[[#This Row],[4th hour V sem]]</f>
        <v xml:space="preserve"> </v>
      </c>
      <c r="AP45" s="57" t="str">
        <f>Table3235[[#This Row],[1st hour III Sem]]</f>
        <v>HR (E)</v>
      </c>
      <c r="AQ45" s="55" t="str">
        <f>Table3235[[#This Row],[2nd hour III Sem]]</f>
        <v>HR (D)</v>
      </c>
      <c r="AR45" s="55" t="str">
        <f>Table3235[[#This Row],[3rd hour III Sem]]</f>
        <v xml:space="preserve"> </v>
      </c>
      <c r="AS45" s="58" t="str">
        <f>Table3235[[#This Row],[4th hour III Sem]]</f>
        <v xml:space="preserve"> </v>
      </c>
      <c r="AT45" s="57" t="str">
        <f>Table3235[[#This Row],[1st hour I Sem]]</f>
        <v xml:space="preserve"> </v>
      </c>
      <c r="AU45" s="55" t="str">
        <f>Table3235[[#This Row],[2nd hour I Sem]]</f>
        <v xml:space="preserve"> </v>
      </c>
      <c r="AV45" s="55" t="str">
        <f>Table3235[[#This Row],[3rd hour I Sem]]</f>
        <v xml:space="preserve"> </v>
      </c>
      <c r="AW45" s="64" t="str">
        <f>Table3235[[#This Row],[4th hour I Sem]]</f>
        <v xml:space="preserve"> </v>
      </c>
      <c r="AX45" s="56" t="str">
        <f>Table32356[[#This Row],[1st hour V sem]]</f>
        <v xml:space="preserve"> </v>
      </c>
      <c r="AY45" s="55" t="str">
        <f>Table32356[[#This Row],[2nd hour V sem]]</f>
        <v xml:space="preserve"> </v>
      </c>
      <c r="AZ45" s="55" t="str">
        <f>Table32356[[#This Row],[3rd hour V sem]]</f>
        <v xml:space="preserve"> </v>
      </c>
      <c r="BA45" s="58" t="str">
        <f>Table32356[[#This Row],[4th hour V sem]]</f>
        <v xml:space="preserve"> </v>
      </c>
      <c r="BB45" s="57" t="str">
        <f>Table32356[[#This Row],[1st hour III Sem]]</f>
        <v>EVS</v>
      </c>
      <c r="BC45" s="55" t="str">
        <f>Table32356[[#This Row],[2nd hour III Sem]]</f>
        <v xml:space="preserve"> </v>
      </c>
      <c r="BD45" s="55" t="str">
        <f>Table32356[[#This Row],[3rd hour III Sem]]</f>
        <v>CM (C)</v>
      </c>
      <c r="BE45" s="58" t="str">
        <f>Table32356[[#This Row],[4th hour III Sem]]</f>
        <v>CM (M)</v>
      </c>
      <c r="BF45" s="57" t="str">
        <f>Table32356[[#This Row],[1st hour I Sem]]</f>
        <v xml:space="preserve"> </v>
      </c>
      <c r="BG45" s="55" t="str">
        <f>Table32356[[#This Row],[2nd hour I Sem]]</f>
        <v xml:space="preserve"> </v>
      </c>
      <c r="BH45" s="55" t="str">
        <f>Table32356[[#This Row],[3rd hour I Sem]]</f>
        <v xml:space="preserve"> </v>
      </c>
      <c r="BI45" s="64" t="str">
        <f>Table32356[[#This Row],[4th hour I Sem]]</f>
        <v xml:space="preserve"> </v>
      </c>
      <c r="BJ45" s="56" t="str">
        <f>Table323567[[#This Row],[1st hour V sem]]</f>
        <v xml:space="preserve"> </v>
      </c>
      <c r="BK45" s="55" t="str">
        <f>Table323567[[#This Row],[2nd hour V sem]]</f>
        <v xml:space="preserve"> </v>
      </c>
      <c r="BL45" s="55" t="str">
        <f>Table323567[[#This Row],[3rd hour V sem]]</f>
        <v xml:space="preserve"> </v>
      </c>
      <c r="BM45" s="58" t="str">
        <f>Table323567[[#This Row],[4th hour V sem]]</f>
        <v xml:space="preserve"> </v>
      </c>
      <c r="BN45" s="57" t="str">
        <f>Table323567[[#This Row],[1st hour III Sem]]</f>
        <v>EVS</v>
      </c>
      <c r="BO45" s="55" t="str">
        <f>Table323567[[#This Row],[2nd hour III Sem]]</f>
        <v>CM (M)</v>
      </c>
      <c r="BP45" s="55" t="str">
        <f>Table323567[[#This Row],[3rd hour III Sem]]</f>
        <v>HR (E)</v>
      </c>
      <c r="BQ45" s="58" t="str">
        <f>Table323567[[#This Row],[4th hour III Sem]]</f>
        <v xml:space="preserve"> </v>
      </c>
      <c r="BR45" s="57" t="str">
        <f>Table323567[[#This Row],[1st hour I Sem]]</f>
        <v xml:space="preserve"> </v>
      </c>
      <c r="BS45" s="55" t="str">
        <f>Table323567[[#This Row],[2nd hour I Sem]]</f>
        <v xml:space="preserve"> </v>
      </c>
      <c r="BT45" s="55" t="str">
        <f>Table323567[[#This Row],[3rd hour I Sem]]</f>
        <v xml:space="preserve"> </v>
      </c>
      <c r="BU45" s="64" t="str">
        <f>Table323567[[#This Row],[Column1]]</f>
        <v xml:space="preserve"> </v>
      </c>
    </row>
    <row r="46" spans="1:73" s="54" customFormat="1" x14ac:dyDescent="0.35">
      <c r="A46" s="165" t="str">
        <f>Mon!U46</f>
        <v>(SUN)</v>
      </c>
      <c r="B46" s="56" t="str">
        <f>Table3[[#This Row],[1st hour V sem]]</f>
        <v>FMS (D)</v>
      </c>
      <c r="C46" s="55" t="str">
        <f>Table3[[#This Row],[2nd hour V sem]]</f>
        <v>FMS (A)</v>
      </c>
      <c r="D46" s="55" t="str">
        <f>Table3[[#This Row],[3rd hour V sem]]</f>
        <v xml:space="preserve"> </v>
      </c>
      <c r="E46" s="58" t="str">
        <f>Table3[[#This Row],[4th hour V sem]]</f>
        <v>IB (C)</v>
      </c>
      <c r="F46" s="57" t="str">
        <f>Table3[[#This Row],[1st hour III Sem]]</f>
        <v xml:space="preserve"> </v>
      </c>
      <c r="G46" s="55" t="str">
        <f>Table3[[#This Row],[2nd hour III Sem]]</f>
        <v xml:space="preserve"> </v>
      </c>
      <c r="H46" s="55" t="str">
        <f>Table3[[#This Row],[3rd hour III Sem]]</f>
        <v xml:space="preserve"> </v>
      </c>
      <c r="I46" s="58" t="str">
        <f>Table3[[#This Row],[4th hour III Sem]]</f>
        <v xml:space="preserve"> </v>
      </c>
      <c r="J46" s="57" t="str">
        <f>Table3[[#This Row],[1st hour I Sem]]</f>
        <v xml:space="preserve"> </v>
      </c>
      <c r="K46" s="55" t="str">
        <f>Table3[[#This Row],[2nd hour I Sem]]</f>
        <v xml:space="preserve"> </v>
      </c>
      <c r="L46" s="55" t="str">
        <f>Table3[[#This Row],[3rd hour I Sem]]</f>
        <v xml:space="preserve"> </v>
      </c>
      <c r="M46" s="55" t="str">
        <f>Table3[[#This Row],[4th hour I Sem]]</f>
        <v xml:space="preserve"> </v>
      </c>
      <c r="N46" s="56" t="str">
        <f>Table32[[#This Row],[1st hour V sem]]</f>
        <v>IB (H)</v>
      </c>
      <c r="O46" s="55" t="str">
        <f>Table32[[#This Row],[2nd hour V sem]]</f>
        <v xml:space="preserve"> </v>
      </c>
      <c r="P46" s="55" t="str">
        <f>Table32[[#This Row],[3rd hour V sem]]</f>
        <v>FMS (D)</v>
      </c>
      <c r="Q46" s="73" t="str">
        <f>Table32[[#This Row],[4th hour V sem]]</f>
        <v xml:space="preserve"> </v>
      </c>
      <c r="R46" s="57" t="str">
        <f>Table32[[#This Row],[1st hour III Sem]]</f>
        <v xml:space="preserve"> </v>
      </c>
      <c r="S46" s="55" t="str">
        <f>Table32[[#This Row],[2nd hour III Sem]]</f>
        <v xml:space="preserve"> </v>
      </c>
      <c r="T46" s="55" t="str">
        <f>Table32[[#This Row],[3rd hour III Sem]]</f>
        <v xml:space="preserve"> </v>
      </c>
      <c r="U46" s="58" t="str">
        <f>Table32[[#This Row],[4th hour III Sem]]</f>
        <v xml:space="preserve"> </v>
      </c>
      <c r="V46" s="74" t="str">
        <f>Table32[[#This Row],[1st hour I Sem]]</f>
        <v xml:space="preserve"> </v>
      </c>
      <c r="W46" s="55" t="str">
        <f>Table32[[#This Row],[2nd hour I Sem]]</f>
        <v xml:space="preserve"> </v>
      </c>
      <c r="X46" s="55" t="str">
        <f>Table32[[#This Row],[3rd hour I Sem]]</f>
        <v xml:space="preserve"> </v>
      </c>
      <c r="Y46" s="64" t="str">
        <f>Table32[[#This Row],[4th hour I Sem]]</f>
        <v xml:space="preserve"> </v>
      </c>
      <c r="Z46" s="56" t="str">
        <f>Table323[[#This Row],[1st hour V sem]]</f>
        <v>IB (H)</v>
      </c>
      <c r="AA46" s="55" t="str">
        <f>Table323[[#This Row],[2nd hour V sem]]</f>
        <v>FMS (D)</v>
      </c>
      <c r="AB46" s="55" t="str">
        <f>Table323[[#This Row],[3rd hour V sem]]</f>
        <v xml:space="preserve"> </v>
      </c>
      <c r="AC46" s="58" t="str">
        <f>Table323[[#This Row],[4th hour V sem]]</f>
        <v xml:space="preserve"> </v>
      </c>
      <c r="AD46" s="57" t="str">
        <f>Table323[[#This Row],[1st hour III Sem]]</f>
        <v xml:space="preserve"> </v>
      </c>
      <c r="AE46" s="55" t="str">
        <f>Table323[[#This Row],[2nd hour III Sem]]</f>
        <v xml:space="preserve"> </v>
      </c>
      <c r="AF46" s="55" t="str">
        <f>Table323[[#This Row],[3rd hour III Sem]]</f>
        <v xml:space="preserve"> </v>
      </c>
      <c r="AG46" s="58" t="str">
        <f>Table323[[#This Row],[4th hour III Sem]]</f>
        <v xml:space="preserve"> </v>
      </c>
      <c r="AH46" s="57" t="str">
        <f>Table323[[#This Row],[1st hour I Sem]]</f>
        <v xml:space="preserve"> </v>
      </c>
      <c r="AI46" s="55" t="str">
        <f>Table323[[#This Row],[2nd hour I Sem]]</f>
        <v xml:space="preserve"> </v>
      </c>
      <c r="AJ46" s="55" t="str">
        <f>Table323[[#This Row],[3rd hour I Sem]]</f>
        <v xml:space="preserve"> </v>
      </c>
      <c r="AK46" s="64" t="str">
        <f>Table323[[#This Row],[4th hour I Sem]]</f>
        <v xml:space="preserve"> </v>
      </c>
      <c r="AL46" s="56" t="str">
        <f>Table3235[[#This Row],[1st hour V sem]]</f>
        <v>IB (C)</v>
      </c>
      <c r="AM46" s="55" t="str">
        <f>Table3235[[#This Row],[2nd hour V sem]]</f>
        <v xml:space="preserve"> </v>
      </c>
      <c r="AN46" s="55" t="str">
        <f>Table3235[[#This Row],[3rd hour V sem]]</f>
        <v>FMS (E)</v>
      </c>
      <c r="AO46" s="58" t="str">
        <f>Table3235[[#This Row],[4th hour V sem]]</f>
        <v>FMS (A)</v>
      </c>
      <c r="AP46" s="57" t="str">
        <f>Table3235[[#This Row],[1st hour III Sem]]</f>
        <v xml:space="preserve"> </v>
      </c>
      <c r="AQ46" s="55" t="str">
        <f>Table3235[[#This Row],[2nd hour III Sem]]</f>
        <v xml:space="preserve"> </v>
      </c>
      <c r="AR46" s="55" t="str">
        <f>Table3235[[#This Row],[3rd hour III Sem]]</f>
        <v xml:space="preserve"> </v>
      </c>
      <c r="AS46" s="58" t="str">
        <f>Table3235[[#This Row],[4th hour III Sem]]</f>
        <v xml:space="preserve"> </v>
      </c>
      <c r="AT46" s="57" t="str">
        <f>Table3235[[#This Row],[1st hour I Sem]]</f>
        <v xml:space="preserve"> </v>
      </c>
      <c r="AU46" s="55" t="str">
        <f>Table3235[[#This Row],[2nd hour I Sem]]</f>
        <v xml:space="preserve"> </v>
      </c>
      <c r="AV46" s="55" t="str">
        <f>Table3235[[#This Row],[3rd hour I Sem]]</f>
        <v xml:space="preserve"> </v>
      </c>
      <c r="AW46" s="64" t="str">
        <f>Table3235[[#This Row],[4th hour I Sem]]</f>
        <v xml:space="preserve"> </v>
      </c>
      <c r="AX46" s="56" t="str">
        <f>Table32356[[#This Row],[1st hour V sem]]</f>
        <v>IB (H)</v>
      </c>
      <c r="AY46" s="55" t="str">
        <f>Table32356[[#This Row],[2nd hour V sem]]</f>
        <v xml:space="preserve"> </v>
      </c>
      <c r="AZ46" s="55" t="str">
        <f>Table32356[[#This Row],[3rd hour V sem]]</f>
        <v xml:space="preserve"> </v>
      </c>
      <c r="BA46" s="58" t="str">
        <f>Table32356[[#This Row],[4th hour V sem]]</f>
        <v>FMS (A)</v>
      </c>
      <c r="BB46" s="57" t="str">
        <f>Table32356[[#This Row],[1st hour III Sem]]</f>
        <v xml:space="preserve"> </v>
      </c>
      <c r="BC46" s="55" t="str">
        <f>Table32356[[#This Row],[2nd hour III Sem]]</f>
        <v xml:space="preserve"> </v>
      </c>
      <c r="BD46" s="55" t="str">
        <f>Table32356[[#This Row],[3rd hour III Sem]]</f>
        <v xml:space="preserve"> </v>
      </c>
      <c r="BE46" s="58" t="str">
        <f>Table32356[[#This Row],[4th hour III Sem]]</f>
        <v xml:space="preserve"> </v>
      </c>
      <c r="BF46" s="57" t="str">
        <f>Table32356[[#This Row],[1st hour I Sem]]</f>
        <v xml:space="preserve"> </v>
      </c>
      <c r="BG46" s="55" t="str">
        <f>Table32356[[#This Row],[2nd hour I Sem]]</f>
        <v xml:space="preserve"> </v>
      </c>
      <c r="BH46" s="55" t="str">
        <f>Table32356[[#This Row],[3rd hour I Sem]]</f>
        <v xml:space="preserve"> </v>
      </c>
      <c r="BI46" s="64" t="str">
        <f>Table32356[[#This Row],[4th hour I Sem]]</f>
        <v xml:space="preserve"> </v>
      </c>
      <c r="BJ46" s="56" t="str">
        <f>Table323567[[#This Row],[1st hour V sem]]</f>
        <v xml:space="preserve"> </v>
      </c>
      <c r="BK46" s="55" t="str">
        <f>Table323567[[#This Row],[2nd hour V sem]]</f>
        <v>IB (C)</v>
      </c>
      <c r="BL46" s="55" t="str">
        <f>Table323567[[#This Row],[3rd hour V sem]]</f>
        <v xml:space="preserve"> </v>
      </c>
      <c r="BM46" s="58" t="str">
        <f>Table323567[[#This Row],[4th hour V sem]]</f>
        <v xml:space="preserve"> </v>
      </c>
      <c r="BN46" s="57" t="str">
        <f>Table323567[[#This Row],[1st hour III Sem]]</f>
        <v xml:space="preserve"> </v>
      </c>
      <c r="BO46" s="55" t="str">
        <f>Table323567[[#This Row],[2nd hour III Sem]]</f>
        <v xml:space="preserve"> </v>
      </c>
      <c r="BP46" s="55" t="str">
        <f>Table323567[[#This Row],[3rd hour III Sem]]</f>
        <v xml:space="preserve"> </v>
      </c>
      <c r="BQ46" s="58" t="str">
        <f>Table323567[[#This Row],[4th hour III Sem]]</f>
        <v xml:space="preserve"> </v>
      </c>
      <c r="BR46" s="57" t="str">
        <f>Table323567[[#This Row],[1st hour I Sem]]</f>
        <v xml:space="preserve"> </v>
      </c>
      <c r="BS46" s="55" t="str">
        <f>Table323567[[#This Row],[2nd hour I Sem]]</f>
        <v xml:space="preserve"> </v>
      </c>
      <c r="BT46" s="55" t="str">
        <f>Table323567[[#This Row],[3rd hour I Sem]]</f>
        <v xml:space="preserve"> </v>
      </c>
      <c r="BU46" s="64" t="str">
        <f>Table323567[[#This Row],[Column1]]</f>
        <v xml:space="preserve"> </v>
      </c>
    </row>
    <row r="47" spans="1:73" s="54" customFormat="1" x14ac:dyDescent="0.35">
      <c r="A47" s="165" t="str">
        <f>Mon!U47</f>
        <v>(SUP)</v>
      </c>
      <c r="B47" s="56" t="str">
        <f>Table3[[#This Row],[1st hour V sem]]</f>
        <v xml:space="preserve"> </v>
      </c>
      <c r="C47" s="55" t="str">
        <f>Table3[[#This Row],[2nd hour V sem]]</f>
        <v>IT (I)</v>
      </c>
      <c r="D47" s="55" t="str">
        <f>Table3[[#This Row],[3rd hour V sem]]</f>
        <v>AA (A)</v>
      </c>
      <c r="E47" s="58" t="str">
        <f>Table3[[#This Row],[4th hour V sem]]</f>
        <v>AA (D)</v>
      </c>
      <c r="F47" s="57" t="str">
        <f>Table3[[#This Row],[1st hour III Sem]]</f>
        <v xml:space="preserve"> </v>
      </c>
      <c r="G47" s="55" t="str">
        <f>Table3[[#This Row],[2nd hour III Sem]]</f>
        <v xml:space="preserve"> </v>
      </c>
      <c r="H47" s="55" t="str">
        <f>Table3[[#This Row],[3rd hour III Sem]]</f>
        <v xml:space="preserve"> </v>
      </c>
      <c r="I47" s="58" t="str">
        <f>Table3[[#This Row],[4th hour III Sem]]</f>
        <v xml:space="preserve"> </v>
      </c>
      <c r="J47" s="57" t="str">
        <f>Table3[[#This Row],[1st hour I Sem]]</f>
        <v xml:space="preserve"> </v>
      </c>
      <c r="K47" s="55" t="str">
        <f>Table3[[#This Row],[2nd hour I Sem]]</f>
        <v xml:space="preserve"> </v>
      </c>
      <c r="L47" s="55" t="str">
        <f>Table3[[#This Row],[3rd hour I Sem]]</f>
        <v xml:space="preserve"> </v>
      </c>
      <c r="M47" s="55" t="str">
        <f>Table3[[#This Row],[4th hour I Sem]]</f>
        <v xml:space="preserve"> </v>
      </c>
      <c r="N47" s="56" t="str">
        <f>Table32[[#This Row],[1st hour V sem]]</f>
        <v xml:space="preserve"> </v>
      </c>
      <c r="O47" s="55" t="str">
        <f>Table32[[#This Row],[2nd hour V sem]]</f>
        <v>AA (E)</v>
      </c>
      <c r="P47" s="55" t="str">
        <f>Table32[[#This Row],[3rd hour V sem]]</f>
        <v>IT (C)</v>
      </c>
      <c r="Q47" s="73" t="str">
        <f>Table32[[#This Row],[4th hour V sem]]</f>
        <v>AA (A)</v>
      </c>
      <c r="R47" s="57" t="str">
        <f>Table32[[#This Row],[1st hour III Sem]]</f>
        <v xml:space="preserve"> </v>
      </c>
      <c r="S47" s="55" t="str">
        <f>Table32[[#This Row],[2nd hour III Sem]]</f>
        <v xml:space="preserve"> </v>
      </c>
      <c r="T47" s="55" t="str">
        <f>Table32[[#This Row],[3rd hour III Sem]]</f>
        <v xml:space="preserve"> </v>
      </c>
      <c r="U47" s="58" t="str">
        <f>Table32[[#This Row],[4th hour III Sem]]</f>
        <v xml:space="preserve"> </v>
      </c>
      <c r="V47" s="74" t="str">
        <f>Table32[[#This Row],[1st hour I Sem]]</f>
        <v xml:space="preserve"> </v>
      </c>
      <c r="W47" s="55" t="str">
        <f>Table32[[#This Row],[2nd hour I Sem]]</f>
        <v xml:space="preserve"> </v>
      </c>
      <c r="X47" s="55" t="str">
        <f>Table32[[#This Row],[3rd hour I Sem]]</f>
        <v xml:space="preserve"> </v>
      </c>
      <c r="Y47" s="64" t="str">
        <f>Table32[[#This Row],[4th hour I Sem]]</f>
        <v xml:space="preserve"> </v>
      </c>
      <c r="Z47" s="56" t="str">
        <f>Table323[[#This Row],[1st hour V sem]]</f>
        <v>AA (D)</v>
      </c>
      <c r="AA47" s="55" t="str">
        <f>Table323[[#This Row],[2nd hour V sem]]</f>
        <v xml:space="preserve"> </v>
      </c>
      <c r="AB47" s="55" t="str">
        <f>Table323[[#This Row],[3rd hour V sem]]</f>
        <v>AA (E)</v>
      </c>
      <c r="AC47" s="58" t="str">
        <f>Table323[[#This Row],[4th hour V sem]]</f>
        <v>IT (C)</v>
      </c>
      <c r="AD47" s="57" t="str">
        <f>Table323[[#This Row],[1st hour III Sem]]</f>
        <v xml:space="preserve"> </v>
      </c>
      <c r="AE47" s="55" t="str">
        <f>Table323[[#This Row],[2nd hour III Sem]]</f>
        <v xml:space="preserve"> </v>
      </c>
      <c r="AF47" s="55" t="str">
        <f>Table323[[#This Row],[3rd hour III Sem]]</f>
        <v xml:space="preserve"> </v>
      </c>
      <c r="AG47" s="58" t="str">
        <f>Table323[[#This Row],[4th hour III Sem]]</f>
        <v xml:space="preserve"> </v>
      </c>
      <c r="AH47" s="57" t="str">
        <f>Table323[[#This Row],[1st hour I Sem]]</f>
        <v xml:space="preserve"> </v>
      </c>
      <c r="AI47" s="55" t="str">
        <f>Table323[[#This Row],[2nd hour I Sem]]</f>
        <v xml:space="preserve"> </v>
      </c>
      <c r="AJ47" s="55" t="str">
        <f>Table323[[#This Row],[3rd hour I Sem]]</f>
        <v xml:space="preserve"> </v>
      </c>
      <c r="AK47" s="64" t="str">
        <f>Table323[[#This Row],[4th hour I Sem]]</f>
        <v xml:space="preserve"> </v>
      </c>
      <c r="AL47" s="56" t="str">
        <f>Table3235[[#This Row],[1st hour V sem]]</f>
        <v xml:space="preserve"> </v>
      </c>
      <c r="AM47" s="55" t="str">
        <f>Table3235[[#This Row],[2nd hour V sem]]</f>
        <v>AA (A)</v>
      </c>
      <c r="AN47" s="55" t="str">
        <f>Table3235[[#This Row],[3rd hour V sem]]</f>
        <v>IT (I)</v>
      </c>
      <c r="AO47" s="58" t="str">
        <f>Table3235[[#This Row],[4th hour V sem]]</f>
        <v xml:space="preserve"> </v>
      </c>
      <c r="AP47" s="57" t="str">
        <f>Table3235[[#This Row],[1st hour III Sem]]</f>
        <v xml:space="preserve"> </v>
      </c>
      <c r="AQ47" s="55" t="str">
        <f>Table3235[[#This Row],[2nd hour III Sem]]</f>
        <v xml:space="preserve"> </v>
      </c>
      <c r="AR47" s="55" t="str">
        <f>Table3235[[#This Row],[3rd hour III Sem]]</f>
        <v xml:space="preserve"> </v>
      </c>
      <c r="AS47" s="58" t="str">
        <f>Table3235[[#This Row],[4th hour III Sem]]</f>
        <v xml:space="preserve"> </v>
      </c>
      <c r="AT47" s="57" t="str">
        <f>Table3235[[#This Row],[1st hour I Sem]]</f>
        <v xml:space="preserve"> </v>
      </c>
      <c r="AU47" s="55" t="str">
        <f>Table3235[[#This Row],[2nd hour I Sem]]</f>
        <v xml:space="preserve"> </v>
      </c>
      <c r="AV47" s="55" t="str">
        <f>Table3235[[#This Row],[3rd hour I Sem]]</f>
        <v xml:space="preserve"> </v>
      </c>
      <c r="AW47" s="64" t="str">
        <f>Table3235[[#This Row],[4th hour I Sem]]</f>
        <v xml:space="preserve"> </v>
      </c>
      <c r="AX47" s="56" t="str">
        <f>Table32356[[#This Row],[1st hour V sem]]</f>
        <v>AA (E)</v>
      </c>
      <c r="AY47" s="55" t="str">
        <f>Table32356[[#This Row],[2nd hour V sem]]</f>
        <v>IT (C)</v>
      </c>
      <c r="AZ47" s="55" t="str">
        <f>Table32356[[#This Row],[3rd hour V sem]]</f>
        <v>IT (I)</v>
      </c>
      <c r="BA47" s="58" t="str">
        <f>Table32356[[#This Row],[4th hour V sem]]</f>
        <v>AA (D)</v>
      </c>
      <c r="BB47" s="57" t="str">
        <f>Table32356[[#This Row],[1st hour III Sem]]</f>
        <v xml:space="preserve"> </v>
      </c>
      <c r="BC47" s="55" t="str">
        <f>Table32356[[#This Row],[2nd hour III Sem]]</f>
        <v xml:space="preserve"> </v>
      </c>
      <c r="BD47" s="55" t="str">
        <f>Table32356[[#This Row],[3rd hour III Sem]]</f>
        <v xml:space="preserve"> </v>
      </c>
      <c r="BE47" s="58" t="str">
        <f>Table32356[[#This Row],[4th hour III Sem]]</f>
        <v xml:space="preserve"> </v>
      </c>
      <c r="BF47" s="57" t="str">
        <f>Table32356[[#This Row],[1st hour I Sem]]</f>
        <v xml:space="preserve"> </v>
      </c>
      <c r="BG47" s="55" t="str">
        <f>Table32356[[#This Row],[2nd hour I Sem]]</f>
        <v xml:space="preserve"> </v>
      </c>
      <c r="BH47" s="55" t="str">
        <f>Table32356[[#This Row],[3rd hour I Sem]]</f>
        <v xml:space="preserve"> </v>
      </c>
      <c r="BI47" s="64" t="str">
        <f>Table32356[[#This Row],[4th hour I Sem]]</f>
        <v xml:space="preserve"> </v>
      </c>
      <c r="BJ47" s="56" t="str">
        <f>Table323567[[#This Row],[1st hour V sem]]</f>
        <v xml:space="preserve"> </v>
      </c>
      <c r="BK47" s="55" t="str">
        <f>Table323567[[#This Row],[2nd hour V sem]]</f>
        <v>IT (I)</v>
      </c>
      <c r="BL47" s="55" t="str">
        <f>Table323567[[#This Row],[3rd hour V sem]]</f>
        <v>IT (C)</v>
      </c>
      <c r="BM47" s="58" t="str">
        <f>Table323567[[#This Row],[4th hour V sem]]</f>
        <v xml:space="preserve"> </v>
      </c>
      <c r="BN47" s="57" t="str">
        <f>Table323567[[#This Row],[1st hour III Sem]]</f>
        <v xml:space="preserve"> </v>
      </c>
      <c r="BO47" s="55" t="str">
        <f>Table323567[[#This Row],[2nd hour III Sem]]</f>
        <v xml:space="preserve"> </v>
      </c>
      <c r="BP47" s="55" t="str">
        <f>Table323567[[#This Row],[3rd hour III Sem]]</f>
        <v xml:space="preserve"> </v>
      </c>
      <c r="BQ47" s="58" t="str">
        <f>Table323567[[#This Row],[4th hour III Sem]]</f>
        <v xml:space="preserve"> </v>
      </c>
      <c r="BR47" s="57" t="str">
        <f>Table323567[[#This Row],[1st hour I Sem]]</f>
        <v xml:space="preserve"> </v>
      </c>
      <c r="BS47" s="55" t="str">
        <f>Table323567[[#This Row],[2nd hour I Sem]]</f>
        <v xml:space="preserve"> </v>
      </c>
      <c r="BT47" s="55" t="str">
        <f>Table323567[[#This Row],[3rd hour I Sem]]</f>
        <v xml:space="preserve"> </v>
      </c>
      <c r="BU47" s="64" t="str">
        <f>Table323567[[#This Row],[Column1]]</f>
        <v xml:space="preserve"> </v>
      </c>
    </row>
    <row r="48" spans="1:73" s="54" customFormat="1" x14ac:dyDescent="0.35">
      <c r="A48" s="165" t="str">
        <f>Mon!U48</f>
        <v>(SV)</v>
      </c>
      <c r="B48" s="56" t="str">
        <f>Table3[[#This Row],[1st hour V sem]]</f>
        <v xml:space="preserve"> </v>
      </c>
      <c r="C48" s="55" t="str">
        <f>Table3[[#This Row],[2nd hour V sem]]</f>
        <v xml:space="preserve"> </v>
      </c>
      <c r="D48" s="55" t="str">
        <f>Table3[[#This Row],[3rd hour V sem]]</f>
        <v xml:space="preserve"> </v>
      </c>
      <c r="E48" s="58" t="str">
        <f>Table3[[#This Row],[4th hour V sem]]</f>
        <v xml:space="preserve"> </v>
      </c>
      <c r="F48" s="57" t="str">
        <f>Table3[[#This Row],[1st hour III Sem]]</f>
        <v xml:space="preserve"> </v>
      </c>
      <c r="G48" s="55" t="str">
        <f>Table3[[#This Row],[2nd hour III Sem]]</f>
        <v xml:space="preserve"> </v>
      </c>
      <c r="H48" s="55" t="str">
        <f>Table3[[#This Row],[3rd hour III Sem]]</f>
        <v xml:space="preserve"> </v>
      </c>
      <c r="I48" s="58" t="str">
        <f>Table3[[#This Row],[4th hour III Sem]]</f>
        <v xml:space="preserve"> </v>
      </c>
      <c r="J48" s="57" t="str">
        <f>Table3[[#This Row],[1st hour I Sem]]</f>
        <v xml:space="preserve"> </v>
      </c>
      <c r="K48" s="55" t="str">
        <f>Table3[[#This Row],[2nd hour I Sem]]</f>
        <v xml:space="preserve"> </v>
      </c>
      <c r="L48" s="55" t="str">
        <f>Table3[[#This Row],[3rd hour I Sem]]</f>
        <v>HIN (K)</v>
      </c>
      <c r="M48" s="55" t="str">
        <f>Table3[[#This Row],[4th hour I Sem]]</f>
        <v>HIN (J)</v>
      </c>
      <c r="N48" s="56" t="str">
        <f>Table32[[#This Row],[1st hour V sem]]</f>
        <v xml:space="preserve"> </v>
      </c>
      <c r="O48" s="55" t="str">
        <f>Table32[[#This Row],[2nd hour V sem]]</f>
        <v xml:space="preserve"> </v>
      </c>
      <c r="P48" s="55" t="str">
        <f>Table32[[#This Row],[3rd hour V sem]]</f>
        <v xml:space="preserve"> </v>
      </c>
      <c r="Q48" s="73" t="str">
        <f>Table32[[#This Row],[4th hour V sem]]</f>
        <v xml:space="preserve"> </v>
      </c>
      <c r="R48" s="57" t="str">
        <f>Table32[[#This Row],[1st hour III Sem]]</f>
        <v xml:space="preserve"> </v>
      </c>
      <c r="S48" s="55" t="str">
        <f>Table32[[#This Row],[2nd hour III Sem]]</f>
        <v xml:space="preserve"> </v>
      </c>
      <c r="T48" s="55" t="str">
        <f>Table32[[#This Row],[3rd hour III Sem]]</f>
        <v xml:space="preserve"> </v>
      </c>
      <c r="U48" s="58" t="str">
        <f>Table32[[#This Row],[4th hour III Sem]]</f>
        <v xml:space="preserve"> </v>
      </c>
      <c r="V48" s="74" t="str">
        <f>Table32[[#This Row],[1st hour I Sem]]</f>
        <v xml:space="preserve"> </v>
      </c>
      <c r="W48" s="55" t="str">
        <f>Table32[[#This Row],[2nd hour I Sem]]</f>
        <v>HIN (K)</v>
      </c>
      <c r="X48" s="55" t="str">
        <f>Table32[[#This Row],[3rd hour I Sem]]</f>
        <v xml:space="preserve"> </v>
      </c>
      <c r="Y48" s="64" t="str">
        <f>Table32[[#This Row],[4th hour I Sem]]</f>
        <v>HIN (I)</v>
      </c>
      <c r="Z48" s="56" t="str">
        <f>Table323[[#This Row],[1st hour V sem]]</f>
        <v xml:space="preserve"> </v>
      </c>
      <c r="AA48" s="55" t="str">
        <f>Table323[[#This Row],[2nd hour V sem]]</f>
        <v xml:space="preserve"> </v>
      </c>
      <c r="AB48" s="55" t="str">
        <f>Table323[[#This Row],[3rd hour V sem]]</f>
        <v xml:space="preserve"> </v>
      </c>
      <c r="AC48" s="58" t="str">
        <f>Table323[[#This Row],[4th hour V sem]]</f>
        <v xml:space="preserve"> </v>
      </c>
      <c r="AD48" s="57" t="str">
        <f>Table323[[#This Row],[1st hour III Sem]]</f>
        <v xml:space="preserve"> </v>
      </c>
      <c r="AE48" s="55" t="str">
        <f>Table323[[#This Row],[2nd hour III Sem]]</f>
        <v xml:space="preserve"> </v>
      </c>
      <c r="AF48" s="55" t="str">
        <f>Table323[[#This Row],[3rd hour III Sem]]</f>
        <v xml:space="preserve"> </v>
      </c>
      <c r="AG48" s="58" t="str">
        <f>Table323[[#This Row],[4th hour III Sem]]</f>
        <v xml:space="preserve"> </v>
      </c>
      <c r="AH48" s="57" t="str">
        <f>Table323[[#This Row],[1st hour I Sem]]</f>
        <v xml:space="preserve"> </v>
      </c>
      <c r="AI48" s="55" t="str">
        <f>Table323[[#This Row],[2nd hour I Sem]]</f>
        <v>HIN (J)</v>
      </c>
      <c r="AJ48" s="55" t="str">
        <f>Table323[[#This Row],[3rd hour I Sem]]</f>
        <v>HIN (I)</v>
      </c>
      <c r="AK48" s="64" t="str">
        <f>Table323[[#This Row],[4th hour I Sem]]</f>
        <v>HIN (L)</v>
      </c>
      <c r="AL48" s="56" t="str">
        <f>Table3235[[#This Row],[1st hour V sem]]</f>
        <v xml:space="preserve"> </v>
      </c>
      <c r="AM48" s="55" t="str">
        <f>Table3235[[#This Row],[2nd hour V sem]]</f>
        <v xml:space="preserve"> </v>
      </c>
      <c r="AN48" s="55" t="str">
        <f>Table3235[[#This Row],[3rd hour V sem]]</f>
        <v xml:space="preserve"> </v>
      </c>
      <c r="AO48" s="58" t="str">
        <f>Table3235[[#This Row],[4th hour V sem]]</f>
        <v xml:space="preserve"> </v>
      </c>
      <c r="AP48" s="57" t="str">
        <f>Table3235[[#This Row],[1st hour III Sem]]</f>
        <v xml:space="preserve"> </v>
      </c>
      <c r="AQ48" s="55" t="str">
        <f>Table3235[[#This Row],[2nd hour III Sem]]</f>
        <v xml:space="preserve"> </v>
      </c>
      <c r="AR48" s="55" t="str">
        <f>Table3235[[#This Row],[3rd hour III Sem]]</f>
        <v xml:space="preserve"> </v>
      </c>
      <c r="AS48" s="58" t="str">
        <f>Table3235[[#This Row],[4th hour III Sem]]</f>
        <v xml:space="preserve"> </v>
      </c>
      <c r="AT48" s="57" t="str">
        <f>Table3235[[#This Row],[1st hour I Sem]]</f>
        <v xml:space="preserve"> </v>
      </c>
      <c r="AU48" s="55" t="str">
        <f>Table3235[[#This Row],[2nd hour I Sem]]</f>
        <v xml:space="preserve"> </v>
      </c>
      <c r="AV48" s="55" t="str">
        <f>Table3235[[#This Row],[3rd hour I Sem]]</f>
        <v xml:space="preserve"> </v>
      </c>
      <c r="AW48" s="64" t="str">
        <f>Table3235[[#This Row],[4th hour I Sem]]</f>
        <v>HIN (I)</v>
      </c>
      <c r="AX48" s="56" t="str">
        <f>Table32356[[#This Row],[1st hour V sem]]</f>
        <v xml:space="preserve"> </v>
      </c>
      <c r="AY48" s="55" t="str">
        <f>Table32356[[#This Row],[2nd hour V sem]]</f>
        <v xml:space="preserve"> </v>
      </c>
      <c r="AZ48" s="55" t="str">
        <f>Table32356[[#This Row],[3rd hour V sem]]</f>
        <v xml:space="preserve"> </v>
      </c>
      <c r="BA48" s="58" t="str">
        <f>Table32356[[#This Row],[4th hour V sem]]</f>
        <v xml:space="preserve"> </v>
      </c>
      <c r="BB48" s="57" t="str">
        <f>Table32356[[#This Row],[1st hour III Sem]]</f>
        <v xml:space="preserve"> </v>
      </c>
      <c r="BC48" s="55" t="str">
        <f>Table32356[[#This Row],[2nd hour III Sem]]</f>
        <v xml:space="preserve"> </v>
      </c>
      <c r="BD48" s="55" t="str">
        <f>Table32356[[#This Row],[3rd hour III Sem]]</f>
        <v xml:space="preserve"> </v>
      </c>
      <c r="BE48" s="58" t="str">
        <f>Table32356[[#This Row],[4th hour III Sem]]</f>
        <v xml:space="preserve"> </v>
      </c>
      <c r="BF48" s="57" t="str">
        <f>Table32356[[#This Row],[1st hour I Sem]]</f>
        <v xml:space="preserve"> </v>
      </c>
      <c r="BG48" s="55" t="str">
        <f>Table32356[[#This Row],[2nd hour I Sem]]</f>
        <v>HIN (J)</v>
      </c>
      <c r="BH48" s="55" t="str">
        <f>Table32356[[#This Row],[3rd hour I Sem]]</f>
        <v>HIN (K)</v>
      </c>
      <c r="BI48" s="64" t="str">
        <f>Table32356[[#This Row],[4th hour I Sem]]</f>
        <v>HIN (L)</v>
      </c>
      <c r="BJ48" s="56" t="str">
        <f>Table323567[[#This Row],[1st hour V sem]]</f>
        <v xml:space="preserve"> </v>
      </c>
      <c r="BK48" s="55" t="str">
        <f>Table323567[[#This Row],[2nd hour V sem]]</f>
        <v xml:space="preserve"> </v>
      </c>
      <c r="BL48" s="55" t="str">
        <f>Table323567[[#This Row],[3rd hour V sem]]</f>
        <v xml:space="preserve"> </v>
      </c>
      <c r="BM48" s="58" t="str">
        <f>Table323567[[#This Row],[4th hour V sem]]</f>
        <v xml:space="preserve"> </v>
      </c>
      <c r="BN48" s="57" t="str">
        <f>Table323567[[#This Row],[1st hour III Sem]]</f>
        <v xml:space="preserve"> </v>
      </c>
      <c r="BO48" s="55" t="str">
        <f>Table323567[[#This Row],[2nd hour III Sem]]</f>
        <v xml:space="preserve"> </v>
      </c>
      <c r="BP48" s="55" t="str">
        <f>Table323567[[#This Row],[3rd hour III Sem]]</f>
        <v xml:space="preserve"> </v>
      </c>
      <c r="BQ48" s="58" t="str">
        <f>Table323567[[#This Row],[4th hour III Sem]]</f>
        <v xml:space="preserve"> </v>
      </c>
      <c r="BR48" s="57" t="str">
        <f>Table323567[[#This Row],[1st hour I Sem]]</f>
        <v xml:space="preserve"> </v>
      </c>
      <c r="BS48" s="55" t="str">
        <f>Table323567[[#This Row],[2nd hour I Sem]]</f>
        <v xml:space="preserve"> </v>
      </c>
      <c r="BT48" s="55" t="str">
        <f>Table323567[[#This Row],[3rd hour I Sem]]</f>
        <v xml:space="preserve"> </v>
      </c>
      <c r="BU48" s="64" t="str">
        <f>Table323567[[#This Row],[Column1]]</f>
        <v xml:space="preserve"> </v>
      </c>
    </row>
    <row r="49" spans="1:73" s="54" customFormat="1" x14ac:dyDescent="0.35">
      <c r="A49" s="165" t="str">
        <f>Mon!U49</f>
        <v>(SW)</v>
      </c>
      <c r="B49" s="56" t="str">
        <f>Table3[[#This Row],[1st hour V sem]]</f>
        <v xml:space="preserve"> </v>
      </c>
      <c r="C49" s="55" t="str">
        <f>Table3[[#This Row],[2nd hour V sem]]</f>
        <v xml:space="preserve"> </v>
      </c>
      <c r="D49" s="55" t="str">
        <f>Table3[[#This Row],[3rd hour V sem]]</f>
        <v xml:space="preserve"> </v>
      </c>
      <c r="E49" s="58" t="str">
        <f>Table3[[#This Row],[4th hour V sem]]</f>
        <v xml:space="preserve"> </v>
      </c>
      <c r="F49" s="57" t="str">
        <f>Table3[[#This Row],[1st hour III Sem]]</f>
        <v>CA (H)</v>
      </c>
      <c r="G49" s="55" t="str">
        <f>Table3[[#This Row],[2nd hour III Sem]]</f>
        <v>CA (M)</v>
      </c>
      <c r="H49" s="55" t="str">
        <f>Table3[[#This Row],[3rd hour III Sem]]</f>
        <v>CM (D)</v>
      </c>
      <c r="I49" s="58" t="str">
        <f>Table3[[#This Row],[4th hour III Sem]]</f>
        <v>CA (J)</v>
      </c>
      <c r="J49" s="57" t="str">
        <f>Table3[[#This Row],[1st hour I Sem]]</f>
        <v xml:space="preserve"> </v>
      </c>
      <c r="K49" s="55" t="str">
        <f>Table3[[#This Row],[2nd hour I Sem]]</f>
        <v xml:space="preserve"> </v>
      </c>
      <c r="L49" s="55" t="str">
        <f>Table3[[#This Row],[3rd hour I Sem]]</f>
        <v xml:space="preserve"> </v>
      </c>
      <c r="M49" s="55" t="str">
        <f>Table3[[#This Row],[4th hour I Sem]]</f>
        <v xml:space="preserve"> </v>
      </c>
      <c r="N49" s="56" t="str">
        <f>Table32[[#This Row],[1st hour V sem]]</f>
        <v xml:space="preserve"> </v>
      </c>
      <c r="O49" s="55" t="str">
        <f>Table32[[#This Row],[2nd hour V sem]]</f>
        <v xml:space="preserve"> </v>
      </c>
      <c r="P49" s="55" t="str">
        <f>Table32[[#This Row],[3rd hour V sem]]</f>
        <v xml:space="preserve"> </v>
      </c>
      <c r="Q49" s="73" t="str">
        <f>Table32[[#This Row],[4th hour V sem]]</f>
        <v xml:space="preserve"> </v>
      </c>
      <c r="R49" s="57" t="str">
        <f>Table32[[#This Row],[1st hour III Sem]]</f>
        <v>CA (J)</v>
      </c>
      <c r="S49" s="55" t="str">
        <f>Table32[[#This Row],[2nd hour III Sem]]</f>
        <v>CA (H)</v>
      </c>
      <c r="T49" s="55" t="str">
        <f>Table32[[#This Row],[3rd hour III Sem]]</f>
        <v xml:space="preserve"> </v>
      </c>
      <c r="U49" s="58" t="str">
        <f>Table32[[#This Row],[4th hour III Sem]]</f>
        <v>CA (M)</v>
      </c>
      <c r="V49" s="74" t="str">
        <f>Table32[[#This Row],[1st hour I Sem]]</f>
        <v xml:space="preserve"> </v>
      </c>
      <c r="W49" s="55" t="str">
        <f>Table32[[#This Row],[2nd hour I Sem]]</f>
        <v xml:space="preserve"> </v>
      </c>
      <c r="X49" s="55" t="str">
        <f>Table32[[#This Row],[3rd hour I Sem]]</f>
        <v xml:space="preserve"> </v>
      </c>
      <c r="Y49" s="64" t="str">
        <f>Table32[[#This Row],[4th hour I Sem]]</f>
        <v xml:space="preserve"> </v>
      </c>
      <c r="Z49" s="56" t="str">
        <f>Table323[[#This Row],[1st hour V sem]]</f>
        <v xml:space="preserve"> </v>
      </c>
      <c r="AA49" s="55" t="str">
        <f>Table323[[#This Row],[2nd hour V sem]]</f>
        <v xml:space="preserve"> </v>
      </c>
      <c r="AB49" s="55" t="str">
        <f>Table323[[#This Row],[3rd hour V sem]]</f>
        <v xml:space="preserve"> </v>
      </c>
      <c r="AC49" s="58" t="str">
        <f>Table323[[#This Row],[4th hour V sem]]</f>
        <v xml:space="preserve"> </v>
      </c>
      <c r="AD49" s="57" t="str">
        <f>Table323[[#This Row],[1st hour III Sem]]</f>
        <v>CM (D)</v>
      </c>
      <c r="AE49" s="55" t="str">
        <f>Table323[[#This Row],[2nd hour III Sem]]</f>
        <v>CA (H)</v>
      </c>
      <c r="AF49" s="55" t="str">
        <f>Table323[[#This Row],[3rd hour III Sem]]</f>
        <v>CA (E)</v>
      </c>
      <c r="AG49" s="58" t="str">
        <f>Table323[[#This Row],[4th hour III Sem]]</f>
        <v xml:space="preserve"> </v>
      </c>
      <c r="AH49" s="57" t="str">
        <f>Table323[[#This Row],[1st hour I Sem]]</f>
        <v xml:space="preserve"> </v>
      </c>
      <c r="AI49" s="55" t="str">
        <f>Table323[[#This Row],[2nd hour I Sem]]</f>
        <v xml:space="preserve"> </v>
      </c>
      <c r="AJ49" s="55" t="str">
        <f>Table323[[#This Row],[3rd hour I Sem]]</f>
        <v xml:space="preserve"> </v>
      </c>
      <c r="AK49" s="64" t="str">
        <f>Table323[[#This Row],[4th hour I Sem]]</f>
        <v xml:space="preserve"> </v>
      </c>
      <c r="AL49" s="56" t="str">
        <f>Table3235[[#This Row],[1st hour V sem]]</f>
        <v xml:space="preserve"> </v>
      </c>
      <c r="AM49" s="55" t="str">
        <f>Table3235[[#This Row],[2nd hour V sem]]</f>
        <v xml:space="preserve"> </v>
      </c>
      <c r="AN49" s="55" t="str">
        <f>Table3235[[#This Row],[3rd hour V sem]]</f>
        <v xml:space="preserve"> </v>
      </c>
      <c r="AO49" s="58" t="str">
        <f>Table3235[[#This Row],[4th hour V sem]]</f>
        <v xml:space="preserve"> </v>
      </c>
      <c r="AP49" s="57" t="str">
        <f>Table3235[[#This Row],[1st hour III Sem]]</f>
        <v xml:space="preserve"> </v>
      </c>
      <c r="AQ49" s="55" t="str">
        <f>Table3235[[#This Row],[2nd hour III Sem]]</f>
        <v>CA (M)</v>
      </c>
      <c r="AR49" s="55" t="str">
        <f>Table3235[[#This Row],[3rd hour III Sem]]</f>
        <v>CA (E)</v>
      </c>
      <c r="AS49" s="58" t="str">
        <f>Table3235[[#This Row],[4th hour III Sem]]</f>
        <v>CA (H)</v>
      </c>
      <c r="AT49" s="57" t="str">
        <f>Table3235[[#This Row],[1st hour I Sem]]</f>
        <v xml:space="preserve"> </v>
      </c>
      <c r="AU49" s="55" t="str">
        <f>Table3235[[#This Row],[2nd hour I Sem]]</f>
        <v xml:space="preserve"> </v>
      </c>
      <c r="AV49" s="55" t="str">
        <f>Table3235[[#This Row],[3rd hour I Sem]]</f>
        <v xml:space="preserve"> </v>
      </c>
      <c r="AW49" s="64" t="str">
        <f>Table3235[[#This Row],[4th hour I Sem]]</f>
        <v xml:space="preserve"> </v>
      </c>
      <c r="AX49" s="56" t="str">
        <f>Table32356[[#This Row],[1st hour V sem]]</f>
        <v xml:space="preserve"> </v>
      </c>
      <c r="AY49" s="55" t="str">
        <f>Table32356[[#This Row],[2nd hour V sem]]</f>
        <v xml:space="preserve"> </v>
      </c>
      <c r="AZ49" s="55" t="str">
        <f>Table32356[[#This Row],[3rd hour V sem]]</f>
        <v xml:space="preserve"> </v>
      </c>
      <c r="BA49" s="58" t="str">
        <f>Table32356[[#This Row],[4th hour V sem]]</f>
        <v xml:space="preserve"> </v>
      </c>
      <c r="BB49" s="57" t="str">
        <f>Table32356[[#This Row],[1st hour III Sem]]</f>
        <v>CM (D)</v>
      </c>
      <c r="BC49" s="55" t="str">
        <f>Table32356[[#This Row],[2nd hour III Sem]]</f>
        <v>CA (J)</v>
      </c>
      <c r="BD49" s="55" t="str">
        <f>Table32356[[#This Row],[3rd hour III Sem]]</f>
        <v>CA (E)</v>
      </c>
      <c r="BE49" s="58" t="str">
        <f>Table32356[[#This Row],[4th hour III Sem]]</f>
        <v xml:space="preserve"> </v>
      </c>
      <c r="BF49" s="57" t="str">
        <f>Table32356[[#This Row],[1st hour I Sem]]</f>
        <v xml:space="preserve"> </v>
      </c>
      <c r="BG49" s="55" t="str">
        <f>Table32356[[#This Row],[2nd hour I Sem]]</f>
        <v xml:space="preserve"> </v>
      </c>
      <c r="BH49" s="55" t="str">
        <f>Table32356[[#This Row],[3rd hour I Sem]]</f>
        <v xml:space="preserve"> </v>
      </c>
      <c r="BI49" s="64" t="str">
        <f>Table32356[[#This Row],[4th hour I Sem]]</f>
        <v xml:space="preserve"> </v>
      </c>
      <c r="BJ49" s="56" t="str">
        <f>Table323567[[#This Row],[1st hour V sem]]</f>
        <v xml:space="preserve"> </v>
      </c>
      <c r="BK49" s="55" t="str">
        <f>Table323567[[#This Row],[2nd hour V sem]]</f>
        <v xml:space="preserve"> </v>
      </c>
      <c r="BL49" s="55" t="str">
        <f>Table323567[[#This Row],[3rd hour V sem]]</f>
        <v xml:space="preserve"> </v>
      </c>
      <c r="BM49" s="58" t="str">
        <f>Table323567[[#This Row],[4th hour V sem]]</f>
        <v xml:space="preserve"> </v>
      </c>
      <c r="BN49" s="57" t="str">
        <f>Table323567[[#This Row],[1st hour III Sem]]</f>
        <v>CA (E)</v>
      </c>
      <c r="BO49" s="55" t="str">
        <f>Table323567[[#This Row],[2nd hour III Sem]]</f>
        <v>CA (J)</v>
      </c>
      <c r="BP49" s="55" t="str">
        <f>Table323567[[#This Row],[3rd hour III Sem]]</f>
        <v>CA (M)</v>
      </c>
      <c r="BQ49" s="58" t="str">
        <f>Table323567[[#This Row],[4th hour III Sem]]</f>
        <v xml:space="preserve"> </v>
      </c>
      <c r="BR49" s="57" t="str">
        <f>Table323567[[#This Row],[1st hour I Sem]]</f>
        <v xml:space="preserve"> </v>
      </c>
      <c r="BS49" s="55" t="str">
        <f>Table323567[[#This Row],[2nd hour I Sem]]</f>
        <v xml:space="preserve"> </v>
      </c>
      <c r="BT49" s="55" t="str">
        <f>Table323567[[#This Row],[3rd hour I Sem]]</f>
        <v xml:space="preserve"> </v>
      </c>
      <c r="BU49" s="64" t="str">
        <f>Table323567[[#This Row],[Column1]]</f>
        <v xml:space="preserve"> </v>
      </c>
    </row>
    <row r="50" spans="1:73" s="54" customFormat="1" x14ac:dyDescent="0.35">
      <c r="A50" s="165" t="str">
        <f>Mon!U50</f>
        <v>(TK)</v>
      </c>
      <c r="B50" s="56" t="str">
        <f>Table3[[#This Row],[1st hour V sem]]</f>
        <v xml:space="preserve"> </v>
      </c>
      <c r="C50" s="55" t="str">
        <f>Table3[[#This Row],[2nd hour V sem]]</f>
        <v xml:space="preserve"> </v>
      </c>
      <c r="D50" s="55" t="str">
        <f>Table3[[#This Row],[3rd hour V sem]]</f>
        <v xml:space="preserve"> </v>
      </c>
      <c r="E50" s="58" t="str">
        <f>Table3[[#This Row],[4th hour V sem]]</f>
        <v xml:space="preserve"> </v>
      </c>
      <c r="F50" s="57" t="str">
        <f>Table3[[#This Row],[1st hour III Sem]]</f>
        <v>CA (N)</v>
      </c>
      <c r="G50" s="55" t="str">
        <f>Table3[[#This Row],[2nd hour III Sem]]</f>
        <v>CA (B)</v>
      </c>
      <c r="H50" s="55" t="str">
        <f>Table3[[#This Row],[3rd hour III Sem]]</f>
        <v xml:space="preserve"> </v>
      </c>
      <c r="I50" s="58" t="str">
        <f>Table3[[#This Row],[4th hour III Sem]]</f>
        <v xml:space="preserve"> </v>
      </c>
      <c r="J50" s="57" t="str">
        <f>Table3[[#This Row],[1st hour I Sem]]</f>
        <v xml:space="preserve"> </v>
      </c>
      <c r="K50" s="55" t="str">
        <f>Table3[[#This Row],[2nd hour I Sem]]</f>
        <v xml:space="preserve"> </v>
      </c>
      <c r="L50" s="55" t="str">
        <f>Table3[[#This Row],[3rd hour I Sem]]</f>
        <v xml:space="preserve"> </v>
      </c>
      <c r="M50" s="55" t="str">
        <f>Table3[[#This Row],[4th hour I Sem]]</f>
        <v xml:space="preserve"> </v>
      </c>
      <c r="N50" s="56" t="str">
        <f>Table32[[#This Row],[1st hour V sem]]</f>
        <v xml:space="preserve"> </v>
      </c>
      <c r="O50" s="55" t="str">
        <f>Table32[[#This Row],[2nd hour V sem]]</f>
        <v>MA (B)</v>
      </c>
      <c r="P50" s="55" t="str">
        <f>Table32[[#This Row],[3rd hour V sem]]</f>
        <v xml:space="preserve"> </v>
      </c>
      <c r="Q50" s="73" t="str">
        <f>Table32[[#This Row],[4th hour V sem]]</f>
        <v xml:space="preserve"> </v>
      </c>
      <c r="R50" s="57" t="str">
        <f>Table32[[#This Row],[1st hour III Sem]]</f>
        <v xml:space="preserve"> </v>
      </c>
      <c r="S50" s="55" t="str">
        <f>Table32[[#This Row],[2nd hour III Sem]]</f>
        <v xml:space="preserve"> </v>
      </c>
      <c r="T50" s="55" t="str">
        <f>Table32[[#This Row],[3rd hour III Sem]]</f>
        <v>CA (N)</v>
      </c>
      <c r="U50" s="58" t="str">
        <f>Table32[[#This Row],[4th hour III Sem]]</f>
        <v>CA (K)</v>
      </c>
      <c r="V50" s="74" t="str">
        <f>Table32[[#This Row],[1st hour I Sem]]</f>
        <v xml:space="preserve"> </v>
      </c>
      <c r="W50" s="55" t="str">
        <f>Table32[[#This Row],[2nd hour I Sem]]</f>
        <v xml:space="preserve"> </v>
      </c>
      <c r="X50" s="55" t="str">
        <f>Table32[[#This Row],[3rd hour I Sem]]</f>
        <v xml:space="preserve"> </v>
      </c>
      <c r="Y50" s="64" t="str">
        <f>Table32[[#This Row],[4th hour I Sem]]</f>
        <v xml:space="preserve"> </v>
      </c>
      <c r="Z50" s="56" t="str">
        <f>Table323[[#This Row],[1st hour V sem]]</f>
        <v xml:space="preserve"> </v>
      </c>
      <c r="AA50" s="55" t="str">
        <f>Table323[[#This Row],[2nd hour V sem]]</f>
        <v xml:space="preserve"> </v>
      </c>
      <c r="AB50" s="55" t="str">
        <f>Table323[[#This Row],[3rd hour V sem]]</f>
        <v xml:space="preserve"> </v>
      </c>
      <c r="AC50" s="58" t="str">
        <f>Table323[[#This Row],[4th hour V sem]]</f>
        <v>MA (B)</v>
      </c>
      <c r="AD50" s="57" t="str">
        <f>Table323[[#This Row],[1st hour III Sem]]</f>
        <v xml:space="preserve"> </v>
      </c>
      <c r="AE50" s="55" t="str">
        <f>Table323[[#This Row],[2nd hour III Sem]]</f>
        <v>CA (B)</v>
      </c>
      <c r="AF50" s="55" t="str">
        <f>Table323[[#This Row],[3rd hour III Sem]]</f>
        <v>CA (N)</v>
      </c>
      <c r="AG50" s="58" t="str">
        <f>Table323[[#This Row],[4th hour III Sem]]</f>
        <v xml:space="preserve"> </v>
      </c>
      <c r="AH50" s="57" t="str">
        <f>Table323[[#This Row],[1st hour I Sem]]</f>
        <v xml:space="preserve"> </v>
      </c>
      <c r="AI50" s="55" t="str">
        <f>Table323[[#This Row],[2nd hour I Sem]]</f>
        <v xml:space="preserve"> </v>
      </c>
      <c r="AJ50" s="55" t="str">
        <f>Table323[[#This Row],[3rd hour I Sem]]</f>
        <v xml:space="preserve"> </v>
      </c>
      <c r="AK50" s="64" t="str">
        <f>Table323[[#This Row],[4th hour I Sem]]</f>
        <v xml:space="preserve"> </v>
      </c>
      <c r="AL50" s="56" t="str">
        <f>Table3235[[#This Row],[1st hour V sem]]</f>
        <v xml:space="preserve"> </v>
      </c>
      <c r="AM50" s="55" t="str">
        <f>Table3235[[#This Row],[2nd hour V sem]]</f>
        <v xml:space="preserve"> </v>
      </c>
      <c r="AN50" s="55" t="str">
        <f>Table3235[[#This Row],[3rd hour V sem]]</f>
        <v xml:space="preserve"> </v>
      </c>
      <c r="AO50" s="58" t="str">
        <f>Table3235[[#This Row],[4th hour V sem]]</f>
        <v>MA (B)</v>
      </c>
      <c r="AP50" s="57" t="str">
        <f>Table3235[[#This Row],[1st hour III Sem]]</f>
        <v xml:space="preserve"> </v>
      </c>
      <c r="AQ50" s="55" t="str">
        <f>Table3235[[#This Row],[2nd hour III Sem]]</f>
        <v>CA (B)</v>
      </c>
      <c r="AR50" s="55" t="str">
        <f>Table3235[[#This Row],[3rd hour III Sem]]</f>
        <v>CA (K)</v>
      </c>
      <c r="AS50" s="58" t="str">
        <f>Table3235[[#This Row],[4th hour III Sem]]</f>
        <v xml:space="preserve"> </v>
      </c>
      <c r="AT50" s="57" t="str">
        <f>Table3235[[#This Row],[1st hour I Sem]]</f>
        <v xml:space="preserve"> </v>
      </c>
      <c r="AU50" s="55" t="str">
        <f>Table3235[[#This Row],[2nd hour I Sem]]</f>
        <v xml:space="preserve"> </v>
      </c>
      <c r="AV50" s="55" t="str">
        <f>Table3235[[#This Row],[3rd hour I Sem]]</f>
        <v xml:space="preserve"> </v>
      </c>
      <c r="AW50" s="64" t="str">
        <f>Table3235[[#This Row],[4th hour I Sem]]</f>
        <v xml:space="preserve"> </v>
      </c>
      <c r="AX50" s="56" t="str">
        <f>Table32356[[#This Row],[1st hour V sem]]</f>
        <v xml:space="preserve"> </v>
      </c>
      <c r="AY50" s="55" t="str">
        <f>Table32356[[#This Row],[2nd hour V sem]]</f>
        <v xml:space="preserve"> </v>
      </c>
      <c r="AZ50" s="55" t="str">
        <f>Table32356[[#This Row],[3rd hour V sem]]</f>
        <v xml:space="preserve"> </v>
      </c>
      <c r="BA50" s="58" t="str">
        <f>Table32356[[#This Row],[4th hour V sem]]</f>
        <v xml:space="preserve"> </v>
      </c>
      <c r="BB50" s="57" t="str">
        <f>Table32356[[#This Row],[1st hour III Sem]]</f>
        <v>CA (N)</v>
      </c>
      <c r="BC50" s="55" t="str">
        <f>Table32356[[#This Row],[2nd hour III Sem]]</f>
        <v>CA (B)</v>
      </c>
      <c r="BD50" s="55" t="str">
        <f>Table32356[[#This Row],[3rd hour III Sem]]</f>
        <v>CA (K)</v>
      </c>
      <c r="BE50" s="58" t="str">
        <f>Table32356[[#This Row],[4th hour III Sem]]</f>
        <v xml:space="preserve"> </v>
      </c>
      <c r="BF50" s="57" t="str">
        <f>Table32356[[#This Row],[1st hour I Sem]]</f>
        <v xml:space="preserve"> </v>
      </c>
      <c r="BG50" s="55" t="str">
        <f>Table32356[[#This Row],[2nd hour I Sem]]</f>
        <v xml:space="preserve"> </v>
      </c>
      <c r="BH50" s="55" t="str">
        <f>Table32356[[#This Row],[3rd hour I Sem]]</f>
        <v xml:space="preserve"> </v>
      </c>
      <c r="BI50" s="64" t="str">
        <f>Table32356[[#This Row],[4th hour I Sem]]</f>
        <v xml:space="preserve"> </v>
      </c>
      <c r="BJ50" s="56" t="str">
        <f>Table323567[[#This Row],[1st hour V sem]]</f>
        <v xml:space="preserve"> </v>
      </c>
      <c r="BK50" s="55" t="str">
        <f>Table323567[[#This Row],[2nd hour V sem]]</f>
        <v xml:space="preserve"> </v>
      </c>
      <c r="BL50" s="55" t="str">
        <f>Table323567[[#This Row],[3rd hour V sem]]</f>
        <v>MA (B)</v>
      </c>
      <c r="BM50" s="58" t="str">
        <f>Table323567[[#This Row],[4th hour V sem]]</f>
        <v xml:space="preserve"> </v>
      </c>
      <c r="BN50" s="57" t="str">
        <f>Table323567[[#This Row],[1st hour III Sem]]</f>
        <v xml:space="preserve">CA </v>
      </c>
      <c r="BO50" s="55" t="str">
        <f>Table323567[[#This Row],[2nd hour III Sem]]</f>
        <v xml:space="preserve"> </v>
      </c>
      <c r="BP50" s="55" t="str">
        <f>Table323567[[#This Row],[3rd hour III Sem]]</f>
        <v xml:space="preserve"> </v>
      </c>
      <c r="BQ50" s="58" t="str">
        <f>Table323567[[#This Row],[4th hour III Sem]]</f>
        <v xml:space="preserve"> </v>
      </c>
      <c r="BR50" s="57" t="str">
        <f>Table323567[[#This Row],[1st hour I Sem]]</f>
        <v xml:space="preserve"> </v>
      </c>
      <c r="BS50" s="55" t="str">
        <f>Table323567[[#This Row],[2nd hour I Sem]]</f>
        <v xml:space="preserve"> </v>
      </c>
      <c r="BT50" s="55" t="str">
        <f>Table323567[[#This Row],[3rd hour I Sem]]</f>
        <v xml:space="preserve"> </v>
      </c>
      <c r="BU50" s="64" t="str">
        <f>Table323567[[#This Row],[Column1]]</f>
        <v xml:space="preserve"> </v>
      </c>
    </row>
    <row r="51" spans="1:73" s="54" customFormat="1" x14ac:dyDescent="0.35">
      <c r="A51" s="165" t="str">
        <f>Mon!U51</f>
        <v>(UK)</v>
      </c>
      <c r="B51" s="56" t="str">
        <f>Table3[[#This Row],[1st hour V sem]]</f>
        <v xml:space="preserve"> </v>
      </c>
      <c r="C51" s="55" t="str">
        <f>Table3[[#This Row],[2nd hour V sem]]</f>
        <v>IT (F)</v>
      </c>
      <c r="D51" s="55" t="str">
        <f>Table3[[#This Row],[3rd hour V sem]]</f>
        <v>IT (B)</v>
      </c>
      <c r="E51" s="58" t="str">
        <f>Table3[[#This Row],[4th hour V sem]]</f>
        <v xml:space="preserve"> </v>
      </c>
      <c r="F51" s="57" t="str">
        <f>Table3[[#This Row],[1st hour III Sem]]</f>
        <v xml:space="preserve"> </v>
      </c>
      <c r="G51" s="55" t="str">
        <f>Table3[[#This Row],[2nd hour III Sem]]</f>
        <v xml:space="preserve"> </v>
      </c>
      <c r="H51" s="55" t="str">
        <f>Table3[[#This Row],[3rd hour III Sem]]</f>
        <v xml:space="preserve"> </v>
      </c>
      <c r="I51" s="58" t="str">
        <f>Table3[[#This Row],[4th hour III Sem]]</f>
        <v xml:space="preserve"> </v>
      </c>
      <c r="J51" s="57" t="str">
        <f>Table3[[#This Row],[1st hour I Sem]]</f>
        <v xml:space="preserve"> </v>
      </c>
      <c r="K51" s="55" t="str">
        <f>Table3[[#This Row],[2nd hour I Sem]]</f>
        <v xml:space="preserve"> </v>
      </c>
      <c r="L51" s="55" t="str">
        <f>Table3[[#This Row],[3rd hour I Sem]]</f>
        <v xml:space="preserve"> </v>
      </c>
      <c r="M51" s="55" t="str">
        <f>Table3[[#This Row],[4th hour I Sem]]</f>
        <v xml:space="preserve"> </v>
      </c>
      <c r="N51" s="56" t="str">
        <f>Table32[[#This Row],[1st hour V sem]]</f>
        <v>IT (G)</v>
      </c>
      <c r="O51" s="55" t="str">
        <f>Table32[[#This Row],[2nd hour V sem]]</f>
        <v xml:space="preserve"> </v>
      </c>
      <c r="P51" s="55" t="str">
        <f>Table32[[#This Row],[3rd hour V sem]]</f>
        <v>IT (B)</v>
      </c>
      <c r="Q51" s="73" t="str">
        <f>Table32[[#This Row],[4th hour V sem]]</f>
        <v xml:space="preserve"> </v>
      </c>
      <c r="R51" s="57" t="str">
        <f>Table32[[#This Row],[1st hour III Sem]]</f>
        <v xml:space="preserve"> </v>
      </c>
      <c r="S51" s="55" t="str">
        <f>Table32[[#This Row],[2nd hour III Sem]]</f>
        <v xml:space="preserve"> </v>
      </c>
      <c r="T51" s="55" t="str">
        <f>Table32[[#This Row],[3rd hour III Sem]]</f>
        <v xml:space="preserve"> </v>
      </c>
      <c r="U51" s="58" t="str">
        <f>Table32[[#This Row],[4th hour III Sem]]</f>
        <v xml:space="preserve"> </v>
      </c>
      <c r="V51" s="74" t="str">
        <f>Table32[[#This Row],[1st hour I Sem]]</f>
        <v xml:space="preserve"> </v>
      </c>
      <c r="W51" s="55" t="str">
        <f>Table32[[#This Row],[2nd hour I Sem]]</f>
        <v xml:space="preserve"> </v>
      </c>
      <c r="X51" s="55" t="str">
        <f>Table32[[#This Row],[3rd hour I Sem]]</f>
        <v xml:space="preserve"> </v>
      </c>
      <c r="Y51" s="64" t="str">
        <f>Table32[[#This Row],[4th hour I Sem]]</f>
        <v xml:space="preserve"> </v>
      </c>
      <c r="Z51" s="56" t="str">
        <f>Table323[[#This Row],[1st hour V sem]]</f>
        <v xml:space="preserve"> </v>
      </c>
      <c r="AA51" s="55" t="str">
        <f>Table323[[#This Row],[2nd hour V sem]]</f>
        <v>IT (G)</v>
      </c>
      <c r="AB51" s="55" t="str">
        <f>Table323[[#This Row],[3rd hour V sem]]</f>
        <v>IT (F)</v>
      </c>
      <c r="AC51" s="58" t="str">
        <f>Table323[[#This Row],[4th hour V sem]]</f>
        <v xml:space="preserve"> </v>
      </c>
      <c r="AD51" s="57" t="str">
        <f>Table323[[#This Row],[1st hour III Sem]]</f>
        <v xml:space="preserve"> </v>
      </c>
      <c r="AE51" s="55" t="str">
        <f>Table323[[#This Row],[2nd hour III Sem]]</f>
        <v xml:space="preserve"> </v>
      </c>
      <c r="AF51" s="55" t="str">
        <f>Table323[[#This Row],[3rd hour III Sem]]</f>
        <v xml:space="preserve"> </v>
      </c>
      <c r="AG51" s="58" t="str">
        <f>Table323[[#This Row],[4th hour III Sem]]</f>
        <v xml:space="preserve"> </v>
      </c>
      <c r="AH51" s="57" t="str">
        <f>Table323[[#This Row],[1st hour I Sem]]</f>
        <v xml:space="preserve"> </v>
      </c>
      <c r="AI51" s="55" t="str">
        <f>Table323[[#This Row],[2nd hour I Sem]]</f>
        <v xml:space="preserve"> </v>
      </c>
      <c r="AJ51" s="55" t="str">
        <f>Table323[[#This Row],[3rd hour I Sem]]</f>
        <v xml:space="preserve"> </v>
      </c>
      <c r="AK51" s="64" t="str">
        <f>Table323[[#This Row],[4th hour I Sem]]</f>
        <v xml:space="preserve"> </v>
      </c>
      <c r="AL51" s="56" t="str">
        <f>Table3235[[#This Row],[1st hour V sem]]</f>
        <v>IT (G)</v>
      </c>
      <c r="AM51" s="55" t="str">
        <f>Table3235[[#This Row],[2nd hour V sem]]</f>
        <v xml:space="preserve"> </v>
      </c>
      <c r="AN51" s="55" t="str">
        <f>Table3235[[#This Row],[3rd hour V sem]]</f>
        <v xml:space="preserve"> </v>
      </c>
      <c r="AO51" s="58" t="str">
        <f>Table3235[[#This Row],[4th hour V sem]]</f>
        <v>IT (F)</v>
      </c>
      <c r="AP51" s="57" t="str">
        <f>Table3235[[#This Row],[1st hour III Sem]]</f>
        <v xml:space="preserve"> </v>
      </c>
      <c r="AQ51" s="55" t="str">
        <f>Table3235[[#This Row],[2nd hour III Sem]]</f>
        <v xml:space="preserve"> </v>
      </c>
      <c r="AR51" s="55" t="str">
        <f>Table3235[[#This Row],[3rd hour III Sem]]</f>
        <v xml:space="preserve"> </v>
      </c>
      <c r="AS51" s="58" t="str">
        <f>Table3235[[#This Row],[4th hour III Sem]]</f>
        <v xml:space="preserve"> </v>
      </c>
      <c r="AT51" s="57" t="str">
        <f>Table3235[[#This Row],[1st hour I Sem]]</f>
        <v xml:space="preserve"> </v>
      </c>
      <c r="AU51" s="55" t="str">
        <f>Table3235[[#This Row],[2nd hour I Sem]]</f>
        <v xml:space="preserve"> </v>
      </c>
      <c r="AV51" s="55" t="str">
        <f>Table3235[[#This Row],[3rd hour I Sem]]</f>
        <v xml:space="preserve"> </v>
      </c>
      <c r="AW51" s="64" t="str">
        <f>Table3235[[#This Row],[4th hour I Sem]]</f>
        <v xml:space="preserve"> </v>
      </c>
      <c r="AX51" s="56" t="str">
        <f>Table32356[[#This Row],[1st hour V sem]]</f>
        <v>IT (F)</v>
      </c>
      <c r="AY51" s="55" t="str">
        <f>Table32356[[#This Row],[2nd hour V sem]]</f>
        <v xml:space="preserve"> </v>
      </c>
      <c r="AZ51" s="55" t="str">
        <f>Table32356[[#This Row],[3rd hour V sem]]</f>
        <v>IT (L)</v>
      </c>
      <c r="BA51" s="58" t="str">
        <f>Table32356[[#This Row],[4th hour V sem]]</f>
        <v>IT (B)</v>
      </c>
      <c r="BB51" s="57" t="str">
        <f>Table32356[[#This Row],[1st hour III Sem]]</f>
        <v xml:space="preserve"> </v>
      </c>
      <c r="BC51" s="55" t="str">
        <f>Table32356[[#This Row],[2nd hour III Sem]]</f>
        <v xml:space="preserve"> </v>
      </c>
      <c r="BD51" s="55" t="str">
        <f>Table32356[[#This Row],[3rd hour III Sem]]</f>
        <v xml:space="preserve"> </v>
      </c>
      <c r="BE51" s="58" t="str">
        <f>Table32356[[#This Row],[4th hour III Sem]]</f>
        <v xml:space="preserve"> </v>
      </c>
      <c r="BF51" s="57" t="str">
        <f>Table32356[[#This Row],[1st hour I Sem]]</f>
        <v xml:space="preserve"> </v>
      </c>
      <c r="BG51" s="55" t="str">
        <f>Table32356[[#This Row],[2nd hour I Sem]]</f>
        <v xml:space="preserve"> </v>
      </c>
      <c r="BH51" s="55" t="str">
        <f>Table32356[[#This Row],[3rd hour I Sem]]</f>
        <v xml:space="preserve"> </v>
      </c>
      <c r="BI51" s="64" t="str">
        <f>Table32356[[#This Row],[4th hour I Sem]]</f>
        <v xml:space="preserve"> </v>
      </c>
      <c r="BJ51" s="56" t="str">
        <f>Table323567[[#This Row],[1st hour V sem]]</f>
        <v>IT (B)</v>
      </c>
      <c r="BK51" s="55" t="str">
        <f>Table323567[[#This Row],[2nd hour V sem]]</f>
        <v xml:space="preserve"> </v>
      </c>
      <c r="BL51" s="55" t="str">
        <f>Table323567[[#This Row],[3rd hour V sem]]</f>
        <v>IT (G)</v>
      </c>
      <c r="BM51" s="58" t="str">
        <f>Table323567[[#This Row],[4th hour V sem]]</f>
        <v xml:space="preserve"> </v>
      </c>
      <c r="BN51" s="57" t="str">
        <f>Table323567[[#This Row],[1st hour III Sem]]</f>
        <v xml:space="preserve"> </v>
      </c>
      <c r="BO51" s="55" t="str">
        <f>Table323567[[#This Row],[2nd hour III Sem]]</f>
        <v xml:space="preserve"> </v>
      </c>
      <c r="BP51" s="55" t="str">
        <f>Table323567[[#This Row],[3rd hour III Sem]]</f>
        <v xml:space="preserve"> </v>
      </c>
      <c r="BQ51" s="58" t="str">
        <f>Table323567[[#This Row],[4th hour III Sem]]</f>
        <v xml:space="preserve"> </v>
      </c>
      <c r="BR51" s="57" t="str">
        <f>Table323567[[#This Row],[1st hour I Sem]]</f>
        <v xml:space="preserve"> </v>
      </c>
      <c r="BS51" s="55" t="str">
        <f>Table323567[[#This Row],[2nd hour I Sem]]</f>
        <v xml:space="preserve"> </v>
      </c>
      <c r="BT51" s="55" t="str">
        <f>Table323567[[#This Row],[3rd hour I Sem]]</f>
        <v xml:space="preserve"> </v>
      </c>
      <c r="BU51" s="64" t="str">
        <f>Table323567[[#This Row],[Column1]]</f>
        <v xml:space="preserve"> </v>
      </c>
    </row>
    <row r="52" spans="1:73" s="54" customFormat="1" x14ac:dyDescent="0.35">
      <c r="A52" s="165" t="str">
        <f>Mon!U52</f>
        <v>(VA)</v>
      </c>
      <c r="B52" s="56" t="str">
        <f>Table3[[#This Row],[1st hour V sem]]</f>
        <v xml:space="preserve"> </v>
      </c>
      <c r="C52" s="55" t="str">
        <f>Table3[[#This Row],[2nd hour V sem]]</f>
        <v xml:space="preserve"> </v>
      </c>
      <c r="D52" s="55" t="str">
        <f>Table3[[#This Row],[3rd hour V sem]]</f>
        <v xml:space="preserve"> </v>
      </c>
      <c r="E52" s="58" t="str">
        <f>Table3[[#This Row],[4th hour V sem]]</f>
        <v xml:space="preserve"> </v>
      </c>
      <c r="F52" s="57" t="str">
        <f>Table3[[#This Row],[1st hour III Sem]]</f>
        <v xml:space="preserve"> </v>
      </c>
      <c r="G52" s="55" t="str">
        <f>Table3[[#This Row],[2nd hour III Sem]]</f>
        <v xml:space="preserve"> </v>
      </c>
      <c r="H52" s="55" t="str">
        <f>Table3[[#This Row],[3rd hour III Sem]]</f>
        <v>CA (C)</v>
      </c>
      <c r="I52" s="58" t="str">
        <f>Table3[[#This Row],[4th hour III Sem]]</f>
        <v>CA (F)</v>
      </c>
      <c r="J52" s="57" t="str">
        <f>Table3[[#This Row],[1st hour I Sem]]</f>
        <v xml:space="preserve"> </v>
      </c>
      <c r="K52" s="55" t="str">
        <f>Table3[[#This Row],[2nd hour I Sem]]</f>
        <v xml:space="preserve"> </v>
      </c>
      <c r="L52" s="55" t="str">
        <f>Table3[[#This Row],[3rd hour I Sem]]</f>
        <v xml:space="preserve"> </v>
      </c>
      <c r="M52" s="55" t="str">
        <f>Table3[[#This Row],[4th hour I Sem]]</f>
        <v>FA (K)</v>
      </c>
      <c r="N52" s="56" t="str">
        <f>Table32[[#This Row],[1st hour V sem]]</f>
        <v xml:space="preserve"> </v>
      </c>
      <c r="O52" s="55" t="str">
        <f>Table32[[#This Row],[2nd hour V sem]]</f>
        <v xml:space="preserve"> </v>
      </c>
      <c r="P52" s="55" t="str">
        <f>Table32[[#This Row],[3rd hour V sem]]</f>
        <v xml:space="preserve"> </v>
      </c>
      <c r="Q52" s="73" t="str">
        <f>Table32[[#This Row],[4th hour V sem]]</f>
        <v xml:space="preserve"> </v>
      </c>
      <c r="R52" s="57" t="str">
        <f>Table32[[#This Row],[1st hour III Sem]]</f>
        <v>CA (I)</v>
      </c>
      <c r="S52" s="55" t="str">
        <f>Table32[[#This Row],[2nd hour III Sem]]</f>
        <v>CA (C)</v>
      </c>
      <c r="T52" s="55" t="str">
        <f>Table32[[#This Row],[3rd hour III Sem]]</f>
        <v xml:space="preserve"> </v>
      </c>
      <c r="U52" s="58" t="str">
        <f>Table32[[#This Row],[4th hour III Sem]]</f>
        <v>CA (F)</v>
      </c>
      <c r="V52" s="74" t="str">
        <f>Table32[[#This Row],[1st hour I Sem]]</f>
        <v xml:space="preserve"> </v>
      </c>
      <c r="W52" s="55" t="str">
        <f>Table32[[#This Row],[2nd hour I Sem]]</f>
        <v>FA (J)</v>
      </c>
      <c r="X52" s="55" t="str">
        <f>Table32[[#This Row],[3rd hour I Sem]]</f>
        <v xml:space="preserve"> </v>
      </c>
      <c r="Y52" s="64" t="str">
        <f>Table32[[#This Row],[4th hour I Sem]]</f>
        <v xml:space="preserve"> </v>
      </c>
      <c r="Z52" s="56" t="str">
        <f>Table323[[#This Row],[1st hour V sem]]</f>
        <v xml:space="preserve"> </v>
      </c>
      <c r="AA52" s="55" t="str">
        <f>Table323[[#This Row],[2nd hour V sem]]</f>
        <v xml:space="preserve"> </v>
      </c>
      <c r="AB52" s="55" t="str">
        <f>Table323[[#This Row],[3rd hour V sem]]</f>
        <v xml:space="preserve"> </v>
      </c>
      <c r="AC52" s="58" t="str">
        <f>Table323[[#This Row],[4th hour V sem]]</f>
        <v xml:space="preserve"> </v>
      </c>
      <c r="AD52" s="57" t="str">
        <f>Table323[[#This Row],[1st hour III Sem]]</f>
        <v>CA (I)</v>
      </c>
      <c r="AE52" s="55" t="str">
        <f>Table323[[#This Row],[2nd hour III Sem]]</f>
        <v xml:space="preserve"> </v>
      </c>
      <c r="AF52" s="55" t="str">
        <f>Table323[[#This Row],[3rd hour III Sem]]</f>
        <v xml:space="preserve"> </v>
      </c>
      <c r="AG52" s="58" t="str">
        <f>Table323[[#This Row],[4th hour III Sem]]</f>
        <v xml:space="preserve"> </v>
      </c>
      <c r="AH52" s="57" t="str">
        <f>Table323[[#This Row],[1st hour I Sem]]</f>
        <v xml:space="preserve"> </v>
      </c>
      <c r="AI52" s="55" t="str">
        <f>Table323[[#This Row],[2nd hour I Sem]]</f>
        <v xml:space="preserve"> </v>
      </c>
      <c r="AJ52" s="55" t="str">
        <f>Table323[[#This Row],[3rd hour I Sem]]</f>
        <v>FA (J)</v>
      </c>
      <c r="AK52" s="64" t="str">
        <f>Table323[[#This Row],[4th hour I Sem]]</f>
        <v xml:space="preserve"> </v>
      </c>
      <c r="AL52" s="56" t="str">
        <f>Table3235[[#This Row],[1st hour V sem]]</f>
        <v xml:space="preserve"> </v>
      </c>
      <c r="AM52" s="55" t="str">
        <f>Table3235[[#This Row],[2nd hour V sem]]</f>
        <v xml:space="preserve"> </v>
      </c>
      <c r="AN52" s="55" t="str">
        <f>Table3235[[#This Row],[3rd hour V sem]]</f>
        <v xml:space="preserve"> </v>
      </c>
      <c r="AO52" s="58" t="str">
        <f>Table3235[[#This Row],[4th hour V sem]]</f>
        <v xml:space="preserve"> </v>
      </c>
      <c r="AP52" s="57" t="str">
        <f>Table3235[[#This Row],[1st hour III Sem]]</f>
        <v xml:space="preserve"> </v>
      </c>
      <c r="AQ52" s="55" t="str">
        <f>Table3235[[#This Row],[2nd hour III Sem]]</f>
        <v>CA (C)</v>
      </c>
      <c r="AR52" s="55" t="str">
        <f>Table3235[[#This Row],[3rd hour III Sem]]</f>
        <v>CA (F)</v>
      </c>
      <c r="AS52" s="58" t="str">
        <f>Table3235[[#This Row],[4th hour III Sem]]</f>
        <v xml:space="preserve"> </v>
      </c>
      <c r="AT52" s="57" t="str">
        <f>Table3235[[#This Row],[1st hour I Sem]]</f>
        <v xml:space="preserve"> </v>
      </c>
      <c r="AU52" s="55" t="str">
        <f>Table3235[[#This Row],[2nd hour I Sem]]</f>
        <v xml:space="preserve"> </v>
      </c>
      <c r="AV52" s="55" t="str">
        <f>Table3235[[#This Row],[3rd hour I Sem]]</f>
        <v>FA (J)</v>
      </c>
      <c r="AW52" s="64" t="str">
        <f>Table3235[[#This Row],[4th hour I Sem]]</f>
        <v xml:space="preserve"> </v>
      </c>
      <c r="AX52" s="56" t="str">
        <f>Table32356[[#This Row],[1st hour V sem]]</f>
        <v xml:space="preserve"> </v>
      </c>
      <c r="AY52" s="55" t="str">
        <f>Table32356[[#This Row],[2nd hour V sem]]</f>
        <v xml:space="preserve"> </v>
      </c>
      <c r="AZ52" s="55" t="str">
        <f>Table32356[[#This Row],[3rd hour V sem]]</f>
        <v xml:space="preserve"> </v>
      </c>
      <c r="BA52" s="58" t="str">
        <f>Table32356[[#This Row],[4th hour V sem]]</f>
        <v xml:space="preserve"> </v>
      </c>
      <c r="BB52" s="57" t="str">
        <f>Table32356[[#This Row],[1st hour III Sem]]</f>
        <v xml:space="preserve"> </v>
      </c>
      <c r="BC52" s="55" t="str">
        <f>Table32356[[#This Row],[2nd hour III Sem]]</f>
        <v>CA (C)</v>
      </c>
      <c r="BD52" s="55" t="str">
        <f>Table32356[[#This Row],[3rd hour III Sem]]</f>
        <v>CA (I)</v>
      </c>
      <c r="BE52" s="58" t="str">
        <f>Table32356[[#This Row],[4th hour III Sem]]</f>
        <v xml:space="preserve"> </v>
      </c>
      <c r="BF52" s="57" t="str">
        <f>Table32356[[#This Row],[1st hour I Sem]]</f>
        <v>FA (J)</v>
      </c>
      <c r="BG52" s="55" t="str">
        <f>Table32356[[#This Row],[2nd hour I Sem]]</f>
        <v xml:space="preserve"> </v>
      </c>
      <c r="BH52" s="55" t="str">
        <f>Table32356[[#This Row],[3rd hour I Sem]]</f>
        <v xml:space="preserve"> </v>
      </c>
      <c r="BI52" s="64" t="str">
        <f>Table32356[[#This Row],[4th hour I Sem]]</f>
        <v xml:space="preserve"> </v>
      </c>
      <c r="BJ52" s="56" t="str">
        <f>Table323567[[#This Row],[1st hour V sem]]</f>
        <v xml:space="preserve"> </v>
      </c>
      <c r="BK52" s="55" t="str">
        <f>Table323567[[#This Row],[2nd hour V sem]]</f>
        <v xml:space="preserve"> </v>
      </c>
      <c r="BL52" s="55" t="str">
        <f>Table323567[[#This Row],[3rd hour V sem]]</f>
        <v xml:space="preserve"> </v>
      </c>
      <c r="BM52" s="58" t="str">
        <f>Table323567[[#This Row],[4th hour V sem]]</f>
        <v xml:space="preserve"> </v>
      </c>
      <c r="BN52" s="57" t="str">
        <f>Table323567[[#This Row],[1st hour III Sem]]</f>
        <v>CA (I)</v>
      </c>
      <c r="BO52" s="55" t="str">
        <f>Table323567[[#This Row],[2nd hour III Sem]]</f>
        <v xml:space="preserve"> </v>
      </c>
      <c r="BP52" s="55" t="str">
        <f>Table323567[[#This Row],[3rd hour III Sem]]</f>
        <v>CA (F)</v>
      </c>
      <c r="BQ52" s="58" t="str">
        <f>Table323567[[#This Row],[4th hour III Sem]]</f>
        <v xml:space="preserve"> </v>
      </c>
      <c r="BR52" s="57" t="str">
        <f>Table323567[[#This Row],[1st hour I Sem]]</f>
        <v xml:space="preserve"> </v>
      </c>
      <c r="BS52" s="55" t="str">
        <f>Table323567[[#This Row],[2nd hour I Sem]]</f>
        <v>FA (K)</v>
      </c>
      <c r="BT52" s="55" t="str">
        <f>Table323567[[#This Row],[3rd hour I Sem]]</f>
        <v xml:space="preserve"> </v>
      </c>
      <c r="BU52" s="64" t="str">
        <f>Table323567[[#This Row],[Column1]]</f>
        <v xml:space="preserve"> </v>
      </c>
    </row>
    <row r="53" spans="1:73" s="54" customFormat="1" x14ac:dyDescent="0.35">
      <c r="A53" s="165" t="str">
        <f>Mon!U53</f>
        <v>(VAR)</v>
      </c>
      <c r="B53" s="56" t="str">
        <f>Table3[[#This Row],[1st hour V sem]]</f>
        <v xml:space="preserve"> </v>
      </c>
      <c r="C53" s="55" t="str">
        <f>Table3[[#This Row],[2nd hour V sem]]</f>
        <v xml:space="preserve"> </v>
      </c>
      <c r="D53" s="55" t="str">
        <f>Table3[[#This Row],[3rd hour V sem]]</f>
        <v>IF (C)</v>
      </c>
      <c r="E53" s="58" t="str">
        <f>Table3[[#This Row],[4th hour V sem]]</f>
        <v>IF (F)</v>
      </c>
      <c r="F53" s="57" t="str">
        <f>Table3[[#This Row],[1st hour III Sem]]</f>
        <v>MM (G)</v>
      </c>
      <c r="G53" s="55" t="str">
        <f>Table3[[#This Row],[2nd hour III Sem]]</f>
        <v xml:space="preserve"> </v>
      </c>
      <c r="H53" s="55" t="str">
        <f>Table3[[#This Row],[3rd hour III Sem]]</f>
        <v xml:space="preserve"> </v>
      </c>
      <c r="I53" s="58" t="str">
        <f>Table3[[#This Row],[4th hour III Sem]]</f>
        <v xml:space="preserve"> </v>
      </c>
      <c r="J53" s="57" t="str">
        <f>Table3[[#This Row],[1st hour I Sem]]</f>
        <v xml:space="preserve"> </v>
      </c>
      <c r="K53" s="55" t="str">
        <f>Table3[[#This Row],[2nd hour I Sem]]</f>
        <v xml:space="preserve"> </v>
      </c>
      <c r="L53" s="55" t="str">
        <f>Table3[[#This Row],[3rd hour I Sem]]</f>
        <v xml:space="preserve"> </v>
      </c>
      <c r="M53" s="55" t="str">
        <f>Table3[[#This Row],[4th hour I Sem]]</f>
        <v xml:space="preserve"> </v>
      </c>
      <c r="N53" s="56" t="str">
        <f>Table32[[#This Row],[1st hour V sem]]</f>
        <v xml:space="preserve"> </v>
      </c>
      <c r="O53" s="55" t="str">
        <f>Table32[[#This Row],[2nd hour V sem]]</f>
        <v xml:space="preserve"> </v>
      </c>
      <c r="P53" s="55" t="str">
        <f>Table32[[#This Row],[3rd hour V sem]]</f>
        <v>IF (A)</v>
      </c>
      <c r="Q53" s="73" t="str">
        <f>Table32[[#This Row],[4th hour V sem]]</f>
        <v>IF (D)</v>
      </c>
      <c r="R53" s="57" t="str">
        <f>Table32[[#This Row],[1st hour III Sem]]</f>
        <v>MM (G)</v>
      </c>
      <c r="S53" s="55" t="str">
        <f>Table32[[#This Row],[2nd hour III Sem]]</f>
        <v xml:space="preserve"> </v>
      </c>
      <c r="T53" s="55" t="str">
        <f>Table32[[#This Row],[3rd hour III Sem]]</f>
        <v xml:space="preserve"> </v>
      </c>
      <c r="U53" s="58" t="str">
        <f>Table32[[#This Row],[4th hour III Sem]]</f>
        <v xml:space="preserve"> </v>
      </c>
      <c r="V53" s="74" t="str">
        <f>Table32[[#This Row],[1st hour I Sem]]</f>
        <v xml:space="preserve"> </v>
      </c>
      <c r="W53" s="55" t="str">
        <f>Table32[[#This Row],[2nd hour I Sem]]</f>
        <v xml:space="preserve"> </v>
      </c>
      <c r="X53" s="55" t="str">
        <f>Table32[[#This Row],[3rd hour I Sem]]</f>
        <v xml:space="preserve"> </v>
      </c>
      <c r="Y53" s="64" t="str">
        <f>Table32[[#This Row],[4th hour I Sem]]</f>
        <v xml:space="preserve"> </v>
      </c>
      <c r="Z53" s="56" t="str">
        <f>Table323[[#This Row],[1st hour V sem]]</f>
        <v>IF (C)</v>
      </c>
      <c r="AA53" s="55" t="str">
        <f>Table323[[#This Row],[2nd hour V sem]]</f>
        <v>IF (A)</v>
      </c>
      <c r="AB53" s="55" t="str">
        <f>Table323[[#This Row],[3rd hour V sem]]</f>
        <v>AA (B)</v>
      </c>
      <c r="AC53" s="58" t="str">
        <f>Table323[[#This Row],[4th hour V sem]]</f>
        <v xml:space="preserve"> </v>
      </c>
      <c r="AD53" s="57" t="str">
        <f>Table323[[#This Row],[1st hour III Sem]]</f>
        <v xml:space="preserve"> </v>
      </c>
      <c r="AE53" s="55" t="str">
        <f>Table323[[#This Row],[2nd hour III Sem]]</f>
        <v xml:space="preserve"> </v>
      </c>
      <c r="AF53" s="55" t="str">
        <f>Table323[[#This Row],[3rd hour III Sem]]</f>
        <v xml:space="preserve"> </v>
      </c>
      <c r="AG53" s="58" t="str">
        <f>Table323[[#This Row],[4th hour III Sem]]</f>
        <v xml:space="preserve"> </v>
      </c>
      <c r="AH53" s="57" t="str">
        <f>Table323[[#This Row],[1st hour I Sem]]</f>
        <v xml:space="preserve"> </v>
      </c>
      <c r="AI53" s="55" t="str">
        <f>Table323[[#This Row],[2nd hour I Sem]]</f>
        <v xml:space="preserve"> </v>
      </c>
      <c r="AJ53" s="55" t="str">
        <f>Table323[[#This Row],[3rd hour I Sem]]</f>
        <v xml:space="preserve"> </v>
      </c>
      <c r="AK53" s="64" t="str">
        <f>Table323[[#This Row],[4th hour I Sem]]</f>
        <v xml:space="preserve"> </v>
      </c>
      <c r="AL53" s="56" t="str">
        <f>Table3235[[#This Row],[1st hour V sem]]</f>
        <v>AA (B)</v>
      </c>
      <c r="AM53" s="55" t="str">
        <f>Table3235[[#This Row],[2nd hour V sem]]</f>
        <v>IF (D)</v>
      </c>
      <c r="AN53" s="55" t="str">
        <f>Table3235[[#This Row],[3rd hour V sem]]</f>
        <v xml:space="preserve"> </v>
      </c>
      <c r="AO53" s="58" t="str">
        <f>Table3235[[#This Row],[4th hour V sem]]</f>
        <v>IF (C)</v>
      </c>
      <c r="AP53" s="57" t="str">
        <f>Table3235[[#This Row],[1st hour III Sem]]</f>
        <v xml:space="preserve"> </v>
      </c>
      <c r="AQ53" s="55" t="str">
        <f>Table3235[[#This Row],[2nd hour III Sem]]</f>
        <v xml:space="preserve"> </v>
      </c>
      <c r="AR53" s="55" t="str">
        <f>Table3235[[#This Row],[3rd hour III Sem]]</f>
        <v xml:space="preserve"> </v>
      </c>
      <c r="AS53" s="58" t="str">
        <f>Table3235[[#This Row],[4th hour III Sem]]</f>
        <v xml:space="preserve"> </v>
      </c>
      <c r="AT53" s="57" t="str">
        <f>Table3235[[#This Row],[1st hour I Sem]]</f>
        <v xml:space="preserve"> </v>
      </c>
      <c r="AU53" s="55" t="str">
        <f>Table3235[[#This Row],[2nd hour I Sem]]</f>
        <v xml:space="preserve"> </v>
      </c>
      <c r="AV53" s="55" t="str">
        <f>Table3235[[#This Row],[3rd hour I Sem]]</f>
        <v xml:space="preserve"> </v>
      </c>
      <c r="AW53" s="64" t="str">
        <f>Table3235[[#This Row],[4th hour I Sem]]</f>
        <v xml:space="preserve"> </v>
      </c>
      <c r="AX53" s="56" t="str">
        <f>Table32356[[#This Row],[1st hour V sem]]</f>
        <v xml:space="preserve"> </v>
      </c>
      <c r="AY53" s="55" t="str">
        <f>Table32356[[#This Row],[2nd hour V sem]]</f>
        <v>IF (D)</v>
      </c>
      <c r="AZ53" s="55" t="str">
        <f>Table32356[[#This Row],[3rd hour V sem]]</f>
        <v>AA (B)</v>
      </c>
      <c r="BA53" s="58" t="str">
        <f>Table32356[[#This Row],[4th hour V sem]]</f>
        <v>IF (F)</v>
      </c>
      <c r="BB53" s="57" t="str">
        <f>Table32356[[#This Row],[1st hour III Sem]]</f>
        <v>MM (G)</v>
      </c>
      <c r="BC53" s="55" t="str">
        <f>Table32356[[#This Row],[2nd hour III Sem]]</f>
        <v xml:space="preserve"> </v>
      </c>
      <c r="BD53" s="55" t="str">
        <f>Table32356[[#This Row],[3rd hour III Sem]]</f>
        <v xml:space="preserve"> </v>
      </c>
      <c r="BE53" s="58" t="str">
        <f>Table32356[[#This Row],[4th hour III Sem]]</f>
        <v xml:space="preserve"> </v>
      </c>
      <c r="BF53" s="57" t="str">
        <f>Table32356[[#This Row],[1st hour I Sem]]</f>
        <v xml:space="preserve"> </v>
      </c>
      <c r="BG53" s="55" t="str">
        <f>Table32356[[#This Row],[2nd hour I Sem]]</f>
        <v xml:space="preserve"> </v>
      </c>
      <c r="BH53" s="55" t="str">
        <f>Table32356[[#This Row],[3rd hour I Sem]]</f>
        <v xml:space="preserve"> </v>
      </c>
      <c r="BI53" s="64" t="str">
        <f>Table32356[[#This Row],[4th hour I Sem]]</f>
        <v xml:space="preserve"> </v>
      </c>
      <c r="BJ53" s="56" t="str">
        <f>Table323567[[#This Row],[1st hour V sem]]</f>
        <v xml:space="preserve"> </v>
      </c>
      <c r="BK53" s="55" t="str">
        <f>Table323567[[#This Row],[2nd hour V sem]]</f>
        <v>IF (F)</v>
      </c>
      <c r="BL53" s="55" t="str">
        <f>Table323567[[#This Row],[3rd hour V sem]]</f>
        <v>IF (A)</v>
      </c>
      <c r="BM53" s="58" t="str">
        <f>Table323567[[#This Row],[4th hour V sem]]</f>
        <v xml:space="preserve"> </v>
      </c>
      <c r="BN53" s="57" t="str">
        <f>Table323567[[#This Row],[1st hour III Sem]]</f>
        <v xml:space="preserve"> </v>
      </c>
      <c r="BO53" s="55" t="str">
        <f>Table323567[[#This Row],[2nd hour III Sem]]</f>
        <v xml:space="preserve"> </v>
      </c>
      <c r="BP53" s="55" t="str">
        <f>Table323567[[#This Row],[3rd hour III Sem]]</f>
        <v xml:space="preserve"> </v>
      </c>
      <c r="BQ53" s="58" t="str">
        <f>Table323567[[#This Row],[4th hour III Sem]]</f>
        <v xml:space="preserve"> </v>
      </c>
      <c r="BR53" s="57" t="str">
        <f>Table323567[[#This Row],[1st hour I Sem]]</f>
        <v xml:space="preserve"> </v>
      </c>
      <c r="BS53" s="55" t="str">
        <f>Table323567[[#This Row],[2nd hour I Sem]]</f>
        <v xml:space="preserve"> </v>
      </c>
      <c r="BT53" s="55" t="str">
        <f>Table323567[[#This Row],[3rd hour I Sem]]</f>
        <v xml:space="preserve"> </v>
      </c>
      <c r="BU53" s="64" t="str">
        <f>Table323567[[#This Row],[Column1]]</f>
        <v xml:space="preserve"> </v>
      </c>
    </row>
    <row r="54" spans="1:73" s="54" customFormat="1" x14ac:dyDescent="0.35">
      <c r="A54" s="165" t="str">
        <f>Mon!U54</f>
        <v>(VIN)</v>
      </c>
      <c r="B54" s="56" t="str">
        <f>Table3[[#This Row],[1st hour V sem]]</f>
        <v xml:space="preserve"> </v>
      </c>
      <c r="C54" s="55" t="str">
        <f>Table3[[#This Row],[2nd hour V sem]]</f>
        <v xml:space="preserve"> </v>
      </c>
      <c r="D54" s="55" t="str">
        <f>Table3[[#This Row],[3rd hour V sem]]</f>
        <v xml:space="preserve"> </v>
      </c>
      <c r="E54" s="58" t="str">
        <f>Table3[[#This Row],[4th hour V sem]]</f>
        <v xml:space="preserve"> </v>
      </c>
      <c r="F54" s="57" t="str">
        <f>Table3[[#This Row],[1st hour III Sem]]</f>
        <v xml:space="preserve"> </v>
      </c>
      <c r="G54" s="55" t="str">
        <f>Table3[[#This Row],[2nd hour III Sem]]</f>
        <v xml:space="preserve"> </v>
      </c>
      <c r="H54" s="55" t="str">
        <f>Table3[[#This Row],[3rd hour III Sem]]</f>
        <v xml:space="preserve"> </v>
      </c>
      <c r="I54" s="58" t="str">
        <f>Table3[[#This Row],[4th hour III Sem]]</f>
        <v xml:space="preserve"> </v>
      </c>
      <c r="J54" s="57" t="str">
        <f>Table3[[#This Row],[1st hour I Sem]]</f>
        <v xml:space="preserve"> </v>
      </c>
      <c r="K54" s="55" t="str">
        <f>Table3[[#This Row],[2nd hour I Sem]]</f>
        <v>FA (B)</v>
      </c>
      <c r="L54" s="55" t="str">
        <f>Table3[[#This Row],[3rd hour I Sem]]</f>
        <v>FA (M)</v>
      </c>
      <c r="M54" s="55" t="str">
        <f>Table3[[#This Row],[4th hour I Sem]]</f>
        <v>FA (I)</v>
      </c>
      <c r="N54" s="56" t="str">
        <f>Table32[[#This Row],[1st hour V sem]]</f>
        <v xml:space="preserve"> </v>
      </c>
      <c r="O54" s="55" t="str">
        <f>Table32[[#This Row],[2nd hour V sem]]</f>
        <v xml:space="preserve"> </v>
      </c>
      <c r="P54" s="55" t="str">
        <f>Table32[[#This Row],[3rd hour V sem]]</f>
        <v xml:space="preserve"> </v>
      </c>
      <c r="Q54" s="73" t="str">
        <f>Table32[[#This Row],[4th hour V sem]]</f>
        <v xml:space="preserve"> </v>
      </c>
      <c r="R54" s="57" t="str">
        <f>Table32[[#This Row],[1st hour III Sem]]</f>
        <v xml:space="preserve"> </v>
      </c>
      <c r="S54" s="55" t="str">
        <f>Table32[[#This Row],[2nd hour III Sem]]</f>
        <v xml:space="preserve"> </v>
      </c>
      <c r="T54" s="55" t="str">
        <f>Table32[[#This Row],[3rd hour III Sem]]</f>
        <v xml:space="preserve"> </v>
      </c>
      <c r="U54" s="58" t="str">
        <f>Table32[[#This Row],[4th hour III Sem]]</f>
        <v xml:space="preserve"> </v>
      </c>
      <c r="V54" s="74" t="str">
        <f>Table32[[#This Row],[1st hour I Sem]]</f>
        <v>FA (G)</v>
      </c>
      <c r="W54" s="55" t="str">
        <f>Table32[[#This Row],[2nd hour I Sem]]</f>
        <v>FA (L)</v>
      </c>
      <c r="X54" s="55" t="str">
        <f>Table32[[#This Row],[3rd hour I Sem]]</f>
        <v xml:space="preserve"> </v>
      </c>
      <c r="Y54" s="64" t="str">
        <f>Table32[[#This Row],[4th hour I Sem]]</f>
        <v>FA (B)</v>
      </c>
      <c r="Z54" s="56" t="str">
        <f>Table323[[#This Row],[1st hour V sem]]</f>
        <v xml:space="preserve"> </v>
      </c>
      <c r="AA54" s="55" t="str">
        <f>Table323[[#This Row],[2nd hour V sem]]</f>
        <v xml:space="preserve"> </v>
      </c>
      <c r="AB54" s="55" t="str">
        <f>Table323[[#This Row],[3rd hour V sem]]</f>
        <v xml:space="preserve"> </v>
      </c>
      <c r="AC54" s="58" t="str">
        <f>Table323[[#This Row],[4th hour V sem]]</f>
        <v xml:space="preserve"> </v>
      </c>
      <c r="AD54" s="57" t="str">
        <f>Table323[[#This Row],[1st hour III Sem]]</f>
        <v xml:space="preserve"> </v>
      </c>
      <c r="AE54" s="55" t="str">
        <f>Table323[[#This Row],[2nd hour III Sem]]</f>
        <v xml:space="preserve"> </v>
      </c>
      <c r="AF54" s="55" t="str">
        <f>Table323[[#This Row],[3rd hour III Sem]]</f>
        <v xml:space="preserve"> </v>
      </c>
      <c r="AG54" s="58" t="str">
        <f>Table323[[#This Row],[4th hour III Sem]]</f>
        <v xml:space="preserve"> </v>
      </c>
      <c r="AH54" s="57" t="str">
        <f>Table323[[#This Row],[1st hour I Sem]]</f>
        <v>FA (B)</v>
      </c>
      <c r="AI54" s="55" t="str">
        <f>Table323[[#This Row],[2nd hour I Sem]]</f>
        <v>FA (L)</v>
      </c>
      <c r="AJ54" s="55" t="str">
        <f>Table323[[#This Row],[3rd hour I Sem]]</f>
        <v>FA (G)</v>
      </c>
      <c r="AK54" s="64" t="str">
        <f>Table323[[#This Row],[4th hour I Sem]]</f>
        <v>FA (I)</v>
      </c>
      <c r="AL54" s="56" t="str">
        <f>Table3235[[#This Row],[1st hour V sem]]</f>
        <v xml:space="preserve"> </v>
      </c>
      <c r="AM54" s="55" t="str">
        <f>Table3235[[#This Row],[2nd hour V sem]]</f>
        <v xml:space="preserve"> </v>
      </c>
      <c r="AN54" s="55" t="str">
        <f>Table3235[[#This Row],[3rd hour V sem]]</f>
        <v xml:space="preserve"> </v>
      </c>
      <c r="AO54" s="58" t="str">
        <f>Table3235[[#This Row],[4th hour V sem]]</f>
        <v xml:space="preserve"> </v>
      </c>
      <c r="AP54" s="57" t="str">
        <f>Table3235[[#This Row],[1st hour III Sem]]</f>
        <v xml:space="preserve"> </v>
      </c>
      <c r="AQ54" s="55" t="str">
        <f>Table3235[[#This Row],[2nd hour III Sem]]</f>
        <v xml:space="preserve"> </v>
      </c>
      <c r="AR54" s="55" t="str">
        <f>Table3235[[#This Row],[3rd hour III Sem]]</f>
        <v xml:space="preserve"> </v>
      </c>
      <c r="AS54" s="58" t="str">
        <f>Table3235[[#This Row],[4th hour III Sem]]</f>
        <v xml:space="preserve"> </v>
      </c>
      <c r="AT54" s="57" t="str">
        <f>Table3235[[#This Row],[1st hour I Sem]]</f>
        <v xml:space="preserve"> </v>
      </c>
      <c r="AU54" s="55" t="str">
        <f>Table3235[[#This Row],[2nd hour I Sem]]</f>
        <v xml:space="preserve"> </v>
      </c>
      <c r="AV54" s="55" t="str">
        <f>Table3235[[#This Row],[3rd hour I Sem]]</f>
        <v>FA (I)</v>
      </c>
      <c r="AW54" s="64" t="str">
        <f>Table3235[[#This Row],[4th hour I Sem]]</f>
        <v>FA (M)</v>
      </c>
      <c r="AX54" s="56" t="str">
        <f>Table32356[[#This Row],[1st hour V sem]]</f>
        <v xml:space="preserve"> </v>
      </c>
      <c r="AY54" s="55" t="str">
        <f>Table32356[[#This Row],[2nd hour V sem]]</f>
        <v xml:space="preserve"> </v>
      </c>
      <c r="AZ54" s="55" t="str">
        <f>Table32356[[#This Row],[3rd hour V sem]]</f>
        <v xml:space="preserve"> </v>
      </c>
      <c r="BA54" s="58" t="str">
        <f>Table32356[[#This Row],[4th hour V sem]]</f>
        <v xml:space="preserve"> </v>
      </c>
      <c r="BB54" s="57" t="str">
        <f>Table32356[[#This Row],[1st hour III Sem]]</f>
        <v xml:space="preserve"> </v>
      </c>
      <c r="BC54" s="55" t="str">
        <f>Table32356[[#This Row],[2nd hour III Sem]]</f>
        <v xml:space="preserve"> </v>
      </c>
      <c r="BD54" s="55" t="str">
        <f>Table32356[[#This Row],[3rd hour III Sem]]</f>
        <v xml:space="preserve"> </v>
      </c>
      <c r="BE54" s="58" t="str">
        <f>Table32356[[#This Row],[4th hour III Sem]]</f>
        <v xml:space="preserve"> </v>
      </c>
      <c r="BF54" s="57" t="str">
        <f>Table32356[[#This Row],[1st hour I Sem]]</f>
        <v>FA (I)</v>
      </c>
      <c r="BG54" s="55" t="str">
        <f>Table32356[[#This Row],[2nd hour I Sem]]</f>
        <v>FA (M)</v>
      </c>
      <c r="BH54" s="55" t="str">
        <f>Table32356[[#This Row],[3rd hour I Sem]]</f>
        <v>FA (G)</v>
      </c>
      <c r="BI54" s="64" t="str">
        <f>Table32356[[#This Row],[4th hour I Sem]]</f>
        <v>FA (B)</v>
      </c>
      <c r="BJ54" s="56" t="str">
        <f>Table323567[[#This Row],[1st hour V sem]]</f>
        <v xml:space="preserve"> </v>
      </c>
      <c r="BK54" s="55" t="str">
        <f>Table323567[[#This Row],[2nd hour V sem]]</f>
        <v xml:space="preserve"> </v>
      </c>
      <c r="BL54" s="55" t="str">
        <f>Table323567[[#This Row],[3rd hour V sem]]</f>
        <v xml:space="preserve"> </v>
      </c>
      <c r="BM54" s="58" t="str">
        <f>Table323567[[#This Row],[4th hour V sem]]</f>
        <v xml:space="preserve"> </v>
      </c>
      <c r="BN54" s="57" t="str">
        <f>Table323567[[#This Row],[1st hour III Sem]]</f>
        <v xml:space="preserve"> </v>
      </c>
      <c r="BO54" s="55" t="str">
        <f>Table323567[[#This Row],[2nd hour III Sem]]</f>
        <v xml:space="preserve"> </v>
      </c>
      <c r="BP54" s="55" t="str">
        <f>Table323567[[#This Row],[3rd hour III Sem]]</f>
        <v xml:space="preserve"> </v>
      </c>
      <c r="BQ54" s="58" t="str">
        <f>Table323567[[#This Row],[4th hour III Sem]]</f>
        <v xml:space="preserve"> </v>
      </c>
      <c r="BR54" s="57" t="str">
        <f>Table323567[[#This Row],[1st hour I Sem]]</f>
        <v xml:space="preserve"> </v>
      </c>
      <c r="BS54" s="55" t="str">
        <f>Table323567[[#This Row],[2nd hour I Sem]]</f>
        <v>FA (M)</v>
      </c>
      <c r="BT54" s="55" t="str">
        <f>Table323567[[#This Row],[3rd hour I Sem]]</f>
        <v xml:space="preserve"> </v>
      </c>
      <c r="BU54" s="64" t="str">
        <f>Table323567[[#This Row],[Column1]]</f>
        <v xml:space="preserve"> </v>
      </c>
    </row>
    <row r="55" spans="1:73" s="54" customFormat="1" x14ac:dyDescent="0.35">
      <c r="A55" s="165" t="str">
        <f>Mon!U55</f>
        <v>(VRL)</v>
      </c>
      <c r="B55" s="56" t="str">
        <f>Table3[[#This Row],[1st hour V sem]]</f>
        <v xml:space="preserve"> </v>
      </c>
      <c r="C55" s="55" t="str">
        <f>Table3[[#This Row],[2nd hour V sem]]</f>
        <v xml:space="preserve"> </v>
      </c>
      <c r="D55" s="55" t="str">
        <f>Table3[[#This Row],[3rd hour V sem]]</f>
        <v xml:space="preserve"> </v>
      </c>
      <c r="E55" s="58" t="str">
        <f>Table3[[#This Row],[4th hour V sem]]</f>
        <v xml:space="preserve"> </v>
      </c>
      <c r="F55" s="57" t="str">
        <f>Table3[[#This Row],[1st hour III Sem]]</f>
        <v xml:space="preserve"> </v>
      </c>
      <c r="G55" s="55" t="str">
        <f>Table3[[#This Row],[2nd hour III Sem]]</f>
        <v xml:space="preserve"> </v>
      </c>
      <c r="H55" s="55" t="str">
        <f>Table3[[#This Row],[3rd hour III Sem]]</f>
        <v xml:space="preserve"> </v>
      </c>
      <c r="I55" s="58" t="str">
        <f>Table3[[#This Row],[4th hour III Sem]]</f>
        <v xml:space="preserve"> </v>
      </c>
      <c r="J55" s="57" t="str">
        <f>Table3[[#This Row],[1st hour I Sem]]</f>
        <v>QT (D)</v>
      </c>
      <c r="K55" s="55" t="str">
        <f>Table3[[#This Row],[2nd hour I Sem]]</f>
        <v>QT (L)</v>
      </c>
      <c r="L55" s="55" t="str">
        <f>Table3[[#This Row],[3rd hour I Sem]]</f>
        <v>QT (H)</v>
      </c>
      <c r="M55" s="55" t="str">
        <f>Table3[[#This Row],[4th hour I Sem]]</f>
        <v xml:space="preserve"> </v>
      </c>
      <c r="N55" s="56" t="str">
        <f>Table32[[#This Row],[1st hour V sem]]</f>
        <v xml:space="preserve"> </v>
      </c>
      <c r="O55" s="55" t="str">
        <f>Table32[[#This Row],[2nd hour V sem]]</f>
        <v>RM (H)</v>
      </c>
      <c r="P55" s="55" t="str">
        <f>Table32[[#This Row],[3rd hour V sem]]</f>
        <v xml:space="preserve"> </v>
      </c>
      <c r="Q55" s="73" t="str">
        <f>Table32[[#This Row],[4th hour V sem]]</f>
        <v xml:space="preserve"> </v>
      </c>
      <c r="R55" s="57" t="str">
        <f>Table32[[#This Row],[1st hour III Sem]]</f>
        <v xml:space="preserve"> </v>
      </c>
      <c r="S55" s="55" t="str">
        <f>Table32[[#This Row],[2nd hour III Sem]]</f>
        <v xml:space="preserve"> </v>
      </c>
      <c r="T55" s="55" t="str">
        <f>Table32[[#This Row],[3rd hour III Sem]]</f>
        <v xml:space="preserve"> </v>
      </c>
      <c r="U55" s="58" t="str">
        <f>Table32[[#This Row],[4th hour III Sem]]</f>
        <v xml:space="preserve"> </v>
      </c>
      <c r="V55" s="74" t="str">
        <f>Table32[[#This Row],[1st hour I Sem]]</f>
        <v xml:space="preserve"> </v>
      </c>
      <c r="W55" s="55" t="str">
        <f>Table32[[#This Row],[2nd hour I Sem]]</f>
        <v>QT (A)</v>
      </c>
      <c r="X55" s="55" t="str">
        <f>Table32[[#This Row],[3rd hour I Sem]]</f>
        <v xml:space="preserve"> </v>
      </c>
      <c r="Y55" s="64" t="str">
        <f>Table32[[#This Row],[4th hour I Sem]]</f>
        <v>QT (H)</v>
      </c>
      <c r="Z55" s="56" t="str">
        <f>Table323[[#This Row],[1st hour V sem]]</f>
        <v xml:space="preserve"> </v>
      </c>
      <c r="AA55" s="55" t="str">
        <f>Table323[[#This Row],[2nd hour V sem]]</f>
        <v xml:space="preserve"> </v>
      </c>
      <c r="AB55" s="55" t="str">
        <f>Table323[[#This Row],[3rd hour V sem]]</f>
        <v xml:space="preserve"> </v>
      </c>
      <c r="AC55" s="58" t="str">
        <f>Table323[[#This Row],[4th hour V sem]]</f>
        <v xml:space="preserve"> </v>
      </c>
      <c r="AD55" s="57" t="str">
        <f>Table323[[#This Row],[1st hour III Sem]]</f>
        <v xml:space="preserve"> </v>
      </c>
      <c r="AE55" s="55" t="str">
        <f>Table323[[#This Row],[2nd hour III Sem]]</f>
        <v xml:space="preserve"> </v>
      </c>
      <c r="AF55" s="55" t="str">
        <f>Table323[[#This Row],[3rd hour III Sem]]</f>
        <v xml:space="preserve"> </v>
      </c>
      <c r="AG55" s="58" t="str">
        <f>Table323[[#This Row],[4th hour III Sem]]</f>
        <v xml:space="preserve"> </v>
      </c>
      <c r="AH55" s="57" t="str">
        <f>Table323[[#This Row],[1st hour I Sem]]</f>
        <v>QT (A)</v>
      </c>
      <c r="AI55" s="55" t="str">
        <f>Table323[[#This Row],[2nd hour I Sem]]</f>
        <v>QT (H)</v>
      </c>
      <c r="AJ55" s="55" t="str">
        <f>Table323[[#This Row],[3rd hour I Sem]]</f>
        <v>QT (L)</v>
      </c>
      <c r="AK55" s="64" t="str">
        <f>Table323[[#This Row],[4th hour I Sem]]</f>
        <v>QT (D)</v>
      </c>
      <c r="AL55" s="56" t="str">
        <f>Table3235[[#This Row],[1st hour V sem]]</f>
        <v xml:space="preserve"> </v>
      </c>
      <c r="AM55" s="55" t="str">
        <f>Table3235[[#This Row],[2nd hour V sem]]</f>
        <v xml:space="preserve"> </v>
      </c>
      <c r="AN55" s="55" t="str">
        <f>Table3235[[#This Row],[3rd hour V sem]]</f>
        <v xml:space="preserve"> </v>
      </c>
      <c r="AO55" s="58" t="str">
        <f>Table3235[[#This Row],[4th hour V sem]]</f>
        <v xml:space="preserve"> </v>
      </c>
      <c r="AP55" s="57" t="str">
        <f>Table3235[[#This Row],[1st hour III Sem]]</f>
        <v xml:space="preserve"> </v>
      </c>
      <c r="AQ55" s="55" t="str">
        <f>Table3235[[#This Row],[2nd hour III Sem]]</f>
        <v xml:space="preserve"> </v>
      </c>
      <c r="AR55" s="55" t="str">
        <f>Table3235[[#This Row],[3rd hour III Sem]]</f>
        <v xml:space="preserve"> </v>
      </c>
      <c r="AS55" s="58" t="str">
        <f>Table3235[[#This Row],[4th hour III Sem]]</f>
        <v xml:space="preserve"> </v>
      </c>
      <c r="AT55" s="57" t="str">
        <f>Table3235[[#This Row],[1st hour I Sem]]</f>
        <v xml:space="preserve"> </v>
      </c>
      <c r="AU55" s="55" t="str">
        <f>Table3235[[#This Row],[2nd hour I Sem]]</f>
        <v xml:space="preserve"> </v>
      </c>
      <c r="AV55" s="55" t="str">
        <f>Table3235[[#This Row],[3rd hour I Sem]]</f>
        <v>QT (D)</v>
      </c>
      <c r="AW55" s="64" t="str">
        <f>Table3235[[#This Row],[4th hour I Sem]]</f>
        <v>QT (A)</v>
      </c>
      <c r="AX55" s="56" t="str">
        <f>Table32356[[#This Row],[1st hour V sem]]</f>
        <v xml:space="preserve"> </v>
      </c>
      <c r="AY55" s="55" t="str">
        <f>Table32356[[#This Row],[2nd hour V sem]]</f>
        <v xml:space="preserve"> </v>
      </c>
      <c r="AZ55" s="55" t="str">
        <f>Table32356[[#This Row],[3rd hour V sem]]</f>
        <v xml:space="preserve"> </v>
      </c>
      <c r="BA55" s="58" t="str">
        <f>Table32356[[#This Row],[4th hour V sem]]</f>
        <v>RM (H)</v>
      </c>
      <c r="BB55" s="57" t="str">
        <f>Table32356[[#This Row],[1st hour III Sem]]</f>
        <v xml:space="preserve"> </v>
      </c>
      <c r="BC55" s="55" t="str">
        <f>Table32356[[#This Row],[2nd hour III Sem]]</f>
        <v xml:space="preserve"> </v>
      </c>
      <c r="BD55" s="55" t="str">
        <f>Table32356[[#This Row],[3rd hour III Sem]]</f>
        <v xml:space="preserve"> </v>
      </c>
      <c r="BE55" s="58" t="str">
        <f>Table32356[[#This Row],[4th hour III Sem]]</f>
        <v xml:space="preserve"> </v>
      </c>
      <c r="BF55" s="57" t="str">
        <f>Table32356[[#This Row],[1st hour I Sem]]</f>
        <v>QT (A)</v>
      </c>
      <c r="BG55" s="55" t="str">
        <f>Table32356[[#This Row],[2nd hour I Sem]]</f>
        <v xml:space="preserve"> </v>
      </c>
      <c r="BH55" s="55" t="str">
        <f>Table32356[[#This Row],[3rd hour I Sem]]</f>
        <v xml:space="preserve"> </v>
      </c>
      <c r="BI55" s="64" t="str">
        <f>Table32356[[#This Row],[4th hour I Sem]]</f>
        <v>QT (H)</v>
      </c>
      <c r="BJ55" s="56" t="str">
        <f>Table323567[[#This Row],[1st hour V sem]]</f>
        <v xml:space="preserve"> </v>
      </c>
      <c r="BK55" s="55" t="str">
        <f>Table323567[[#This Row],[2nd hour V sem]]</f>
        <v xml:space="preserve"> </v>
      </c>
      <c r="BL55" s="55" t="str">
        <f>Table323567[[#This Row],[3rd hour V sem]]</f>
        <v>RM (H)</v>
      </c>
      <c r="BM55" s="58" t="str">
        <f>Table323567[[#This Row],[4th hour V sem]]</f>
        <v xml:space="preserve"> </v>
      </c>
      <c r="BN55" s="57" t="str">
        <f>Table323567[[#This Row],[1st hour III Sem]]</f>
        <v xml:space="preserve"> </v>
      </c>
      <c r="BO55" s="55" t="str">
        <f>Table323567[[#This Row],[2nd hour III Sem]]</f>
        <v xml:space="preserve"> </v>
      </c>
      <c r="BP55" s="55" t="str">
        <f>Table323567[[#This Row],[3rd hour III Sem]]</f>
        <v xml:space="preserve"> </v>
      </c>
      <c r="BQ55" s="58" t="str">
        <f>Table323567[[#This Row],[4th hour III Sem]]</f>
        <v xml:space="preserve"> </v>
      </c>
      <c r="BR55" s="57" t="str">
        <f>Table323567[[#This Row],[1st hour I Sem]]</f>
        <v xml:space="preserve"> </v>
      </c>
      <c r="BS55" s="55" t="str">
        <f>Table323567[[#This Row],[2nd hour I Sem]]</f>
        <v xml:space="preserve"> </v>
      </c>
      <c r="BT55" s="55" t="str">
        <f>Table323567[[#This Row],[3rd hour I Sem]]</f>
        <v xml:space="preserve"> </v>
      </c>
      <c r="BU55" s="64" t="str">
        <f>Table323567[[#This Row],[Column1]]</f>
        <v xml:space="preserve"> </v>
      </c>
    </row>
    <row r="56" spans="1:73" s="54" customFormat="1" x14ac:dyDescent="0.35">
      <c r="A56" s="165" t="str">
        <f>Mon!U56</f>
        <v>(YL)</v>
      </c>
      <c r="B56" s="56" t="str">
        <f>Table3[[#This Row],[1st hour V sem]]</f>
        <v xml:space="preserve"> </v>
      </c>
      <c r="C56" s="55" t="str">
        <f>Table3[[#This Row],[2nd hour V sem]]</f>
        <v xml:space="preserve"> </v>
      </c>
      <c r="D56" s="55" t="str">
        <f>Table3[[#This Row],[3rd hour V sem]]</f>
        <v xml:space="preserve"> </v>
      </c>
      <c r="E56" s="58" t="str">
        <f>Table3[[#This Row],[4th hour V sem]]</f>
        <v xml:space="preserve"> </v>
      </c>
      <c r="F56" s="57" t="str">
        <f>Table3[[#This Row],[1st hour III Sem]]</f>
        <v xml:space="preserve"> </v>
      </c>
      <c r="G56" s="55" t="str">
        <f>Table3[[#This Row],[2nd hour III Sem]]</f>
        <v>ED (A)</v>
      </c>
      <c r="H56" s="55" t="str">
        <f>Table3[[#This Row],[3rd hour III Sem]]</f>
        <v>ED (F)</v>
      </c>
      <c r="I56" s="58" t="str">
        <f>Table3[[#This Row],[4th hour III Sem]]</f>
        <v xml:space="preserve"> </v>
      </c>
      <c r="J56" s="57" t="str">
        <f>Table3[[#This Row],[1st hour I Sem]]</f>
        <v>BT (B)</v>
      </c>
      <c r="K56" s="55" t="str">
        <f>Table3[[#This Row],[2nd hour I Sem]]</f>
        <v xml:space="preserve"> </v>
      </c>
      <c r="L56" s="55" t="str">
        <f>Table3[[#This Row],[3rd hour I Sem]]</f>
        <v xml:space="preserve"> </v>
      </c>
      <c r="M56" s="55" t="str">
        <f>Table3[[#This Row],[4th hour I Sem]]</f>
        <v xml:space="preserve"> </v>
      </c>
      <c r="N56" s="56" t="str">
        <f>Table32[[#This Row],[1st hour V sem]]</f>
        <v>IB (F)</v>
      </c>
      <c r="O56" s="55" t="str">
        <f>Table32[[#This Row],[2nd hour V sem]]</f>
        <v xml:space="preserve"> </v>
      </c>
      <c r="P56" s="55" t="str">
        <f>Table32[[#This Row],[3rd hour V sem]]</f>
        <v xml:space="preserve"> </v>
      </c>
      <c r="Q56" s="73" t="str">
        <f>Table32[[#This Row],[4th hour V sem]]</f>
        <v xml:space="preserve"> </v>
      </c>
      <c r="R56" s="57" t="str">
        <f>Table32[[#This Row],[1st hour III Sem]]</f>
        <v xml:space="preserve"> </v>
      </c>
      <c r="S56" s="55" t="str">
        <f>Table32[[#This Row],[2nd hour III Sem]]</f>
        <v xml:space="preserve"> </v>
      </c>
      <c r="T56" s="55" t="str">
        <f>Table32[[#This Row],[3rd hour III Sem]]</f>
        <v>ED (A)</v>
      </c>
      <c r="U56" s="58" t="str">
        <f>Table32[[#This Row],[4th hour III Sem]]</f>
        <v>ED (N)</v>
      </c>
      <c r="V56" s="74" t="str">
        <f>Table32[[#This Row],[1st hour I Sem]]</f>
        <v xml:space="preserve"> </v>
      </c>
      <c r="W56" s="55" t="str">
        <f>Table32[[#This Row],[2nd hour I Sem]]</f>
        <v xml:space="preserve"> </v>
      </c>
      <c r="X56" s="55" t="str">
        <f>Table32[[#This Row],[3rd hour I Sem]]</f>
        <v xml:space="preserve"> </v>
      </c>
      <c r="Y56" s="64" t="str">
        <f>Table32[[#This Row],[4th hour I Sem]]</f>
        <v xml:space="preserve"> </v>
      </c>
      <c r="Z56" s="56" t="str">
        <f>Table323[[#This Row],[1st hour V sem]]</f>
        <v xml:space="preserve"> </v>
      </c>
      <c r="AA56" s="55" t="str">
        <f>Table323[[#This Row],[2nd hour V sem]]</f>
        <v>IB (F)</v>
      </c>
      <c r="AB56" s="55" t="str">
        <f>Table323[[#This Row],[3rd hour V sem]]</f>
        <v xml:space="preserve"> </v>
      </c>
      <c r="AC56" s="58" t="str">
        <f>Table323[[#This Row],[4th hour V sem]]</f>
        <v xml:space="preserve"> </v>
      </c>
      <c r="AD56" s="57" t="str">
        <f>Table323[[#This Row],[1st hour III Sem]]</f>
        <v>ED</v>
      </c>
      <c r="AE56" s="55" t="str">
        <f>Table323[[#This Row],[2nd hour III Sem]]</f>
        <v xml:space="preserve"> </v>
      </c>
      <c r="AF56" s="55" t="str">
        <f>Table323[[#This Row],[3rd hour III Sem]]</f>
        <v xml:space="preserve"> </v>
      </c>
      <c r="AG56" s="58" t="str">
        <f>Table323[[#This Row],[4th hour III Sem]]</f>
        <v xml:space="preserve"> </v>
      </c>
      <c r="AH56" s="57" t="str">
        <f>Table323[[#This Row],[1st hour I Sem]]</f>
        <v xml:space="preserve"> </v>
      </c>
      <c r="AI56" s="55" t="str">
        <f>Table323[[#This Row],[2nd hour I Sem]]</f>
        <v>BT (B)</v>
      </c>
      <c r="AJ56" s="55" t="str">
        <f>Table323[[#This Row],[3rd hour I Sem]]</f>
        <v xml:space="preserve"> </v>
      </c>
      <c r="AK56" s="64" t="str">
        <f>Table323[[#This Row],[4th hour I Sem]]</f>
        <v xml:space="preserve"> </v>
      </c>
      <c r="AL56" s="56" t="str">
        <f>Table3235[[#This Row],[1st hour V sem]]</f>
        <v>IB (D)</v>
      </c>
      <c r="AM56" s="55" t="str">
        <f>Table3235[[#This Row],[2nd hour V sem]]</f>
        <v xml:space="preserve"> </v>
      </c>
      <c r="AN56" s="55" t="str">
        <f>Table3235[[#This Row],[3rd hour V sem]]</f>
        <v>IB (F)</v>
      </c>
      <c r="AO56" s="58" t="str">
        <f>Table3235[[#This Row],[4th hour V sem]]</f>
        <v xml:space="preserve"> </v>
      </c>
      <c r="AP56" s="57" t="str">
        <f>Table3235[[#This Row],[1st hour III Sem]]</f>
        <v xml:space="preserve"> </v>
      </c>
      <c r="AQ56" s="55" t="str">
        <f>Table3235[[#This Row],[2nd hour III Sem]]</f>
        <v xml:space="preserve"> </v>
      </c>
      <c r="AR56" s="55" t="str">
        <f>Table3235[[#This Row],[3rd hour III Sem]]</f>
        <v xml:space="preserve"> </v>
      </c>
      <c r="AS56" s="58" t="str">
        <f>Table3235[[#This Row],[4th hour III Sem]]</f>
        <v>ED (F)</v>
      </c>
      <c r="AT56" s="57" t="str">
        <f>Table3235[[#This Row],[1st hour I Sem]]</f>
        <v xml:space="preserve"> </v>
      </c>
      <c r="AU56" s="55" t="str">
        <f>Table3235[[#This Row],[2nd hour I Sem]]</f>
        <v xml:space="preserve"> </v>
      </c>
      <c r="AV56" s="55" t="str">
        <f>Table3235[[#This Row],[3rd hour I Sem]]</f>
        <v>BT (B)</v>
      </c>
      <c r="AW56" s="64" t="str">
        <f>Table3235[[#This Row],[4th hour I Sem]]</f>
        <v xml:space="preserve"> </v>
      </c>
      <c r="AX56" s="56" t="str">
        <f>Table32356[[#This Row],[1st hour V sem]]</f>
        <v>IB (D)</v>
      </c>
      <c r="AY56" s="55" t="str">
        <f>Table32356[[#This Row],[2nd hour V sem]]</f>
        <v xml:space="preserve"> </v>
      </c>
      <c r="AZ56" s="55" t="str">
        <f>Table32356[[#This Row],[3rd hour V sem]]</f>
        <v xml:space="preserve"> </v>
      </c>
      <c r="BA56" s="58" t="str">
        <f>Table32356[[#This Row],[4th hour V sem]]</f>
        <v xml:space="preserve"> </v>
      </c>
      <c r="BB56" s="57" t="str">
        <f>Table32356[[#This Row],[1st hour III Sem]]</f>
        <v xml:space="preserve"> </v>
      </c>
      <c r="BC56" s="55" t="str">
        <f>Table32356[[#This Row],[2nd hour III Sem]]</f>
        <v>ED (F)</v>
      </c>
      <c r="BD56" s="55" t="str">
        <f>Table32356[[#This Row],[3rd hour III Sem]]</f>
        <v xml:space="preserve"> </v>
      </c>
      <c r="BE56" s="58" t="str">
        <f>Table32356[[#This Row],[4th hour III Sem]]</f>
        <v>ED (N)</v>
      </c>
      <c r="BF56" s="57" t="str">
        <f>Table32356[[#This Row],[1st hour I Sem]]</f>
        <v xml:space="preserve"> </v>
      </c>
      <c r="BG56" s="55" t="str">
        <f>Table32356[[#This Row],[2nd hour I Sem]]</f>
        <v xml:space="preserve"> </v>
      </c>
      <c r="BH56" s="55" t="str">
        <f>Table32356[[#This Row],[3rd hour I Sem]]</f>
        <v xml:space="preserve"> </v>
      </c>
      <c r="BI56" s="64" t="str">
        <f>Table32356[[#This Row],[4th hour I Sem]]</f>
        <v xml:space="preserve"> </v>
      </c>
      <c r="BJ56" s="56" t="str">
        <f>Table323567[[#This Row],[1st hour V sem]]</f>
        <v xml:space="preserve"> </v>
      </c>
      <c r="BK56" s="55" t="str">
        <f>Table323567[[#This Row],[2nd hour V sem]]</f>
        <v>IB (D)</v>
      </c>
      <c r="BL56" s="55" t="str">
        <f>Table323567[[#This Row],[3rd hour V sem]]</f>
        <v xml:space="preserve"> </v>
      </c>
      <c r="BM56" s="58" t="str">
        <f>Table323567[[#This Row],[4th hour V sem]]</f>
        <v xml:space="preserve"> </v>
      </c>
      <c r="BN56" s="57" t="str">
        <f>Table323567[[#This Row],[1st hour III Sem]]</f>
        <v xml:space="preserve"> </v>
      </c>
      <c r="BO56" s="55" t="str">
        <f>Table323567[[#This Row],[2nd hour III Sem]]</f>
        <v xml:space="preserve"> </v>
      </c>
      <c r="BP56" s="55" t="str">
        <f>Table323567[[#This Row],[3rd hour III Sem]]</f>
        <v>ED (N)</v>
      </c>
      <c r="BQ56" s="58" t="str">
        <f>Table323567[[#This Row],[4th hour III Sem]]</f>
        <v xml:space="preserve"> </v>
      </c>
      <c r="BR56" s="57" t="str">
        <f>Table323567[[#This Row],[1st hour I Sem]]</f>
        <v xml:space="preserve"> </v>
      </c>
      <c r="BS56" s="55" t="str">
        <f>Table323567[[#This Row],[2nd hour I Sem]]</f>
        <v xml:space="preserve"> </v>
      </c>
      <c r="BT56" s="55" t="str">
        <f>Table323567[[#This Row],[3rd hour I Sem]]</f>
        <v xml:space="preserve"> </v>
      </c>
      <c r="BU56" s="64" t="str">
        <f>Table323567[[#This Row],[Column1]]</f>
        <v xml:space="preserve"> </v>
      </c>
    </row>
    <row r="57" spans="1:73" s="54" customFormat="1" x14ac:dyDescent="0.35">
      <c r="A57" s="165" t="str">
        <f>Mon!U57</f>
        <v>(RR)</v>
      </c>
      <c r="B57" s="56" t="str">
        <f>Table3[[#This Row],[1st hour V sem]]</f>
        <v xml:space="preserve"> </v>
      </c>
      <c r="C57" s="55" t="str">
        <f>Table3[[#This Row],[2nd hour V sem]]</f>
        <v xml:space="preserve"> </v>
      </c>
      <c r="D57" s="55" t="str">
        <f>Table3[[#This Row],[3rd hour V sem]]</f>
        <v xml:space="preserve"> </v>
      </c>
      <c r="E57" s="58" t="str">
        <f>Table3[[#This Row],[4th hour V sem]]</f>
        <v xml:space="preserve"> </v>
      </c>
      <c r="F57" s="57" t="str">
        <f>Table3[[#This Row],[1st hour III Sem]]</f>
        <v>ED (D)</v>
      </c>
      <c r="G57" s="55" t="str">
        <f>Table3[[#This Row],[2nd hour III Sem]]</f>
        <v>EVS (F)</v>
      </c>
      <c r="H57" s="55" t="str">
        <f>Table3[[#This Row],[3rd hour III Sem]]</f>
        <v xml:space="preserve"> </v>
      </c>
      <c r="I57" s="58" t="str">
        <f>Table3[[#This Row],[4th hour III Sem]]</f>
        <v>EVS (E)</v>
      </c>
      <c r="J57" s="57" t="str">
        <f>Table3[[#This Row],[1st hour I Sem]]</f>
        <v xml:space="preserve"> </v>
      </c>
      <c r="K57" s="55" t="str">
        <f>Table3[[#This Row],[2nd hour I Sem]]</f>
        <v xml:space="preserve"> </v>
      </c>
      <c r="L57" s="55" t="str">
        <f>Table3[[#This Row],[3rd hour I Sem]]</f>
        <v xml:space="preserve"> </v>
      </c>
      <c r="M57" s="55" t="str">
        <f>Table3[[#This Row],[4th hour I Sem]]</f>
        <v xml:space="preserve"> </v>
      </c>
      <c r="N57" s="56" t="str">
        <f>Table32[[#This Row],[1st hour V sem]]</f>
        <v xml:space="preserve"> </v>
      </c>
      <c r="O57" s="55" t="str">
        <f>Table32[[#This Row],[2nd hour V sem]]</f>
        <v xml:space="preserve"> </v>
      </c>
      <c r="P57" s="55" t="str">
        <f>Table32[[#This Row],[3rd hour V sem]]</f>
        <v xml:space="preserve"> </v>
      </c>
      <c r="Q57" s="73" t="str">
        <f>Table32[[#This Row],[4th hour V sem]]</f>
        <v xml:space="preserve"> </v>
      </c>
      <c r="R57" s="57" t="str">
        <f>Table32[[#This Row],[1st hour III Sem]]</f>
        <v>EVS (E)</v>
      </c>
      <c r="S57" s="55" t="str">
        <f>Table32[[#This Row],[2nd hour III Sem]]</f>
        <v>ED (G)</v>
      </c>
      <c r="T57" s="55" t="str">
        <f>Table32[[#This Row],[3rd hour III Sem]]</f>
        <v xml:space="preserve"> </v>
      </c>
      <c r="U57" s="58" t="str">
        <f>Table32[[#This Row],[4th hour III Sem]]</f>
        <v>ED (D)</v>
      </c>
      <c r="V57" s="74" t="str">
        <f>Table32[[#This Row],[1st hour I Sem]]</f>
        <v xml:space="preserve"> </v>
      </c>
      <c r="W57" s="55" t="str">
        <f>Table32[[#This Row],[2nd hour I Sem]]</f>
        <v xml:space="preserve"> </v>
      </c>
      <c r="X57" s="55" t="str">
        <f>Table32[[#This Row],[3rd hour I Sem]]</f>
        <v xml:space="preserve"> </v>
      </c>
      <c r="Y57" s="64" t="str">
        <f>Table32[[#This Row],[4th hour I Sem]]</f>
        <v xml:space="preserve"> </v>
      </c>
      <c r="Z57" s="56" t="str">
        <f>Table323[[#This Row],[1st hour V sem]]</f>
        <v xml:space="preserve"> </v>
      </c>
      <c r="AA57" s="55" t="str">
        <f>Table323[[#This Row],[2nd hour V sem]]</f>
        <v xml:space="preserve"> </v>
      </c>
      <c r="AB57" s="55" t="str">
        <f>Table323[[#This Row],[3rd hour V sem]]</f>
        <v xml:space="preserve"> </v>
      </c>
      <c r="AC57" s="58" t="str">
        <f>Table323[[#This Row],[4th hour V sem]]</f>
        <v xml:space="preserve"> </v>
      </c>
      <c r="AD57" s="57" t="str">
        <f>Table323[[#This Row],[1st hour III Sem]]</f>
        <v xml:space="preserve">ED </v>
      </c>
      <c r="AE57" s="55" t="str">
        <f>Table323[[#This Row],[2nd hour III Sem]]</f>
        <v>EVS (L)</v>
      </c>
      <c r="AF57" s="55" t="str">
        <f>Table323[[#This Row],[3rd hour III Sem]]</f>
        <v xml:space="preserve"> </v>
      </c>
      <c r="AG57" s="58" t="str">
        <f>Table323[[#This Row],[4th hour III Sem]]</f>
        <v xml:space="preserve"> </v>
      </c>
      <c r="AH57" s="57" t="str">
        <f>Table323[[#This Row],[1st hour I Sem]]</f>
        <v xml:space="preserve"> </v>
      </c>
      <c r="AI57" s="55" t="str">
        <f>Table323[[#This Row],[2nd hour I Sem]]</f>
        <v xml:space="preserve"> </v>
      </c>
      <c r="AJ57" s="55" t="str">
        <f>Table323[[#This Row],[3rd hour I Sem]]</f>
        <v xml:space="preserve"> </v>
      </c>
      <c r="AK57" s="64" t="str">
        <f>Table323[[#This Row],[4th hour I Sem]]</f>
        <v xml:space="preserve"> </v>
      </c>
      <c r="AL57" s="56" t="str">
        <f>Table3235[[#This Row],[1st hour V sem]]</f>
        <v xml:space="preserve"> </v>
      </c>
      <c r="AM57" s="55" t="str">
        <f>Table3235[[#This Row],[2nd hour V sem]]</f>
        <v xml:space="preserve"> </v>
      </c>
      <c r="AN57" s="55" t="str">
        <f>Table3235[[#This Row],[3rd hour V sem]]</f>
        <v xml:space="preserve"> </v>
      </c>
      <c r="AO57" s="58" t="str">
        <f>Table3235[[#This Row],[4th hour V sem]]</f>
        <v xml:space="preserve"> </v>
      </c>
      <c r="AP57" s="57" t="str">
        <f>Table3235[[#This Row],[1st hour III Sem]]</f>
        <v>ED (D)</v>
      </c>
      <c r="AQ57" s="55" t="str">
        <f>Table3235[[#This Row],[2nd hour III Sem]]</f>
        <v xml:space="preserve"> </v>
      </c>
      <c r="AR57" s="55" t="str">
        <f>Table3235[[#This Row],[3rd hour III Sem]]</f>
        <v>ED (G)</v>
      </c>
      <c r="AS57" s="58" t="str">
        <f>Table3235[[#This Row],[4th hour III Sem]]</f>
        <v>EVS (E)</v>
      </c>
      <c r="AT57" s="57" t="str">
        <f>Table3235[[#This Row],[1st hour I Sem]]</f>
        <v xml:space="preserve"> </v>
      </c>
      <c r="AU57" s="55" t="str">
        <f>Table3235[[#This Row],[2nd hour I Sem]]</f>
        <v xml:space="preserve"> </v>
      </c>
      <c r="AV57" s="55" t="str">
        <f>Table3235[[#This Row],[3rd hour I Sem]]</f>
        <v xml:space="preserve"> </v>
      </c>
      <c r="AW57" s="64" t="str">
        <f>Table3235[[#This Row],[4th hour I Sem]]</f>
        <v xml:space="preserve"> </v>
      </c>
      <c r="AX57" s="56" t="str">
        <f>Table32356[[#This Row],[1st hour V sem]]</f>
        <v xml:space="preserve"> </v>
      </c>
      <c r="AY57" s="55" t="str">
        <f>Table32356[[#This Row],[2nd hour V sem]]</f>
        <v xml:space="preserve"> </v>
      </c>
      <c r="AZ57" s="55" t="str">
        <f>Table32356[[#This Row],[3rd hour V sem]]</f>
        <v xml:space="preserve"> </v>
      </c>
      <c r="BA57" s="58" t="str">
        <f>Table32356[[#This Row],[4th hour V sem]]</f>
        <v xml:space="preserve"> </v>
      </c>
      <c r="BB57" s="57" t="str">
        <f>Table32356[[#This Row],[1st hour III Sem]]</f>
        <v xml:space="preserve">ED </v>
      </c>
      <c r="BC57" s="55" t="str">
        <f>Table32356[[#This Row],[2nd hour III Sem]]</f>
        <v>ED (G)</v>
      </c>
      <c r="BD57" s="55" t="str">
        <f>Table32356[[#This Row],[3rd hour III Sem]]</f>
        <v>EVS (F)</v>
      </c>
      <c r="BE57" s="58" t="str">
        <f>Table32356[[#This Row],[4th hour III Sem]]</f>
        <v>EVS (L)</v>
      </c>
      <c r="BF57" s="57" t="str">
        <f>Table32356[[#This Row],[1st hour I Sem]]</f>
        <v xml:space="preserve"> </v>
      </c>
      <c r="BG57" s="55" t="str">
        <f>Table32356[[#This Row],[2nd hour I Sem]]</f>
        <v xml:space="preserve"> </v>
      </c>
      <c r="BH57" s="55" t="str">
        <f>Table32356[[#This Row],[3rd hour I Sem]]</f>
        <v xml:space="preserve"> </v>
      </c>
      <c r="BI57" s="64" t="str">
        <f>Table32356[[#This Row],[4th hour I Sem]]</f>
        <v xml:space="preserve"> </v>
      </c>
      <c r="BJ57" s="56" t="str">
        <f>Table323567[[#This Row],[1st hour V sem]]</f>
        <v xml:space="preserve"> </v>
      </c>
      <c r="BK57" s="55" t="str">
        <f>Table323567[[#This Row],[2nd hour V sem]]</f>
        <v xml:space="preserve"> </v>
      </c>
      <c r="BL57" s="55" t="str">
        <f>Table323567[[#This Row],[3rd hour V sem]]</f>
        <v xml:space="preserve"> </v>
      </c>
      <c r="BM57" s="58" t="str">
        <f>Table323567[[#This Row],[4th hour V sem]]</f>
        <v xml:space="preserve"> </v>
      </c>
      <c r="BN57" s="57" t="str">
        <f>Table323567[[#This Row],[1st hour III Sem]]</f>
        <v>EVS (F)</v>
      </c>
      <c r="BO57" s="55" t="str">
        <f>Table323567[[#This Row],[2nd hour III Sem]]</f>
        <v>ED (K)</v>
      </c>
      <c r="BP57" s="55" t="str">
        <f>Table323567[[#This Row],[3rd hour III Sem]]</f>
        <v>EVS (L)</v>
      </c>
      <c r="BQ57" s="58" t="str">
        <f>Table323567[[#This Row],[4th hour III Sem]]</f>
        <v xml:space="preserve"> </v>
      </c>
      <c r="BR57" s="57" t="str">
        <f>Table323567[[#This Row],[1st hour I Sem]]</f>
        <v xml:space="preserve"> </v>
      </c>
      <c r="BS57" s="55" t="str">
        <f>Table323567[[#This Row],[2nd hour I Sem]]</f>
        <v xml:space="preserve"> </v>
      </c>
      <c r="BT57" s="55" t="str">
        <f>Table323567[[#This Row],[3rd hour I Sem]]</f>
        <v xml:space="preserve"> </v>
      </c>
      <c r="BU57" s="64" t="str">
        <f>Table323567[[#This Row],[Column1]]</f>
        <v xml:space="preserve"> </v>
      </c>
    </row>
    <row r="58" spans="1:73" x14ac:dyDescent="0.35">
      <c r="A58" s="165" t="str">
        <f>Mon!U58</f>
        <v>(DRP)</v>
      </c>
      <c r="B58" s="56" t="str">
        <f>Table3[[#This Row],[1st hour V sem]]</f>
        <v xml:space="preserve"> </v>
      </c>
      <c r="C58" s="55" t="str">
        <f>Table3[[#This Row],[2nd hour V sem]]</f>
        <v xml:space="preserve"> </v>
      </c>
      <c r="D58" s="55" t="str">
        <f>Table3[[#This Row],[3rd hour V sem]]</f>
        <v xml:space="preserve"> </v>
      </c>
      <c r="E58" s="58" t="str">
        <f>Table3[[#This Row],[4th hour V sem]]</f>
        <v xml:space="preserve"> </v>
      </c>
      <c r="F58" s="57" t="str">
        <f>Table3[[#This Row],[1st hour III Sem]]</f>
        <v xml:space="preserve"> </v>
      </c>
      <c r="G58" s="55" t="str">
        <f>Table3[[#This Row],[2nd hour III Sem]]</f>
        <v xml:space="preserve"> </v>
      </c>
      <c r="H58" s="55" t="str">
        <f>Table3[[#This Row],[3rd hour III Sem]]</f>
        <v xml:space="preserve"> </v>
      </c>
      <c r="I58" s="58" t="str">
        <f>Table3[[#This Row],[4th hour III Sem]]</f>
        <v xml:space="preserve"> </v>
      </c>
      <c r="J58" s="57" t="str">
        <f>Table3[[#This Row],[1st hour I Sem]]</f>
        <v>BM (L)</v>
      </c>
      <c r="K58" s="55" t="str">
        <f>Table3[[#This Row],[2nd hour I Sem]]</f>
        <v>BM (D)</v>
      </c>
      <c r="L58" s="55" t="str">
        <f>Table3[[#This Row],[3rd hour I Sem]]</f>
        <v>BM (I)</v>
      </c>
      <c r="M58" s="55" t="str">
        <f>Table3[[#This Row],[4th hour I Sem]]</f>
        <v>BM (H)</v>
      </c>
      <c r="N58" s="56" t="str">
        <f>Table32[[#This Row],[1st hour V sem]]</f>
        <v xml:space="preserve"> </v>
      </c>
      <c r="O58" s="55" t="str">
        <f>Table32[[#This Row],[2nd hour V sem]]</f>
        <v xml:space="preserve"> </v>
      </c>
      <c r="P58" s="55" t="str">
        <f>Table32[[#This Row],[3rd hour V sem]]</f>
        <v xml:space="preserve"> </v>
      </c>
      <c r="Q58" s="73" t="str">
        <f>Table32[[#This Row],[4th hour V sem]]</f>
        <v xml:space="preserve"> </v>
      </c>
      <c r="R58" s="57" t="str">
        <f>Table32[[#This Row],[1st hour III Sem]]</f>
        <v xml:space="preserve"> </v>
      </c>
      <c r="S58" s="55" t="str">
        <f>Table32[[#This Row],[2nd hour III Sem]]</f>
        <v xml:space="preserve"> </v>
      </c>
      <c r="T58" s="55" t="str">
        <f>Table32[[#This Row],[3rd hour III Sem]]</f>
        <v xml:space="preserve"> </v>
      </c>
      <c r="U58" s="58" t="str">
        <f>Table32[[#This Row],[4th hour III Sem]]</f>
        <v xml:space="preserve"> </v>
      </c>
      <c r="V58" s="74" t="str">
        <f>Table32[[#This Row],[1st hour I Sem]]</f>
        <v>BM (L)</v>
      </c>
      <c r="W58" s="55" t="str">
        <f>Table32[[#This Row],[2nd hour I Sem]]</f>
        <v xml:space="preserve"> </v>
      </c>
      <c r="X58" s="55" t="str">
        <f>Table32[[#This Row],[3rd hour I Sem]]</f>
        <v>BM (H)</v>
      </c>
      <c r="Y58" s="64" t="str">
        <f>Table32[[#This Row],[4th hour I Sem]]</f>
        <v>BM (M)</v>
      </c>
      <c r="Z58" s="56" t="str">
        <f>Table323[[#This Row],[1st hour V sem]]</f>
        <v xml:space="preserve"> </v>
      </c>
      <c r="AA58" s="55" t="str">
        <f>Table323[[#This Row],[2nd hour V sem]]</f>
        <v xml:space="preserve"> </v>
      </c>
      <c r="AB58" s="55" t="str">
        <f>Table323[[#This Row],[3rd hour V sem]]</f>
        <v xml:space="preserve"> </v>
      </c>
      <c r="AC58" s="58" t="str">
        <f>Table323[[#This Row],[4th hour V sem]]</f>
        <v xml:space="preserve"> </v>
      </c>
      <c r="AD58" s="57" t="str">
        <f>Table323[[#This Row],[1st hour III Sem]]</f>
        <v xml:space="preserve"> </v>
      </c>
      <c r="AE58" s="55" t="str">
        <f>Table323[[#This Row],[2nd hour III Sem]]</f>
        <v xml:space="preserve"> </v>
      </c>
      <c r="AF58" s="55" t="str">
        <f>Table323[[#This Row],[3rd hour III Sem]]</f>
        <v xml:space="preserve"> </v>
      </c>
      <c r="AG58" s="58" t="str">
        <f>Table323[[#This Row],[4th hour III Sem]]</f>
        <v xml:space="preserve"> </v>
      </c>
      <c r="AH58" s="57" t="str">
        <f>Table323[[#This Row],[1st hour I Sem]]</f>
        <v>BM (I)</v>
      </c>
      <c r="AI58" s="55" t="str">
        <f>Table323[[#This Row],[2nd hour I Sem]]</f>
        <v xml:space="preserve"> </v>
      </c>
      <c r="AJ58" s="55" t="str">
        <f>Table323[[#This Row],[3rd hour I Sem]]</f>
        <v>BM (D)</v>
      </c>
      <c r="AK58" s="64" t="str">
        <f>Table323[[#This Row],[4th hour I Sem]]</f>
        <v>BM (M)</v>
      </c>
      <c r="AL58" s="56" t="str">
        <f>Table3235[[#This Row],[1st hour V sem]]</f>
        <v xml:space="preserve"> </v>
      </c>
      <c r="AM58" s="55" t="str">
        <f>Table3235[[#This Row],[2nd hour V sem]]</f>
        <v xml:space="preserve"> </v>
      </c>
      <c r="AN58" s="55" t="str">
        <f>Table3235[[#This Row],[3rd hour V sem]]</f>
        <v xml:space="preserve"> </v>
      </c>
      <c r="AO58" s="58" t="str">
        <f>Table3235[[#This Row],[4th hour V sem]]</f>
        <v xml:space="preserve"> </v>
      </c>
      <c r="AP58" s="57" t="str">
        <f>Table3235[[#This Row],[1st hour III Sem]]</f>
        <v xml:space="preserve"> </v>
      </c>
      <c r="AQ58" s="55" t="str">
        <f>Table3235[[#This Row],[2nd hour III Sem]]</f>
        <v xml:space="preserve"> </v>
      </c>
      <c r="AR58" s="55" t="str">
        <f>Table3235[[#This Row],[3rd hour III Sem]]</f>
        <v xml:space="preserve"> </v>
      </c>
      <c r="AS58" s="58" t="str">
        <f>Table3235[[#This Row],[4th hour III Sem]]</f>
        <v xml:space="preserve"> </v>
      </c>
      <c r="AT58" s="57" t="str">
        <f>Table3235[[#This Row],[1st hour I Sem]]</f>
        <v xml:space="preserve"> </v>
      </c>
      <c r="AU58" s="55" t="str">
        <f>Table3235[[#This Row],[2nd hour I Sem]]</f>
        <v xml:space="preserve"> </v>
      </c>
      <c r="AV58" s="55" t="str">
        <f>Table3235[[#This Row],[3rd hour I Sem]]</f>
        <v xml:space="preserve"> </v>
      </c>
      <c r="AW58" s="64" t="str">
        <f>Table3235[[#This Row],[4th hour I Sem]]</f>
        <v>BM (H)</v>
      </c>
      <c r="AX58" s="56" t="str">
        <f>Table32356[[#This Row],[1st hour V sem]]</f>
        <v xml:space="preserve"> </v>
      </c>
      <c r="AY58" s="55" t="str">
        <f>Table32356[[#This Row],[2nd hour V sem]]</f>
        <v xml:space="preserve"> </v>
      </c>
      <c r="AZ58" s="55" t="str">
        <f>Table32356[[#This Row],[3rd hour V sem]]</f>
        <v xml:space="preserve"> </v>
      </c>
      <c r="BA58" s="58" t="str">
        <f>Table32356[[#This Row],[4th hour V sem]]</f>
        <v xml:space="preserve"> </v>
      </c>
      <c r="BB58" s="57" t="str">
        <f>Table32356[[#This Row],[1st hour III Sem]]</f>
        <v xml:space="preserve"> </v>
      </c>
      <c r="BC58" s="55" t="str">
        <f>Table32356[[#This Row],[2nd hour III Sem]]</f>
        <v xml:space="preserve"> </v>
      </c>
      <c r="BD58" s="55" t="str">
        <f>Table32356[[#This Row],[3rd hour III Sem]]</f>
        <v xml:space="preserve"> </v>
      </c>
      <c r="BE58" s="58" t="str">
        <f>Table32356[[#This Row],[4th hour III Sem]]</f>
        <v xml:space="preserve"> </v>
      </c>
      <c r="BF58" s="57" t="str">
        <f>Table32356[[#This Row],[1st hour I Sem]]</f>
        <v>BM (D)</v>
      </c>
      <c r="BG58" s="55" t="str">
        <f>Table32356[[#This Row],[2nd hour I Sem]]</f>
        <v xml:space="preserve"> </v>
      </c>
      <c r="BH58" s="55" t="str">
        <f>Table32356[[#This Row],[3rd hour I Sem]]</f>
        <v>BM (L)</v>
      </c>
      <c r="BI58" s="64" t="str">
        <f>Table32356[[#This Row],[4th hour I Sem]]</f>
        <v>BM (I)</v>
      </c>
      <c r="BJ58" s="56" t="str">
        <f>Table323567[[#This Row],[1st hour V sem]]</f>
        <v xml:space="preserve"> </v>
      </c>
      <c r="BK58" s="55" t="str">
        <f>Table323567[[#This Row],[2nd hour V sem]]</f>
        <v xml:space="preserve"> </v>
      </c>
      <c r="BL58" s="55" t="str">
        <f>Table323567[[#This Row],[3rd hour V sem]]</f>
        <v xml:space="preserve"> </v>
      </c>
      <c r="BM58" s="58" t="str">
        <f>Table323567[[#This Row],[4th hour V sem]]</f>
        <v xml:space="preserve"> </v>
      </c>
      <c r="BN58" s="57" t="str">
        <f>Table323567[[#This Row],[1st hour III Sem]]</f>
        <v xml:space="preserve"> </v>
      </c>
      <c r="BO58" s="55" t="str">
        <f>Table323567[[#This Row],[2nd hour III Sem]]</f>
        <v xml:space="preserve"> </v>
      </c>
      <c r="BP58" s="55" t="str">
        <f>Table323567[[#This Row],[3rd hour III Sem]]</f>
        <v xml:space="preserve"> </v>
      </c>
      <c r="BQ58" s="58" t="str">
        <f>Table323567[[#This Row],[4th hour III Sem]]</f>
        <v xml:space="preserve"> </v>
      </c>
      <c r="BR58" s="57" t="str">
        <f>Table323567[[#This Row],[1st hour I Sem]]</f>
        <v xml:space="preserve"> </v>
      </c>
      <c r="BS58" s="55" t="str">
        <f>Table323567[[#This Row],[2nd hour I Sem]]</f>
        <v xml:space="preserve"> </v>
      </c>
      <c r="BT58" s="55" t="str">
        <f>Table323567[[#This Row],[3rd hour I Sem]]</f>
        <v xml:space="preserve"> </v>
      </c>
      <c r="BU58" s="64" t="str">
        <f>Table323567[[#This Row],[Column1]]</f>
        <v xml:space="preserve"> </v>
      </c>
    </row>
    <row r="59" spans="1:73" x14ac:dyDescent="0.35">
      <c r="A59" s="111"/>
      <c r="B59" s="56"/>
      <c r="C59" s="55"/>
      <c r="D59" s="55"/>
      <c r="E59" s="58"/>
      <c r="F59" s="57"/>
      <c r="G59" s="55"/>
      <c r="H59" s="55"/>
      <c r="I59" s="58"/>
      <c r="J59" s="57"/>
      <c r="K59" s="55"/>
      <c r="L59" s="55"/>
      <c r="M59" s="55"/>
      <c r="N59" s="56"/>
      <c r="O59" s="55"/>
      <c r="P59" s="55"/>
      <c r="Q59" s="73"/>
      <c r="R59" s="57"/>
      <c r="S59" s="55"/>
      <c r="T59" s="55"/>
      <c r="U59" s="58"/>
      <c r="V59" s="74"/>
      <c r="W59" s="55"/>
      <c r="X59" s="55"/>
      <c r="Y59" s="64"/>
      <c r="Z59" s="56"/>
      <c r="AA59" s="55"/>
      <c r="AB59" s="55"/>
      <c r="AC59" s="58"/>
      <c r="AD59" s="57"/>
      <c r="AE59" s="55"/>
      <c r="AF59" s="55"/>
      <c r="AG59" s="58"/>
      <c r="AH59" s="57"/>
      <c r="AI59" s="55"/>
      <c r="AJ59" s="55"/>
      <c r="AK59" s="64"/>
      <c r="AL59" s="56"/>
      <c r="AM59" s="55"/>
      <c r="AN59" s="55"/>
      <c r="AO59" s="58"/>
      <c r="AP59" s="57"/>
      <c r="AQ59" s="55"/>
      <c r="AR59" s="55"/>
      <c r="AS59" s="58"/>
      <c r="AT59" s="57"/>
      <c r="AU59" s="55"/>
      <c r="AV59" s="55"/>
      <c r="AW59" s="64"/>
      <c r="AX59" s="56"/>
      <c r="AY59" s="55"/>
      <c r="AZ59" s="55"/>
      <c r="BA59" s="58"/>
      <c r="BB59" s="57"/>
      <c r="BC59" s="55"/>
      <c r="BD59" s="55"/>
      <c r="BE59" s="58"/>
      <c r="BF59" s="57"/>
      <c r="BG59" s="55"/>
      <c r="BH59" s="55"/>
      <c r="BI59" s="64"/>
      <c r="BJ59" s="56"/>
      <c r="BK59" s="55"/>
      <c r="BL59" s="55"/>
      <c r="BM59" s="58"/>
      <c r="BN59" s="57"/>
      <c r="BO59" s="55"/>
      <c r="BP59" s="55"/>
      <c r="BQ59" s="58"/>
      <c r="BR59" s="57"/>
      <c r="BS59" s="55"/>
      <c r="BT59" s="55"/>
      <c r="BU59" s="64"/>
    </row>
  </sheetData>
  <mergeCells count="24">
    <mergeCell ref="B1:M1"/>
    <mergeCell ref="B2:E2"/>
    <mergeCell ref="F2:I2"/>
    <mergeCell ref="J2:M2"/>
    <mergeCell ref="N1:Y1"/>
    <mergeCell ref="N2:Q2"/>
    <mergeCell ref="R2:U2"/>
    <mergeCell ref="V2:Y2"/>
    <mergeCell ref="Z1:AK1"/>
    <mergeCell ref="Z2:AC2"/>
    <mergeCell ref="AD2:AG2"/>
    <mergeCell ref="AH2:AK2"/>
    <mergeCell ref="AL1:AW1"/>
    <mergeCell ref="AL2:AO2"/>
    <mergeCell ref="AP2:AS2"/>
    <mergeCell ref="AT2:AW2"/>
    <mergeCell ref="AX1:BI1"/>
    <mergeCell ref="AX2:BA2"/>
    <mergeCell ref="BB2:BE2"/>
    <mergeCell ref="BF2:BI2"/>
    <mergeCell ref="BJ1:BU1"/>
    <mergeCell ref="BJ2:BM2"/>
    <mergeCell ref="BN2:BQ2"/>
    <mergeCell ref="BR2:BU2"/>
  </mergeCells>
  <conditionalFormatting sqref="A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T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Mon</vt:lpstr>
      <vt:lpstr>Tue</vt:lpstr>
      <vt:lpstr>Wed</vt:lpstr>
      <vt:lpstr>Thur</vt:lpstr>
      <vt:lpstr>Fri</vt:lpstr>
      <vt:lpstr>Sat</vt:lpstr>
      <vt:lpstr>Reports</vt:lpstr>
      <vt:lpstr>MTT</vt:lpstr>
      <vt:lpstr>ITT</vt:lpstr>
      <vt:lpstr>Tue!Print</vt:lpstr>
      <vt:lpstr>Fri!Print_Titles</vt:lpstr>
      <vt:lpstr>Mon!Print_Titles</vt:lpstr>
      <vt:lpstr>Sat!Print_Titles</vt:lpstr>
      <vt:lpstr>Thur!Print_Titles</vt:lpstr>
      <vt:lpstr>Wed!Print_Titles</vt:lpstr>
      <vt:lpstr>SUBFRI</vt:lpstr>
      <vt:lpstr>SUBMON</vt:lpstr>
      <vt:lpstr>SUBSAT</vt:lpstr>
      <vt:lpstr>SUBTHUR</vt:lpstr>
      <vt:lpstr>SUBTUE</vt:lpstr>
      <vt:lpstr>SUBWED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TIME TABLE COMMITEE</dc:creator>
  <cp:keywords/>
  <dc:description/>
  <cp:lastModifiedBy>Shruthi Bekal</cp:lastModifiedBy>
  <cp:revision/>
  <dcterms:created xsi:type="dcterms:W3CDTF">2016-11-14T11:37:26Z</dcterms:created>
  <dcterms:modified xsi:type="dcterms:W3CDTF">2026-06-09T09:12:43Z</dcterms:modified>
  <cp:category/>
  <cp:contentStatus/>
</cp:coreProperties>
</file>